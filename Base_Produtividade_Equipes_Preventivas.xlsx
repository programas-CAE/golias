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Memorial_Calculo" sheetId="2" state="visible" r:id="rId2"/>
    <sheet xmlns:r="http://schemas.openxmlformats.org/officeDocument/2006/relationships" name="Dim_Distrito" sheetId="3" state="visible" r:id="rId3"/>
    <sheet xmlns:r="http://schemas.openxmlformats.org/officeDocument/2006/relationships" name="Dim_Atividade" sheetId="4" state="visible" r:id="rId4"/>
    <sheet xmlns:r="http://schemas.openxmlformats.org/officeDocument/2006/relationships" name="Dim_Colaborador" sheetId="5" state="visible" r:id="rId5"/>
    <sheet xmlns:r="http://schemas.openxmlformats.org/officeDocument/2006/relationships" name="Dim_Calendario" sheetId="6" state="visible" r:id="rId6"/>
    <sheet xmlns:r="http://schemas.openxmlformats.org/officeDocument/2006/relationships" name="Fato_RDO_Detalhe" sheetId="7" state="visible" r:id="rId7"/>
    <sheet xmlns:r="http://schemas.openxmlformats.org/officeDocument/2006/relationships" name="Fato_Producao_Mensal" sheetId="8" state="visible" r:id="rId8"/>
    <sheet xmlns:r="http://schemas.openxmlformats.org/officeDocument/2006/relationships" name="Fato_Efetivo_Mensal" sheetId="9" state="visible" r:id="rId9"/>
    <sheet xmlns:r="http://schemas.openxmlformats.org/officeDocument/2006/relationships" name="Fato_Improdutividade_Mensal" sheetId="10" state="visible" r:id="rId10"/>
    <sheet xmlns:r="http://schemas.openxmlformats.org/officeDocument/2006/relationships" name="Calc_PUS_Colaborador" sheetId="11" state="visible" r:id="rId11"/>
    <sheet xmlns:r="http://schemas.openxmlformats.org/officeDocument/2006/relationships" name="Calc_PUS_Distrito" sheetId="12" state="visible" r:id="rId12"/>
    <sheet xmlns:r="http://schemas.openxmlformats.org/officeDocument/2006/relationships" name="Producao_por_Item" sheetId="13" state="visible" r:id="rId13"/>
    <sheet xmlns:r="http://schemas.openxmlformats.org/officeDocument/2006/relationships" name="Grafico_Produtividade" sheetId="14" state="visible" r:id="rId14"/>
    <sheet xmlns:r="http://schemas.openxmlformats.org/officeDocument/2006/relationships" name="Quadro_Distrito" sheetId="15" state="visible" r:id="rId15"/>
    <sheet xmlns:r="http://schemas.openxmlformats.org/officeDocument/2006/relationships" name="Guia_PowerBI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0.0%"/>
    <numFmt numFmtId="167" formatCode="0.0"/>
  </numFmts>
  <fonts count="14">
    <font>
      <name val="Calibri"/>
      <family val="2"/>
      <color theme="1"/>
      <sz val="11"/>
      <scheme val="minor"/>
    </font>
    <font>
      <name val="Calibri"/>
      <b val="1"/>
      <color rgb="001F6F6B"/>
      <sz val="16"/>
    </font>
    <font>
      <name val="Calibri"/>
      <i val="1"/>
      <color rgb="006E6E6E"/>
      <sz val="10"/>
    </font>
    <font>
      <name val="Calibri"/>
      <i val="1"/>
      <color rgb="006E6E6E"/>
      <sz val="9"/>
    </font>
    <font>
      <name val="Calibri"/>
      <b val="1"/>
      <color rgb="00FFFFFF"/>
      <sz val="11"/>
    </font>
    <font>
      <b val="1"/>
      <color rgb="001F6F6B"/>
      <sz val="10"/>
    </font>
    <font>
      <name val="Calibri"/>
      <sz val="10"/>
    </font>
    <font>
      <name val="Calibri"/>
      <b val="1"/>
      <color rgb="001F6F6B"/>
      <sz val="10"/>
    </font>
    <font>
      <name val="Calibri"/>
      <color rgb="00000000"/>
      <sz val="10"/>
    </font>
    <font>
      <name val="Calibri"/>
      <b val="1"/>
      <color rgb="00FFFFFF"/>
      <sz val="10"/>
    </font>
    <font>
      <b val="1"/>
      <sz val="10"/>
    </font>
    <font>
      <b val="1"/>
      <color rgb="00FFFFFF"/>
      <sz val="13"/>
    </font>
    <font>
      <name val="Calibri"/>
      <sz val="9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E08E2B"/>
      </patternFill>
    </fill>
    <fill>
      <patternFill patternType="solid">
        <fgColor rgb="001F6F6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2" fontId="6" fillId="0" borderId="1" pivotButton="0" quotePrefix="0" xfId="0"/>
    <xf numFmtId="165" fontId="6" fillId="0" borderId="1" pivotButton="0" quotePrefix="0" xfId="0"/>
    <xf numFmtId="4" fontId="6" fillId="0" borderId="1" pivotButton="0" quotePrefix="0" xfId="0"/>
    <xf numFmtId="166" fontId="6" fillId="0" borderId="1" pivotButton="0" quotePrefix="0" xfId="0"/>
    <xf numFmtId="1" fontId="6" fillId="0" borderId="1" pivotButton="0" quotePrefix="0" xfId="0"/>
    <xf numFmtId="167" fontId="6" fillId="0" borderId="1" pivotButton="0" quotePrefix="0" xfId="0"/>
    <xf numFmtId="0" fontId="6" fillId="0" borderId="1" applyAlignment="1" pivotButton="0" quotePrefix="0" xfId="0">
      <alignment vertical="top" wrapText="1"/>
    </xf>
    <xf numFmtId="4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2" fontId="0" fillId="4" borderId="1" pivotButton="0" quotePrefix="0" xfId="0"/>
    <xf numFmtId="0" fontId="0" fillId="0" borderId="1" pivotButton="0" quotePrefix="0" xfId="0"/>
    <xf numFmtId="0" fontId="10" fillId="0" borderId="0" pivotButton="0" quotePrefix="0" xfId="0"/>
    <xf numFmtId="0" fontId="0" fillId="4" borderId="1" pivotButton="0" quotePrefix="0" xfId="0"/>
    <xf numFmtId="0" fontId="11" fillId="3" borderId="0" pivotButton="0" quotePrefix="0" xfId="0"/>
    <xf numFmtId="0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4" fontId="6" fillId="0" borderId="1" applyAlignment="1" pivotButton="0" quotePrefix="0" xfId="0">
      <alignment horizontal="center"/>
    </xf>
    <xf numFmtId="0" fontId="12" fillId="0" borderId="1" applyAlignment="1" pivotButton="0" quotePrefix="0" xfId="0">
      <alignment vertical="top" wrapText="1"/>
    </xf>
    <xf numFmtId="0" fontId="10" fillId="0" borderId="1" pivotButton="0" quotePrefix="0" xfId="0"/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Produção por Item (Abril–Junho/2026)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'Producao_por_Item'!D3</f>
            </strRef>
          </tx>
          <spPr>
            <a:solidFill xmlns:a="http://schemas.openxmlformats.org/drawingml/2006/main">
              <a:srgbClr val="1F6F6B"/>
            </a:solidFill>
            <a:ln xmlns:a="http://schemas.openxmlformats.org/drawingml/2006/main">
              <a:prstDash val="solid"/>
            </a:ln>
          </spPr>
          <cat>
            <numRef>
              <f>'Producao_por_Item'!$B$4:$B$15</f>
            </numRef>
          </cat>
          <val>
            <numRef>
              <f>'Producao_por_Item'!$D$4:$D$15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Produtividade Média Equipes Preventivas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'Grafico_Produtividade'!B21</f>
            </strRef>
          </tx>
          <spPr>
            <a:solidFill xmlns:a="http://schemas.openxmlformats.org/drawingml/2006/main">
              <a:srgbClr val="1F6F6B"/>
            </a:solidFill>
            <a:ln xmlns:a="http://schemas.openxmlformats.org/drawingml/2006/main">
              <a:prstDash val="solid"/>
            </a:ln>
          </spPr>
          <cat>
            <numRef>
              <f>'Grafico_Produtividade'!$A$22:$A$25</f>
            </numRef>
          </cat>
          <val>
            <numRef>
              <f>'Grafico_Produtividade'!$B$22:$B$25</f>
            </numRef>
          </val>
        </ser>
        <ser>
          <idx val="1"/>
          <order val="1"/>
          <tx>
            <strRef>
              <f>'Grafico_Produtividade'!C21</f>
            </strRef>
          </tx>
          <spPr>
            <a:solidFill xmlns:a="http://schemas.openxmlformats.org/drawingml/2006/main">
              <a:srgbClr val="E08E2B"/>
            </a:solidFill>
            <a:ln xmlns:a="http://schemas.openxmlformats.org/drawingml/2006/main">
              <a:prstDash val="solid"/>
            </a:ln>
          </spPr>
          <cat>
            <numRef>
              <f>'Grafico_Produtividade'!$A$22:$A$25</f>
            </numRef>
          </cat>
          <val>
            <numRef>
              <f>'Grafico_Produtividade'!$C$22:$C$25</f>
            </numRef>
          </val>
        </ser>
        <ser>
          <idx val="2"/>
          <order val="2"/>
          <tx>
            <strRef>
              <f>'Grafico_Produtividade'!D21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prstDash val="solid"/>
            </a:ln>
          </spPr>
          <cat>
            <numRef>
              <f>'Grafico_Produtividade'!$A$22:$A$25</f>
            </numRef>
          </cat>
          <val>
            <numRef>
              <f>'Grafico_Produtividade'!$D$22:$D$25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19</row>
      <rowOff>0</rowOff>
    </from>
    <ext cx="93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DimDistrito" displayName="tbl_DimDistrito" ref="A1:B4" headerRowCount="1">
  <autoFilter ref="A1:B4"/>
  <tableColumns count="2">
    <tableColumn id="1" name="Distrito"/>
    <tableColumn id="2" name="Sigla_Origem"/>
  </tableColumns>
  <tableStyleInfo name="TableStyleMedium9" showRowStripes="1"/>
</table>
</file>

<file path=xl/tables/table2.xml><?xml version="1.0" encoding="utf-8"?>
<table xmlns="http://schemas.openxmlformats.org/spreadsheetml/2006/main" id="2" name="tbl_DimAtividade" displayName="tbl_DimAtividade" ref="A1:D26" headerRowCount="1">
  <autoFilter ref="A1:D26"/>
  <tableColumns count="4">
    <tableColumn id="1" name="Atividade_Codigo"/>
    <tableColumn id="2" name="Atividade_Descricao"/>
    <tableColumn id="3" name="Unidade"/>
    <tableColumn id="4" name="Meta_PUS_Padrao"/>
  </tableColumns>
  <tableStyleInfo name="TableStyleMedium9" showRowStripes="1"/>
</table>
</file>

<file path=xl/tables/table3.xml><?xml version="1.0" encoding="utf-8"?>
<table xmlns="http://schemas.openxmlformats.org/spreadsheetml/2006/main" id="3" name="tbl_DimColaborador" displayName="tbl_DimColaborador" ref="A1:D4" headerRowCount="1">
  <autoFilter ref="A1:D4"/>
  <tableColumns count="4">
    <tableColumn id="1" name="Colaborador"/>
    <tableColumn id="2" name="Funcao"/>
    <tableColumn id="3" name="Equipe"/>
    <tableColumn id="4" name="Distrito"/>
  </tableColumns>
  <tableStyleInfo name="TableStyleMedium9" showRowStripes="1"/>
</table>
</file>

<file path=xl/tables/table4.xml><?xml version="1.0" encoding="utf-8"?>
<table xmlns="http://schemas.openxmlformats.org/spreadsheetml/2006/main" id="4" name="tbl_DimCalendario" displayName="tbl_DimCalendario" ref="A1:G366" headerRowCount="1">
  <autoFilter ref="A1:G366"/>
  <tableColumns count="7">
    <tableColumn id="1" name="Data"/>
    <tableColumn id="2" name="Ano"/>
    <tableColumn id="3" name="Mes"/>
    <tableColumn id="4" name="MesNome"/>
    <tableColumn id="5" name="AnoMes"/>
    <tableColumn id="6" name="Trimestre"/>
    <tableColumn id="7" name="DiaSemana"/>
  </tableColumns>
  <tableStyleInfo name="TableStyleMedium9" showRowStripes="1"/>
</table>
</file>

<file path=xl/tables/table5.xml><?xml version="1.0" encoding="utf-8"?>
<table xmlns="http://schemas.openxmlformats.org/spreadsheetml/2006/main" id="5" name="tbl_FatoRDO" displayName="tbl_FatoRDO" ref="A1:R250" headerRowCount="1">
  <autoFilter ref="A1:R250"/>
  <tableColumns count="18">
    <tableColumn id="1" name="Data"/>
    <tableColumn id="2" name="Data_Inicio"/>
    <tableColumn id="3" name="RDO"/>
    <tableColumn id="4" name="Contrato"/>
    <tableColumn id="5" name="Distrito"/>
    <tableColumn id="6" name="Equipe"/>
    <tableColumn id="7" name="Colaborador"/>
    <tableColumn id="8" name="Atividade_Codigo"/>
    <tableColumn id="9" name="Atividade_Descricao"/>
    <tableColumn id="10" name="Unidade"/>
    <tableColumn id="11" name="Producao"/>
    <tableColumn id="12" name="Mao_Obra_Direta"/>
    <tableColumn id="13" name="PUS_Referencia"/>
    <tableColumn id="14" name="PUS_Sistema"/>
    <tableColumn id="15" name="Horas_Trabalhadas"/>
    <tableColumn id="16" name="PUS_Calculado"/>
    <tableColumn id="17" name="Eficiencia_Calculada"/>
    <tableColumn id="18" name="Homens_Hora"/>
  </tableColumns>
  <tableStyleInfo name="TableStyleMedium9" showRowStripes="1"/>
</table>
</file>

<file path=xl/tables/table6.xml><?xml version="1.0" encoding="utf-8"?>
<table xmlns="http://schemas.openxmlformats.org/spreadsheetml/2006/main" id="6" name="tbl_FatoProducaoMensal" displayName="tbl_FatoProducaoMensal" ref="A1:M199" headerRowCount="1">
  <autoFilter ref="A1:M199"/>
  <tableColumns count="13">
    <tableColumn id="1" name="Ano"/>
    <tableColumn id="2" name="Mes"/>
    <tableColumn id="3" name="MesNome"/>
    <tableColumn id="4" name="Distrito"/>
    <tableColumn id="5" name="Item_Codigo"/>
    <tableColumn id="6" name="Atividade_Descricao"/>
    <tableColumn id="7" name="Unidade"/>
    <tableColumn id="8" name="Producao"/>
    <tableColumn id="9" name="Produtividade_Hora"/>
    <tableColumn id="10" name="Meta_PUS"/>
    <tableColumn id="11" name="Homens_Hora_Implicito"/>
    <tableColumn id="12" name="Eficiencia_Item"/>
    <tableColumn id="13" name="Tem_Meta"/>
  </tableColumns>
  <tableStyleInfo name="TableStyleMedium9" showRowStripes="1"/>
</table>
</file>

<file path=xl/tables/table7.xml><?xml version="1.0" encoding="utf-8"?>
<table xmlns="http://schemas.openxmlformats.org/spreadsheetml/2006/main" id="7" name="tbl_FatoEfetivo" displayName="tbl_FatoEfetivo" ref="A1:H19" headerRowCount="1">
  <autoFilter ref="A1:H19"/>
  <tableColumns count="8">
    <tableColumn id="1" name="Ano"/>
    <tableColumn id="2" name="Mes"/>
    <tableColumn id="3" name="MesNome"/>
    <tableColumn id="4" name="Distrito"/>
    <tableColumn id="5" name="Servente"/>
    <tableColumn id="6" name="Oficial"/>
    <tableColumn id="7" name="Jornada_Media_H"/>
    <tableColumn id="8" name="Chave"/>
  </tableColumns>
  <tableStyleInfo name="TableStyleMedium9" showRowStripes="1"/>
</table>
</file>

<file path=xl/tables/table8.xml><?xml version="1.0" encoding="utf-8"?>
<table xmlns="http://schemas.openxmlformats.org/spreadsheetml/2006/main" id="8" name="tbl_FatoImprodutividade" displayName="tbl_FatoImprodutividade" ref="A1:H19" headerRowCount="1">
  <autoFilter ref="A1:H19"/>
  <tableColumns count="8">
    <tableColumn id="1" name="Ano"/>
    <tableColumn id="2" name="Mes"/>
    <tableColumn id="3" name="MesNome"/>
    <tableColumn id="4" name="Distrito"/>
    <tableColumn id="5" name="Qtd_Dias"/>
    <tableColumn id="6" name="Qtd_Horas"/>
    <tableColumn id="7" name="Causa"/>
    <tableColumn id="8" name="Chave"/>
  </tableColumns>
  <tableStyleInfo name="TableStyleMedium9" showRowStripes="1"/>
</table>
</file>

<file path=xl/tables/table9.xml><?xml version="1.0" encoding="utf-8"?>
<table xmlns="http://schemas.openxmlformats.org/spreadsheetml/2006/main" id="9" name="tbl_CalcPUSColabDetalhe" displayName="tbl_CalcPUSColabDetalhe" ref="A5:J33" headerRowCount="1">
  <autoFilter ref="A5:J33"/>
  <tableColumns count="10">
    <tableColumn id="1" name="Colaborador"/>
    <tableColumn id="2" name="Distrito"/>
    <tableColumn id="3" name="Equipe"/>
    <tableColumn id="4" name="Atividade_Codigo"/>
    <tableColumn id="5" name="Atividade_Descricao"/>
    <tableColumn id="6" name="Producao_Total"/>
    <tableColumn id="7" name="Homens_Hora_Total"/>
    <tableColumn id="8" name="PUS"/>
    <tableColumn id="9" name="Meta_PUS"/>
    <tableColumn id="10" name="Eficiencia"/>
  </tableColumns>
  <tableStyleInfo name="TableStyleMedium9" showRowStripes="1"/>
</table>
</file>

<file path=xl/tables/table10.xml><?xml version="1.0" encoding="utf-8"?>
<table xmlns="http://schemas.openxmlformats.org/spreadsheetml/2006/main" id="10" name="tbl_CalcPUSColabResumo" displayName="tbl_CalcPUSColabResumo" ref="A37:G40" headerRowCount="1">
  <autoFilter ref="A37:G40"/>
  <tableColumns count="7">
    <tableColumn id="1" name="Colaborador"/>
    <tableColumn id="2" name="Distrito"/>
    <tableColumn id="3" name="Equipe"/>
    <tableColumn id="4" name="Homens_Hora_Total"/>
    <tableColumn id="5" name="Eficiencia_Media_Ponderada"/>
    <tableColumn id="6" name="Meta_Padrao_Contrato (editável)"/>
    <tableColumn id="7" name="PUS_Equivalente"/>
  </tableColumns>
  <tableStyleInfo name="TableStyleMedium9" showRowStripes="1"/>
</table>
</file>

<file path=xl/tables/table11.xml><?xml version="1.0" encoding="utf-8"?>
<table xmlns="http://schemas.openxmlformats.org/spreadsheetml/2006/main" id="11" name="tbl_CalcPUSDistrito" displayName="tbl_CalcPUSDistrito" ref="A4:F7" headerRowCount="1">
  <autoFilter ref="A4:F7"/>
  <tableColumns count="6">
    <tableColumn id="1" name="Distrito"/>
    <tableColumn id="2" name="Homens_Hora_Total"/>
    <tableColumn id="3" name="Eficiencia_Media_Ponderada"/>
    <tableColumn id="4" name="Meta_Padrao_Contrato (editável)"/>
    <tableColumn id="5" name="PUS_Equivalente"/>
    <tableColumn id="6" name="Chave"/>
  </tableColumns>
  <tableStyleInfo name="TableStyleMedium9" showRowStripes="1"/>
</table>
</file>

<file path=xl/tables/table12.xml><?xml version="1.0" encoding="utf-8"?>
<table xmlns="http://schemas.openxmlformats.org/spreadsheetml/2006/main" id="12" name="tbl_ProducaoPorItem" displayName="tbl_ProducaoPorItem" ref="A3:D15" headerRowCount="1">
  <autoFilter ref="A3:D15"/>
  <tableColumns count="4">
    <tableColumn id="1" name="Item_Codigo"/>
    <tableColumn id="2" name="Atividade_Descricao"/>
    <tableColumn id="3" name="Unidade"/>
    <tableColumn id="4" name="Producao_Total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2.xml" Id="rId2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404040"/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 outlineLevelCol="0"/>
  <cols>
    <col width="2" customWidth="1" min="1" max="1"/>
    <col width="26" customWidth="1" min="2" max="2"/>
    <col width="95" customWidth="1" min="3" max="3"/>
  </cols>
  <sheetData>
    <row r="2">
      <c r="B2" s="1" t="inlineStr">
        <is>
          <t>BASE DE PRODUTIVIDADE — EQUIPES PREVENTIVAS</t>
        </is>
      </c>
    </row>
    <row r="3">
      <c r="B3" s="2" t="inlineStr">
        <is>
          <t>Planilha unificada para alimentar o Power BI (Produtividade, PUS, Eficiência e Improdutividade)</t>
        </is>
      </c>
    </row>
    <row r="4">
      <c r="B4" s="3" t="inlineStr">
        <is>
          <t>Gerado em 13/08/2026 a partir dos arquivos fonte do contrato ENGECOM x VALE (EFC Regional 1, 2 e 3)</t>
        </is>
      </c>
    </row>
    <row r="6" ht="30" customHeight="1">
      <c r="B6" s="4" t="inlineStr">
        <is>
          <t>Aba</t>
        </is>
      </c>
      <c r="C6" s="4" t="inlineStr">
        <is>
          <t>Conteúdo</t>
        </is>
      </c>
    </row>
    <row r="7" ht="30" customHeight="1">
      <c r="B7" s="5" t="inlineStr">
        <is>
          <t>Memorial_Calculo</t>
        </is>
      </c>
      <c r="C7" s="6" t="inlineStr">
        <is>
          <t>Definições, fórmulas, origem de cada dado e premissas assumidas — leia antes de usar os números.</t>
        </is>
      </c>
    </row>
    <row r="8" ht="30" customHeight="1">
      <c r="B8" s="5" t="inlineStr">
        <is>
          <t>Dim_Distrito</t>
        </is>
      </c>
      <c r="C8" s="6" t="inlineStr">
        <is>
          <t>Dimensão: os 3 distritos operacionais (Marabá, Parauapebas, Canaã).</t>
        </is>
      </c>
    </row>
    <row r="9" ht="30" customHeight="1">
      <c r="B9" s="5" t="inlineStr">
        <is>
          <t>Dim_Atividade</t>
        </is>
      </c>
      <c r="C9" s="6" t="inlineStr">
        <is>
          <t>Dimensão: catálogo de atividades/itens de serviço, unidade de medida e meta padrão de PUS.</t>
        </is>
      </c>
    </row>
    <row r="10" ht="30" customHeight="1">
      <c r="B10" s="5" t="inlineStr">
        <is>
          <t>Dim_Colaborador</t>
        </is>
      </c>
      <c r="C10" s="6" t="inlineStr">
        <is>
          <t>Dimensão: colaboradores (encarregados/líderes) responsáveis pelos RDOs, por equipe e distrito.</t>
        </is>
      </c>
    </row>
    <row r="11" ht="30" customHeight="1">
      <c r="B11" s="5" t="inlineStr">
        <is>
          <t>Dim_Calendario</t>
        </is>
      </c>
      <c r="C11" s="6" t="inlineStr">
        <is>
          <t>Dimensão de datas (ano 2026) para relacionamento no Power BI.</t>
        </is>
      </c>
    </row>
    <row r="12" ht="30" customHeight="1">
      <c r="B12" s="5" t="inlineStr">
        <is>
          <t>Fato_RDO_Detalhe</t>
        </is>
      </c>
      <c r="C12" s="6" t="inlineStr">
        <is>
          <t>Fato no nível de RDO/atividade/dia (Junho/2026) — base para o PUS por colaborador.</t>
        </is>
      </c>
    </row>
    <row r="13" ht="30" customHeight="1">
      <c r="B13" s="5" t="inlineStr">
        <is>
          <t>Fato_Producao_Mensal</t>
        </is>
      </c>
      <c r="C13" s="6" t="inlineStr">
        <is>
          <t>Fato de produção e produtividade por item/distrito/mês (Abril a Junho/2026).</t>
        </is>
      </c>
    </row>
    <row r="14" ht="30" customHeight="1">
      <c r="B14" s="5" t="inlineStr">
        <is>
          <t>Fato_Efetivo_Mensal</t>
        </is>
      </c>
      <c r="C14" s="6" t="inlineStr">
        <is>
          <t>Fato de efetivo (servente/oficial) e jornada média por distrito/mês (Janeiro a Junho/2026).</t>
        </is>
      </c>
    </row>
    <row r="15" ht="30" customHeight="1">
      <c r="B15" s="5" t="inlineStr">
        <is>
          <t>Fato_Improdutividade_Mensal</t>
        </is>
      </c>
      <c r="C15" s="6" t="inlineStr">
        <is>
          <t>Fato do quadro de improdutividade por distrito/mês (dias, horas e causa).</t>
        </is>
      </c>
    </row>
    <row r="16" ht="30" customHeight="1">
      <c r="B16" s="5" t="inlineStr">
        <is>
          <t>Calc_PUS_Colaborador</t>
        </is>
      </c>
      <c r="C16" s="6" t="inlineStr">
        <is>
          <t>PUS calculado por colaborador e atividade + eficiência média ponderada por colaborador.</t>
        </is>
      </c>
    </row>
    <row r="17" ht="30" customHeight="1">
      <c r="B17" s="5" t="inlineStr">
        <is>
          <t>Calc_PUS_Distrito</t>
        </is>
      </c>
      <c r="C17" s="6" t="inlineStr">
        <is>
          <t>PUS e eficiência calculados por distrito e mês (indicador do quadro por distrito).</t>
        </is>
      </c>
    </row>
    <row r="18" ht="30" customHeight="1">
      <c r="B18" s="5" t="inlineStr">
        <is>
          <t>Producao_por_Item</t>
        </is>
      </c>
      <c r="C18" s="6" t="inlineStr">
        <is>
          <t>Produção total por item (todos os distritos/meses) — pronta para gráfico de barras.</t>
        </is>
      </c>
    </row>
    <row r="19" ht="30" customHeight="1">
      <c r="B19" s="5" t="inlineStr">
        <is>
          <t>Quadro_Distrito</t>
        </is>
      </c>
      <c r="C19" s="6" t="inlineStr">
        <is>
          <t>Quadro consolidado por distrito (Marabá, Parauapebas, Canaã) — efetivo, improdutividade e PUS.</t>
        </is>
      </c>
    </row>
    <row r="20" ht="30" customHeight="1">
      <c r="B20" s="5" t="inlineStr">
        <is>
          <t>Grafico_Produtividade</t>
        </is>
      </c>
      <c r="C20" s="6" t="inlineStr">
        <is>
          <t>Gráfico de produtividade média por distrito, no mesmo formato da foto de referência.</t>
        </is>
      </c>
    </row>
    <row r="21" ht="30" customHeight="1">
      <c r="B21" s="5" t="inlineStr">
        <is>
          <t>Guia_PowerBI</t>
        </is>
      </c>
      <c r="C21" s="6" t="inlineStr">
        <is>
          <t>Passo a passo para montar o relatório no Power BI Desktop e lista de medidas DAX prontas para copiar.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B2:G55"/>
  <sheetViews>
    <sheetView showGridLines="0" workbookViewId="0">
      <selection activeCell="A1" sqref="A1"/>
    </sheetView>
  </sheetViews>
  <sheetFormatPr baseColWidth="8" defaultRowHeight="15" outlineLevelCol="0"/>
  <cols>
    <col width="2" customWidth="1" min="1" max="1"/>
    <col width="1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MEMORIAL DE CÁLCULO</t>
        </is>
      </c>
    </row>
    <row r="3">
      <c r="B3" s="2" t="inlineStr">
        <is>
          <t>Todas as fórmulas usadas na planilha e no Power BI, a origem de cada dado e as premissas assumidas na modelagem.</t>
        </is>
      </c>
    </row>
    <row r="5">
      <c r="B5" s="4" t="inlineStr">
        <is>
          <t>1) FÓRMULA PRINCIPAL — PUS (PRODUÇÃO POR UNIDADE DE SERVIÇO)</t>
        </is>
      </c>
    </row>
    <row r="6" ht="15" customHeight="1">
      <c r="B6" s="7" t="inlineStr">
        <is>
          <t>PUS = Produção do dia ÷ (Mão de Obra Direta × Horas Trabalhadas no dia)</t>
        </is>
      </c>
    </row>
    <row r="7" ht="28" customHeight="1">
      <c r="B7" s="8" t="inlineStr">
        <is>
          <t>Onde: Produção do dia = quantidade produzida na atividade (na unidade do item: m², m, m³ ou un.); Mão de Obra Direta = nº de colaboradores diretamente empregados na atividade naquele RDO; Horas Trabalhadas = horas efetivamente dedicadas à atividade naquele dia.</t>
        </is>
      </c>
    </row>
    <row r="8" ht="15" customHeight="1">
      <c r="B8" s="8" t="inlineStr">
        <is>
          <t>Eficiência = PUS calculado ÷ PUS de Referência (meta padrão da atividade) — expressa em %.</t>
        </is>
      </c>
    </row>
    <row r="9" ht="28" customHeight="1">
      <c r="B9" s="8" t="inlineStr">
        <is>
          <t>Esta é a mesma fórmula usada pelo sistema de origem da ENGECOM (relatório "Análise de Desempenho — PUS"). Foi conferida cruzando Produção, Mão de Obra e PUS já calculados pelo sistema (aba Fato_RDO_Detalhe, coluna Horas_Trabalhadas).</t>
        </is>
      </c>
    </row>
    <row r="11">
      <c r="B11" s="4" t="inlineStr">
        <is>
          <t>2) DE ONDE VEM CADA NÚMERO (RASTREABILIDADE)</t>
        </is>
      </c>
    </row>
    <row r="12" ht="15" customHeight="1">
      <c r="B12" s="7" t="inlineStr">
        <is>
          <t>qryprod_rdo_PUS.csv:</t>
        </is>
      </c>
    </row>
    <row r="13" ht="28" customHeight="1">
      <c r="B13" s="8" t="inlineStr">
        <is>
          <t>Extrato de RDO (Registro Diário de Obra) do sistema da ENGECOM, nível mais detalhado: 1 linha por atividade executada em cada RDO, com produção, mão de obra, PUS e eficiência já calculados pelo sistema. Cobre Junho/2026. Usado na aba Fato_RDO_Detalhe e em Calc_PUS_Colaborador.</t>
        </is>
      </c>
    </row>
    <row r="14" ht="15" customHeight="1">
      <c r="B14" s="7" t="inlineStr">
        <is>
          <t>PRODUTIVIDADE ABRIL MAIO JUNHO.xlsx:</t>
        </is>
      </c>
    </row>
    <row r="15" ht="28" customHeight="1">
      <c r="B15" s="8" t="inlineStr">
        <is>
          <t>Resumo mensal oficial de produção e produtividade por item de serviço, já agregado por distrito (Marabá/MAB, Parauapebas/PBA, Canaã/RAMAL). Cobre Abril, Maio e Junho/2026. Usado em Fato_Producao_Mensal, Producao_por_Item, Quadro_Distrito e Grafico_Produtividade.</t>
        </is>
      </c>
    </row>
    <row r="16" ht="15" customHeight="1">
      <c r="B16" s="7" t="inlineStr">
        <is>
          <t>RELATÓRIO MENSAL EQUIPES PREVENTIVAS INFRA IV.pptx:</t>
        </is>
      </c>
    </row>
    <row r="17" ht="28" customHeight="1">
      <c r="B17" s="8" t="inlineStr">
        <is>
          <t>Apresentação mensal enviada ao cliente, com o efetivo (servente/oficial/jornada) e o quadro de improdutividade (dias, horas, causa) por distrito. Cobre Janeiro a Junho/2026. Usado em Fato_Efetivo_Mensal e Fato_Improdutividade_Mensal.</t>
        </is>
      </c>
    </row>
    <row r="18" ht="15" customHeight="1">
      <c r="B18" s="7" t="inlineStr">
        <is>
          <t>relprod_rdo_pus.xls / relprod_rdo_pus 01 a 24.xls:</t>
        </is>
      </c>
    </row>
    <row r="19" ht="28" customHeight="1">
      <c r="B19" s="8" t="inlineStr">
        <is>
          <t>Exportações auxiliares de PUS por atividade (01 a 24/07/2026), no mesmo formato do CSV, porém agregadas por atividade sem identificar colaborador/distrito. Não foram incorporadas à base — mantidas apenas como referência (mesma lógica de cálculo do item 1).</t>
        </is>
      </c>
    </row>
    <row r="21">
      <c r="B21" s="4" t="inlineStr">
        <is>
          <t>3) TRATAMENTOS E EXCLUSÕES APLICADOS</t>
        </is>
      </c>
    </row>
    <row r="22" ht="28" customHeight="1">
      <c r="B22" s="8" t="inlineStr">
        <is>
          <t>• Distrito de B.J.S./Açailândia (equipe "Preventiva B.J.S.", contrato ENGECOM GERAL) foi excluído de toda a base a pedido do usuário, por se tratar de dado de teste — o escopo final ficou restrito aos 3 distritos: Marabá, Parauapebas e Canaã.</t>
        </is>
      </c>
    </row>
    <row r="23" ht="28" customHeight="1">
      <c r="B23" s="8" t="inlineStr">
        <is>
          <t>• Dados de equipamentos e veículos (quilometragem inicial/final do RDO, horas de motorista, operador de máquina leve e van) foram excluídos do modelo a pedido do usuário — o foco é a produtividade da mão de obra das equipes preventivas.</t>
        </is>
      </c>
    </row>
    <row r="24" ht="42" customHeight="1">
      <c r="B24" s="8" t="inlineStr">
        <is>
          <t>• O campo "distrito" do CSV de origem é inconsistente (ex.: equipe "Preventiva Parauapebas" aparece com distrito "MARABA/MA" em várias linhas). Por isso, o Distrito de cada RDO foi recalculado a partir do nome da equipe (nome_equipe), campo mais confiável, e não a partir da coluna "distrito" original.</t>
        </is>
      </c>
    </row>
    <row r="25" ht="28" customHeight="1">
      <c r="B25" s="8" t="inlineStr">
        <is>
          <t>• A coluna "efetivo" do CSV é sempre igual a 1 em todas as linhas (não representa o efetivo real da equipe) — não foi utilizada nos cálculos. O efetivo real (servente/oficial) vem do PowerPoint mensal (aba Fato_Efetivo_Mensal).</t>
        </is>
      </c>
    </row>
    <row r="26" ht="42" customHeight="1">
      <c r="B26" s="8" t="inlineStr">
        <is>
          <t>• O código de atividade "2.1.7" aparece duplicado na planilha mensal de origem, representando duas atividades diferentes ("Limpeza de Valas de Bueiros" e "Recuperação de Drenagem tipo Canaleta/Valeta") — os cálculos por item foram feitos casando pela descrição da atividade, não apenas pelo código, para não misturar os dois.</t>
        </is>
      </c>
    </row>
    <row r="27" ht="42" customHeight="1">
      <c r="B27" s="8" t="inlineStr">
        <is>
          <t>• Horas Trabalhadas não vêm exportadas diretamente no CSV de RDO — foram obtidas por retro-cálculo a partir do PUS e da Produção já calculados pelo sistema de origem (ver item 4), e então usadas para recalcular o PUS na planilha de forma auditável (o valor recalculado bate com o PUS do sistema, o que valida o retro-cálculo).</t>
        </is>
      </c>
    </row>
    <row r="29">
      <c r="B29" s="4" t="inlineStr">
        <is>
          <t>4) FÓRMULAS POR ABA (EXCEL)</t>
        </is>
      </c>
    </row>
    <row r="30" ht="15" customHeight="1">
      <c r="B30" s="7" t="inlineStr">
        <is>
          <t>Fato_RDO_Detalhe — Horas_Trabalhadas</t>
        </is>
      </c>
    </row>
    <row r="31" ht="28" customHeight="1">
      <c r="B31" s="8">
        <f>SE(PUS_Sistema=0; 0; Producao / (Mao_Obra_Direta * PUS_Sistema))  — retro-cálculo a partir do PUS já apurado pelo sistema de origem (ver item 3).</f>
        <v/>
      </c>
    </row>
    <row r="32" ht="15" customHeight="1">
      <c r="B32" s="7" t="inlineStr">
        <is>
          <t>Fato_RDO_Detalhe — PUS_Calculado</t>
        </is>
      </c>
    </row>
    <row r="33" ht="28" customHeight="1">
      <c r="B33" s="8">
        <f>SE(Horas_Trabalhadas=0; 0; Producao / (Mao_Obra_Direta * Horas_Trabalhadas))  — fórmula do item 1, recalculada na planilha (deve bater com PUS_Sistema).</f>
        <v/>
      </c>
    </row>
    <row r="34" ht="15" customHeight="1">
      <c r="B34" s="7" t="inlineStr">
        <is>
          <t>Fato_RDO_Detalhe — Eficiencia_Calculada</t>
        </is>
      </c>
    </row>
    <row r="35" ht="15" customHeight="1">
      <c r="B35" s="8">
        <f>SE(PUS_Referencia=0; 0; PUS_Calculado / PUS_Referencia)  — formatado em %.</f>
        <v/>
      </c>
    </row>
    <row r="36" ht="15" customHeight="1">
      <c r="B36" s="7" t="inlineStr">
        <is>
          <t>Fato_RDO_Detalhe — Homens_Hora</t>
        </is>
      </c>
    </row>
    <row r="37" ht="15" customHeight="1">
      <c r="B37" s="8">
        <f>Mao_Obra_Direta * Horas_Trabalhadas  — total de homens-hora empregado na linha; usado para ponderar médias nas abas de cálculo.</f>
        <v/>
      </c>
    </row>
    <row r="38" ht="15" customHeight="1">
      <c r="B38" s="7" t="inlineStr">
        <is>
          <t>Calc_PUS_Colaborador — PUS (por colaborador × atividade)</t>
        </is>
      </c>
    </row>
    <row r="39" ht="28" customHeight="1">
      <c r="B39" s="8">
        <f>SOMASE(Produção do colaborador na atividade) / SOMASE(Homens-Hora do colaborador na atividade)  — mesma fórmula do item 1, agregada por SOMASES sobre a tabela Fato_RDO_Detalhe.</f>
        <v/>
      </c>
    </row>
    <row r="40" ht="15" customHeight="1">
      <c r="B40" s="7" t="inlineStr">
        <is>
          <t>Calc_PUS_Colaborador — Eficiência Média Ponderada (resumo por colaborador)</t>
        </is>
      </c>
    </row>
    <row r="41" ht="42" customHeight="1">
      <c r="B41" s="8" t="inlineStr">
        <is>
          <t>Média de Eficiência de cada atividade do colaborador, ponderada pelas Homens-Hora de cada atividade (SOMARPRODUTO). Não somamos PUS de atividades diferentes diretamente porque cada atividade tem unidade de produção distinta (m², m, m³, un.) — somar produções de unidades diferentes não faz sentido matemático. A Eficiência (%) é a métrica comparável entre atividades diferentes.</t>
        </is>
      </c>
    </row>
    <row r="42" ht="15" customHeight="1">
      <c r="B42" s="7" t="inlineStr">
        <is>
          <t>Calc_PUS_Colaborador / Calc_PUS_Distrito — PUS Equivalente</t>
        </is>
      </c>
    </row>
    <row r="43" ht="42" customHeight="1">
      <c r="B43" s="8">
        <f>Eficiência Média Ponderada × Meta Padrão do Contrato (célula editável na própria aba, padrão 18,0 — mesmo valor de meta usado no exemplo de dashboard fornecido). Serve para exibir um "PUS geral" único e comparável entre colaboradores/distritos com mix de atividades diferente, no mesmo espírito do indicador "PUS Geral" do modelo de dashboard.</f>
        <v/>
      </c>
    </row>
    <row r="44" ht="15" customHeight="1">
      <c r="B44" s="7" t="inlineStr">
        <is>
          <t>Calc_PUS_Distrito</t>
        </is>
      </c>
    </row>
    <row r="45" ht="28" customHeight="1">
      <c r="B45" s="8" t="inlineStr">
        <is>
          <t>Mesma fórmula/base de Calc_PUS_Colaborador (SOMASES + SOMARPRODUTO sobre Fato_RDO_Detalhe), agregada por Distrito em vez de Colaborador. Disponível apenas para Junho/2026 — ver observação abaixo.</t>
        </is>
      </c>
    </row>
    <row r="46" ht="15" customHeight="1">
      <c r="B46" s="7" t="inlineStr">
        <is>
          <t>Fato_Producao_Mensal — Homens_Hora_Implicito / Eficiencia_Item (referência por item)</t>
        </is>
      </c>
    </row>
    <row r="47" ht="70" customHeight="1">
      <c r="B47" s="8">
        <f>SE(Produtividade_Hora=0; 0; Producao / Produtividade_Hora) e =Produtividade_Hora / Meta_PUS. São calculados item a item (nunca somados entre itens diferentes) e servem como referência individual — não foram usados para gerar um PUS/Eficiência único por distrito em Abril e Maio porque a meta usada (derivada do detalhe de RDO de Junho, amostra pequena por atividade) não representa bem todos os meses; o teste desse cálculo gerou eficiências fora da faixa plausível (200%-550%) nesses meses. Por isso, PUS/Eficiência por distrito só são apresentados para Junho/2026 (aba Calc_PUS_Distrito), mês com detalhe de RDO por atividade.</f>
        <v/>
      </c>
    </row>
    <row r="48" ht="15" customHeight="1">
      <c r="B48" s="7" t="inlineStr">
        <is>
          <t>Quadro_Distrito / Grafico_Produtividade</t>
        </is>
      </c>
    </row>
    <row r="49" ht="28" customHeight="1">
      <c r="B49" s="8" t="inlineStr">
        <is>
          <t>Somas condicionais (SOMASES) sobre Fato_Producao_Mensal e Fato_Efetivo_Mensal/Fato_Improdutividade_Mensal, filtrando por Distrito e Mês selecionado.</t>
        </is>
      </c>
    </row>
    <row r="51">
      <c r="B51" s="4" t="inlineStr">
        <is>
          <t>5) COMO ATUALIZAR ESTA PLANILHA NO FUTURO</t>
        </is>
      </c>
    </row>
    <row r="52" ht="28" customHeight="1">
      <c r="B52" s="8" t="inlineStr">
        <is>
          <t>• Adicione novas linhas no final das tabelas Fato_RDO_Detalhe (para novos RDOs) e Fato_Producao_Mensal (para novos meses), mantendo os mesmos nomes de coluna — as fórmulas das colunas calculadas devem ser arrastadas para as novas linhas.</t>
        </is>
      </c>
    </row>
    <row r="53" ht="28" customHeight="1">
      <c r="B53" s="8" t="inlineStr">
        <is>
          <t>• Para um novo mês, replique também uma linha em Fato_Efetivo_Mensal e em Fato_Improdutividade_Mensal por distrito, com os dados que hoje vêm do relatório mensal em PowerPoint.</t>
        </is>
      </c>
    </row>
    <row r="54" ht="42" customHeight="1">
      <c r="B54" s="8" t="inlineStr">
        <is>
          <t>• Como todas as abas de cálculo (Calc_PUS_Colaborador, Calc_PUS_Distrito, Quadro_Distrito, Grafico_Produtividade) usam fórmulas (SOMASES/SOMARPRODUTO) referenciando as tabelas Fato_*, os indicadores são recalculados automaticamente ao inserir novos dados — não é necessário refazer a planilha.</t>
        </is>
      </c>
    </row>
    <row r="55" ht="28" customHeight="1">
      <c r="B55" s="8" t="inlineStr">
        <is>
          <t>• Esta planilha foi desenhada para ser a fonte de dados do Power BI (Power Query aponta para as abas Fato_* e Dim_*) — ao atualizar os dados aqui e clicar em "Atualizar" no Power BI, o relatório é atualizado automaticamente.</t>
        </is>
      </c>
    </row>
  </sheetData>
  <mergeCells count="47">
    <mergeCell ref="B42:G42"/>
    <mergeCell ref="B14:G14"/>
    <mergeCell ref="B17:G17"/>
    <mergeCell ref="B23:G23"/>
    <mergeCell ref="B8:G8"/>
    <mergeCell ref="B13:G13"/>
    <mergeCell ref="B44:G44"/>
    <mergeCell ref="B53:G53"/>
    <mergeCell ref="B29:G29"/>
    <mergeCell ref="B38:G38"/>
    <mergeCell ref="B19:G19"/>
    <mergeCell ref="B34:G34"/>
    <mergeCell ref="B37:G37"/>
    <mergeCell ref="B9:G9"/>
    <mergeCell ref="B49:G49"/>
    <mergeCell ref="B40:G40"/>
    <mergeCell ref="B30:G30"/>
    <mergeCell ref="B15:G15"/>
    <mergeCell ref="B33:G33"/>
    <mergeCell ref="B55:G55"/>
    <mergeCell ref="B6:G6"/>
    <mergeCell ref="B24:G24"/>
    <mergeCell ref="B51:G51"/>
    <mergeCell ref="B5:G5"/>
    <mergeCell ref="B36:G36"/>
    <mergeCell ref="B45:G45"/>
    <mergeCell ref="B41:G41"/>
    <mergeCell ref="B32:G32"/>
    <mergeCell ref="B35:G35"/>
    <mergeCell ref="B26:G26"/>
    <mergeCell ref="B7:G7"/>
    <mergeCell ref="B25:G25"/>
    <mergeCell ref="B47:G47"/>
    <mergeCell ref="B16:G16"/>
    <mergeCell ref="B54:G54"/>
    <mergeCell ref="B46:G46"/>
    <mergeCell ref="B22:G22"/>
    <mergeCell ref="B31:G31"/>
    <mergeCell ref="B27:G27"/>
    <mergeCell ref="B43:G43"/>
    <mergeCell ref="B12:G12"/>
    <mergeCell ref="B18:G18"/>
    <mergeCell ref="B52:G52"/>
    <mergeCell ref="B21:G21"/>
    <mergeCell ref="B48:G48"/>
    <mergeCell ref="B39:G39"/>
    <mergeCell ref="B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2" customWidth="1" min="2" max="2"/>
  </cols>
  <sheetData>
    <row r="1">
      <c r="A1" s="9" t="inlineStr">
        <is>
          <t>Distrito</t>
        </is>
      </c>
      <c r="B1" s="9" t="inlineStr">
        <is>
          <t>Sigla_Origem</t>
        </is>
      </c>
    </row>
    <row r="2">
      <c r="A2" s="10" t="inlineStr">
        <is>
          <t>Marabá</t>
        </is>
      </c>
      <c r="B2" s="10" t="inlineStr">
        <is>
          <t>MAB / MBA</t>
        </is>
      </c>
    </row>
    <row r="3">
      <c r="A3" s="10" t="inlineStr">
        <is>
          <t>Parauapebas</t>
        </is>
      </c>
      <c r="B3" s="10" t="inlineStr">
        <is>
          <t>PBA</t>
        </is>
      </c>
    </row>
    <row r="4">
      <c r="A4" s="10" t="inlineStr">
        <is>
          <t>Canaã</t>
        </is>
      </c>
      <c r="B4" s="10" t="inlineStr">
        <is>
          <t>RAMAL / RFSL / CANAÃ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55" customWidth="1" min="2" max="2"/>
    <col width="10" customWidth="1" min="3" max="3"/>
    <col width="17" customWidth="1" min="4" max="4"/>
  </cols>
  <sheetData>
    <row r="1">
      <c r="A1" s="9" t="inlineStr">
        <is>
          <t>Atividade_Codigo</t>
        </is>
      </c>
      <c r="B1" s="9" t="inlineStr">
        <is>
          <t>Atividade_Descricao</t>
        </is>
      </c>
      <c r="C1" s="9" t="inlineStr">
        <is>
          <t>Unidade</t>
        </is>
      </c>
      <c r="D1" s="9" t="inlineStr">
        <is>
          <t>Meta_PUS_Padrao</t>
        </is>
      </c>
    </row>
    <row r="2">
      <c r="A2" s="10" t="inlineStr">
        <is>
          <t>2.1.2</t>
        </is>
      </c>
      <c r="B2" s="10" t="inlineStr">
        <is>
          <t>Limpeza De Bueiros</t>
        </is>
      </c>
      <c r="C2" s="10" t="inlineStr">
        <is>
          <t>M3</t>
        </is>
      </c>
      <c r="D2" s="11" t="n">
        <v>1</v>
      </c>
    </row>
    <row r="3">
      <c r="A3" s="10" t="inlineStr">
        <is>
          <t>2.1.3</t>
        </is>
      </c>
      <c r="B3" s="10" t="inlineStr">
        <is>
          <t>Limpeza De Canaleta Em Corte E Aterro Ate Meia Seção</t>
        </is>
      </c>
      <c r="C3" s="10" t="inlineStr">
        <is>
          <t>M</t>
        </is>
      </c>
      <c r="D3" s="11" t="n">
        <v>15</v>
      </c>
    </row>
    <row r="4">
      <c r="A4" s="10" t="inlineStr">
        <is>
          <t>2.1.3.1</t>
        </is>
      </c>
      <c r="B4" s="10" t="inlineStr">
        <is>
          <t>Limpeza De Canaleta Em Corte E Aterro Ate Meia Seção - Mec</t>
        </is>
      </c>
      <c r="C4" s="10" t="inlineStr">
        <is>
          <t>M</t>
        </is>
      </c>
      <c r="D4" s="11" t="n">
        <v>1</v>
      </c>
    </row>
    <row r="5">
      <c r="A5" s="10" t="inlineStr">
        <is>
          <t>2.1.4</t>
        </is>
      </c>
      <c r="B5" s="10" t="inlineStr">
        <is>
          <t>Limpeza De Canaleta Em Corte E Aterro Com Seção Plena</t>
        </is>
      </c>
      <c r="C5" s="10" t="inlineStr">
        <is>
          <t>M</t>
        </is>
      </c>
      <c r="D5" s="11" t="n">
        <v>2.82</v>
      </c>
    </row>
    <row r="6">
      <c r="A6" s="10" t="inlineStr">
        <is>
          <t>2.1.4.1</t>
        </is>
      </c>
      <c r="B6" s="10" t="inlineStr">
        <is>
          <t>Limpeza De Canaleta Em Corte E Aterro Com Seção Plena - Mec</t>
        </is>
      </c>
      <c r="C6" s="10" t="inlineStr">
        <is>
          <t>M</t>
        </is>
      </c>
      <c r="D6" s="11" t="n">
        <v>18</v>
      </c>
    </row>
    <row r="7">
      <c r="A7" s="10" t="inlineStr">
        <is>
          <t>2.1.5</t>
        </is>
      </c>
      <c r="B7" s="10" t="inlineStr">
        <is>
          <t>Limpeza De Valeta, Sarjetas E Meio Fio</t>
        </is>
      </c>
      <c r="C7" s="10" t="inlineStr">
        <is>
          <t>M</t>
        </is>
      </c>
      <c r="D7" s="11" t="n">
        <v>9</v>
      </c>
    </row>
    <row r="8">
      <c r="A8" s="10" t="inlineStr">
        <is>
          <t>2.1.6</t>
        </is>
      </c>
      <c r="B8" s="10" t="inlineStr">
        <is>
          <t>Rejuntamento De Bueiro - Estimar 20% Da Quantidade De Bueiros</t>
        </is>
      </c>
      <c r="C8" s="10" t="inlineStr">
        <is>
          <t>M³</t>
        </is>
      </c>
      <c r="D8" s="11" t="n"/>
    </row>
    <row r="9">
      <c r="A9" s="10" t="inlineStr">
        <is>
          <t>2.1.7</t>
        </is>
      </c>
      <c r="B9" s="10" t="inlineStr">
        <is>
          <t>Recuperação De Drenagem Tipo Canaleta/Valeta Em Taludes, Limitando-Se A 100M De Extensão</t>
        </is>
      </c>
      <c r="C9" s="10" t="inlineStr">
        <is>
          <t>M</t>
        </is>
      </c>
      <c r="D9" s="11" t="n">
        <v>1</v>
      </c>
    </row>
    <row r="10">
      <c r="A10" s="10" t="inlineStr">
        <is>
          <t>2.1.8</t>
        </is>
      </c>
      <c r="B10" s="10" t="inlineStr">
        <is>
          <t>Recuperação De Drenagem Tipop Sarjeta/Meio-Fio Em Plataforma, Limitando-Se A 100M De Extensão</t>
        </is>
      </c>
      <c r="C10" s="10" t="inlineStr">
        <is>
          <t>M</t>
        </is>
      </c>
      <c r="D10" s="11" t="n">
        <v>1</v>
      </c>
    </row>
    <row r="11">
      <c r="A11" s="10" t="inlineStr">
        <is>
          <t>2.2.1</t>
        </is>
      </c>
      <c r="B11" s="10" t="inlineStr">
        <is>
          <t>Roçada</t>
        </is>
      </c>
      <c r="C11" s="10" t="inlineStr">
        <is>
          <t>M2</t>
        </is>
      </c>
      <c r="D11" s="11" t="n">
        <v>50</v>
      </c>
    </row>
    <row r="12">
      <c r="A12" s="10" t="inlineStr">
        <is>
          <t>2.2.1.1</t>
        </is>
      </c>
      <c r="B12" s="10" t="inlineStr">
        <is>
          <t>Roçada - Mec</t>
        </is>
      </c>
      <c r="C12" s="10" t="inlineStr">
        <is>
          <t>M2</t>
        </is>
      </c>
      <c r="D12" s="11" t="n">
        <v>9</v>
      </c>
    </row>
    <row r="13">
      <c r="A13" s="10" t="inlineStr">
        <is>
          <t>2.2.10</t>
        </is>
      </c>
      <c r="B13" s="10" t="inlineStr">
        <is>
          <t>Corte De Árvores De Grande Porte Com Auxilio De Equipamentos De Grande Porte Fornecido Pela Vale, Quando Necessário (Plataformas Elevatórias, Caminhões Sky E Outros)</t>
        </is>
      </c>
      <c r="C13" s="10" t="inlineStr">
        <is>
          <t>UNID</t>
        </is>
      </c>
      <c r="D13" s="11" t="n"/>
    </row>
    <row r="14">
      <c r="A14" s="10" t="inlineStr">
        <is>
          <t>2.2.11</t>
        </is>
      </c>
      <c r="B14" s="10" t="inlineStr">
        <is>
          <t>Corte De Árvores De Grande Porte Com Auxilio De Equipamentos De Grande Porte Fornecido Pela Contratada</t>
        </is>
      </c>
      <c r="C14" s="10" t="inlineStr">
        <is>
          <t>UNID</t>
        </is>
      </c>
      <c r="D14" s="11" t="n"/>
    </row>
    <row r="15">
      <c r="A15" s="10" t="inlineStr">
        <is>
          <t>2.2.12</t>
        </is>
      </c>
      <c r="B15" s="10" t="inlineStr">
        <is>
          <t>Momento Extraordinário De Transporte</t>
        </is>
      </c>
      <c r="C15" s="10" t="inlineStr">
        <is>
          <t>M³xKM</t>
        </is>
      </c>
      <c r="D15" s="11" t="n"/>
    </row>
    <row r="16">
      <c r="A16" s="10" t="inlineStr">
        <is>
          <t>2.2.2</t>
        </is>
      </c>
      <c r="B16" s="10" t="inlineStr">
        <is>
          <t>Capina</t>
        </is>
      </c>
      <c r="C16" s="10" t="inlineStr">
        <is>
          <t>M2</t>
        </is>
      </c>
      <c r="D16" s="11" t="n">
        <v>4</v>
      </c>
    </row>
    <row r="17">
      <c r="A17" s="10" t="inlineStr">
        <is>
          <t>2.2.2.1</t>
        </is>
      </c>
      <c r="B17" s="10" t="inlineStr">
        <is>
          <t>Capina  - Mec</t>
        </is>
      </c>
      <c r="C17" s="10" t="inlineStr">
        <is>
          <t>M2</t>
        </is>
      </c>
      <c r="D17" s="11" t="n">
        <v>150</v>
      </c>
    </row>
    <row r="18">
      <c r="A18" s="10" t="inlineStr">
        <is>
          <t>2.2.3</t>
        </is>
      </c>
      <c r="B18" s="10" t="inlineStr">
        <is>
          <t>Capina Química Com Equipamento Costal Ou Aplicação Similar</t>
        </is>
      </c>
      <c r="C18" s="10" t="inlineStr">
        <is>
          <t>M²</t>
        </is>
      </c>
      <c r="D18" s="11" t="n"/>
    </row>
    <row r="19">
      <c r="A19" s="10" t="inlineStr">
        <is>
          <t>2.2.4</t>
        </is>
      </c>
      <c r="B19" s="10" t="inlineStr">
        <is>
          <t>Capina Química Com Uso De Drone</t>
        </is>
      </c>
      <c r="C19" s="10" t="inlineStr">
        <is>
          <t>M²</t>
        </is>
      </c>
      <c r="D19" s="11" t="n"/>
    </row>
    <row r="20">
      <c r="A20" s="10" t="inlineStr">
        <is>
          <t>2.2.5</t>
        </is>
      </c>
      <c r="B20" s="10" t="inlineStr">
        <is>
          <t>Remoção De Solo</t>
        </is>
      </c>
      <c r="C20" s="10" t="inlineStr">
        <is>
          <t>M3</t>
        </is>
      </c>
      <c r="D20" s="11" t="n">
        <v>28</v>
      </c>
    </row>
    <row r="21">
      <c r="A21" s="10" t="inlineStr">
        <is>
          <t>2.2.6</t>
        </is>
      </c>
      <c r="B21" s="10" t="inlineStr">
        <is>
          <t>Poda De Árvores Com Auxilio De Equipamentos De Grande Porte Fornecido Pela Vale, Quando Necessário (Plataformas Elevatórias, Caminhões Sky E Outros)</t>
        </is>
      </c>
      <c r="C21" s="10" t="inlineStr">
        <is>
          <t>M²</t>
        </is>
      </c>
      <c r="D21" s="11" t="n"/>
    </row>
    <row r="22">
      <c r="A22" s="10" t="inlineStr">
        <is>
          <t>2.2.7</t>
        </is>
      </c>
      <c r="B22" s="10" t="inlineStr">
        <is>
          <t>Poda De Árvores Com Auxilio De Equipamentos De Grande Porte Fornecido Pela Contratada (M²)</t>
        </is>
      </c>
      <c r="C22" s="10" t="inlineStr">
        <is>
          <t>M²</t>
        </is>
      </c>
      <c r="D22" s="11" t="n"/>
    </row>
    <row r="23">
      <c r="A23" s="10" t="inlineStr">
        <is>
          <t>2.2.8</t>
        </is>
      </c>
      <c r="B23" s="10" t="inlineStr">
        <is>
          <t>Corte De Árvores De Pequeno Porte Com Auxilio De Equipamentos De Grande Porte Fornecido Pela Vale, Quando Necessário (Plataformas Elevatórias, Caminhões Sky E Outros)</t>
        </is>
      </c>
      <c r="C23" s="10" t="inlineStr">
        <is>
          <t>UNID</t>
        </is>
      </c>
      <c r="D23" s="11" t="n"/>
    </row>
    <row r="24">
      <c r="A24" s="10" t="inlineStr">
        <is>
          <t>2.2.9</t>
        </is>
      </c>
      <c r="B24" s="10" t="inlineStr">
        <is>
          <t>Corte De Árvores De Pequeno Porte Com Auxilio De Equipamentos De Grande Porte Fornecido Pela Contratada</t>
        </is>
      </c>
      <c r="C24" s="10" t="inlineStr">
        <is>
          <t>UNID</t>
        </is>
      </c>
      <c r="D24" s="11" t="n"/>
    </row>
    <row r="25">
      <c r="A25" s="10" t="inlineStr">
        <is>
          <t>2.3.1</t>
        </is>
      </c>
      <c r="B25" s="10" t="inlineStr">
        <is>
          <t>Fornecimento E Aplicação De Sinalização Gráfica Vertical Completa (M²)</t>
        </is>
      </c>
      <c r="C25" s="10" t="inlineStr">
        <is>
          <t>M²</t>
        </is>
      </c>
      <c r="D25" s="11" t="n"/>
    </row>
    <row r="26">
      <c r="A26" s="10" t="inlineStr">
        <is>
          <t>2.3.2</t>
        </is>
      </c>
      <c r="B26" s="10" t="inlineStr">
        <is>
          <t>Aplicação De Trilho Para Cruz De Santo André (Trilho Fornecimento Vale)</t>
        </is>
      </c>
      <c r="C26" s="10" t="inlineStr">
        <is>
          <t>UNID</t>
        </is>
      </c>
      <c r="D26" s="1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31" customWidth="1" min="2" max="2"/>
    <col width="30" customWidth="1" min="3" max="3"/>
    <col width="13" customWidth="1" min="4" max="4"/>
  </cols>
  <sheetData>
    <row r="1">
      <c r="A1" s="9" t="inlineStr">
        <is>
          <t>Colaborador</t>
        </is>
      </c>
      <c r="B1" s="9" t="inlineStr">
        <is>
          <t>Funcao</t>
        </is>
      </c>
      <c r="C1" s="9" t="inlineStr">
        <is>
          <t>Equipe</t>
        </is>
      </c>
      <c r="D1" s="9" t="inlineStr">
        <is>
          <t>Distrito</t>
        </is>
      </c>
    </row>
    <row r="2">
      <c r="A2" s="10" t="inlineStr">
        <is>
          <t>Gilvandro Borges Dos Santos</t>
        </is>
      </c>
      <c r="B2" s="10" t="inlineStr">
        <is>
          <t>Encarregado / Líder de Equipe</t>
        </is>
      </c>
      <c r="C2" s="10" t="inlineStr">
        <is>
          <t>Preventiva CANNÃ DOS CARAJAS</t>
        </is>
      </c>
      <c r="D2" s="10" t="inlineStr">
        <is>
          <t>Canaã</t>
        </is>
      </c>
    </row>
    <row r="3">
      <c r="A3" s="10" t="inlineStr">
        <is>
          <t>Jose Domingos Lopes</t>
        </is>
      </c>
      <c r="B3" s="10" t="inlineStr">
        <is>
          <t>Encarregado / Líder de Equipe</t>
        </is>
      </c>
      <c r="C3" s="10" t="inlineStr">
        <is>
          <t>Preventiva MARABA</t>
        </is>
      </c>
      <c r="D3" s="10" t="inlineStr">
        <is>
          <t>Marabá</t>
        </is>
      </c>
    </row>
    <row r="4">
      <c r="A4" s="10" t="inlineStr">
        <is>
          <t>Leandro Soares Dias</t>
        </is>
      </c>
      <c r="B4" s="10" t="inlineStr">
        <is>
          <t>Encarregado / Líder de Equipe</t>
        </is>
      </c>
      <c r="C4" s="10" t="inlineStr">
        <is>
          <t>Preventiva PARAUAPEBAS</t>
        </is>
      </c>
      <c r="D4" s="10" t="inlineStr">
        <is>
          <t>Parauapebas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</cols>
  <sheetData>
    <row r="1">
      <c r="A1" s="9" t="inlineStr">
        <is>
          <t>Data</t>
        </is>
      </c>
      <c r="B1" s="9" t="inlineStr">
        <is>
          <t>Ano</t>
        </is>
      </c>
      <c r="C1" s="9" t="inlineStr">
        <is>
          <t>Mes</t>
        </is>
      </c>
      <c r="D1" s="9" t="inlineStr">
        <is>
          <t>MesNome</t>
        </is>
      </c>
      <c r="E1" s="9" t="inlineStr">
        <is>
          <t>AnoMes</t>
        </is>
      </c>
      <c r="F1" s="9" t="inlineStr">
        <is>
          <t>Trimestre</t>
        </is>
      </c>
      <c r="G1" s="9" t="inlineStr">
        <is>
          <t>DiaSemana</t>
        </is>
      </c>
    </row>
    <row r="2">
      <c r="A2" s="12" t="n">
        <v>46023</v>
      </c>
      <c r="B2" s="10" t="n">
        <v>2026</v>
      </c>
      <c r="C2" s="10" t="n">
        <v>1</v>
      </c>
      <c r="D2" s="10" t="inlineStr">
        <is>
          <t>Janeiro</t>
        </is>
      </c>
      <c r="E2" s="10" t="inlineStr">
        <is>
          <t>2026-01</t>
        </is>
      </c>
      <c r="F2" s="10" t="inlineStr">
        <is>
          <t>T1</t>
        </is>
      </c>
      <c r="G2" s="10" t="inlineStr">
        <is>
          <t>Thursday</t>
        </is>
      </c>
    </row>
    <row r="3">
      <c r="A3" s="12" t="n">
        <v>46024</v>
      </c>
      <c r="B3" s="10" t="n">
        <v>2026</v>
      </c>
      <c r="C3" s="10" t="n">
        <v>1</v>
      </c>
      <c r="D3" s="10" t="inlineStr">
        <is>
          <t>Janeiro</t>
        </is>
      </c>
      <c r="E3" s="10" t="inlineStr">
        <is>
          <t>2026-01</t>
        </is>
      </c>
      <c r="F3" s="10" t="inlineStr">
        <is>
          <t>T1</t>
        </is>
      </c>
      <c r="G3" s="10" t="inlineStr">
        <is>
          <t>Friday</t>
        </is>
      </c>
    </row>
    <row r="4">
      <c r="A4" s="12" t="n">
        <v>46025</v>
      </c>
      <c r="B4" s="10" t="n">
        <v>2026</v>
      </c>
      <c r="C4" s="10" t="n">
        <v>1</v>
      </c>
      <c r="D4" s="10" t="inlineStr">
        <is>
          <t>Janeiro</t>
        </is>
      </c>
      <c r="E4" s="10" t="inlineStr">
        <is>
          <t>2026-01</t>
        </is>
      </c>
      <c r="F4" s="10" t="inlineStr">
        <is>
          <t>T1</t>
        </is>
      </c>
      <c r="G4" s="10" t="inlineStr">
        <is>
          <t>Saturday</t>
        </is>
      </c>
    </row>
    <row r="5">
      <c r="A5" s="12" t="n">
        <v>46026</v>
      </c>
      <c r="B5" s="10" t="n">
        <v>2026</v>
      </c>
      <c r="C5" s="10" t="n">
        <v>1</v>
      </c>
      <c r="D5" s="10" t="inlineStr">
        <is>
          <t>Janeiro</t>
        </is>
      </c>
      <c r="E5" s="10" t="inlineStr">
        <is>
          <t>2026-01</t>
        </is>
      </c>
      <c r="F5" s="10" t="inlineStr">
        <is>
          <t>T1</t>
        </is>
      </c>
      <c r="G5" s="10" t="inlineStr">
        <is>
          <t>Sunday</t>
        </is>
      </c>
    </row>
    <row r="6">
      <c r="A6" s="12" t="n">
        <v>46027</v>
      </c>
      <c r="B6" s="10" t="n">
        <v>2026</v>
      </c>
      <c r="C6" s="10" t="n">
        <v>1</v>
      </c>
      <c r="D6" s="10" t="inlineStr">
        <is>
          <t>Janeiro</t>
        </is>
      </c>
      <c r="E6" s="10" t="inlineStr">
        <is>
          <t>2026-01</t>
        </is>
      </c>
      <c r="F6" s="10" t="inlineStr">
        <is>
          <t>T1</t>
        </is>
      </c>
      <c r="G6" s="10" t="inlineStr">
        <is>
          <t>Monday</t>
        </is>
      </c>
    </row>
    <row r="7">
      <c r="A7" s="12" t="n">
        <v>46028</v>
      </c>
      <c r="B7" s="10" t="n">
        <v>2026</v>
      </c>
      <c r="C7" s="10" t="n">
        <v>1</v>
      </c>
      <c r="D7" s="10" t="inlineStr">
        <is>
          <t>Janeiro</t>
        </is>
      </c>
      <c r="E7" s="10" t="inlineStr">
        <is>
          <t>2026-01</t>
        </is>
      </c>
      <c r="F7" s="10" t="inlineStr">
        <is>
          <t>T1</t>
        </is>
      </c>
      <c r="G7" s="10" t="inlineStr">
        <is>
          <t>Tuesday</t>
        </is>
      </c>
    </row>
    <row r="8">
      <c r="A8" s="12" t="n">
        <v>46029</v>
      </c>
      <c r="B8" s="10" t="n">
        <v>2026</v>
      </c>
      <c r="C8" s="10" t="n">
        <v>1</v>
      </c>
      <c r="D8" s="10" t="inlineStr">
        <is>
          <t>Janeiro</t>
        </is>
      </c>
      <c r="E8" s="10" t="inlineStr">
        <is>
          <t>2026-01</t>
        </is>
      </c>
      <c r="F8" s="10" t="inlineStr">
        <is>
          <t>T1</t>
        </is>
      </c>
      <c r="G8" s="10" t="inlineStr">
        <is>
          <t>Wednesday</t>
        </is>
      </c>
    </row>
    <row r="9">
      <c r="A9" s="12" t="n">
        <v>46030</v>
      </c>
      <c r="B9" s="10" t="n">
        <v>2026</v>
      </c>
      <c r="C9" s="10" t="n">
        <v>1</v>
      </c>
      <c r="D9" s="10" t="inlineStr">
        <is>
          <t>Janeiro</t>
        </is>
      </c>
      <c r="E9" s="10" t="inlineStr">
        <is>
          <t>2026-01</t>
        </is>
      </c>
      <c r="F9" s="10" t="inlineStr">
        <is>
          <t>T1</t>
        </is>
      </c>
      <c r="G9" s="10" t="inlineStr">
        <is>
          <t>Thursday</t>
        </is>
      </c>
    </row>
    <row r="10">
      <c r="A10" s="12" t="n">
        <v>46031</v>
      </c>
      <c r="B10" s="10" t="n">
        <v>2026</v>
      </c>
      <c r="C10" s="10" t="n">
        <v>1</v>
      </c>
      <c r="D10" s="10" t="inlineStr">
        <is>
          <t>Janeiro</t>
        </is>
      </c>
      <c r="E10" s="10" t="inlineStr">
        <is>
          <t>2026-01</t>
        </is>
      </c>
      <c r="F10" s="10" t="inlineStr">
        <is>
          <t>T1</t>
        </is>
      </c>
      <c r="G10" s="10" t="inlineStr">
        <is>
          <t>Friday</t>
        </is>
      </c>
    </row>
    <row r="11">
      <c r="A11" s="12" t="n">
        <v>46032</v>
      </c>
      <c r="B11" s="10" t="n">
        <v>2026</v>
      </c>
      <c r="C11" s="10" t="n">
        <v>1</v>
      </c>
      <c r="D11" s="10" t="inlineStr">
        <is>
          <t>Janeiro</t>
        </is>
      </c>
      <c r="E11" s="10" t="inlineStr">
        <is>
          <t>2026-01</t>
        </is>
      </c>
      <c r="F11" s="10" t="inlineStr">
        <is>
          <t>T1</t>
        </is>
      </c>
      <c r="G11" s="10" t="inlineStr">
        <is>
          <t>Saturday</t>
        </is>
      </c>
    </row>
    <row r="12">
      <c r="A12" s="12" t="n">
        <v>46033</v>
      </c>
      <c r="B12" s="10" t="n">
        <v>2026</v>
      </c>
      <c r="C12" s="10" t="n">
        <v>1</v>
      </c>
      <c r="D12" s="10" t="inlineStr">
        <is>
          <t>Janeiro</t>
        </is>
      </c>
      <c r="E12" s="10" t="inlineStr">
        <is>
          <t>2026-01</t>
        </is>
      </c>
      <c r="F12" s="10" t="inlineStr">
        <is>
          <t>T1</t>
        </is>
      </c>
      <c r="G12" s="10" t="inlineStr">
        <is>
          <t>Sunday</t>
        </is>
      </c>
    </row>
    <row r="13">
      <c r="A13" s="12" t="n">
        <v>46034</v>
      </c>
      <c r="B13" s="10" t="n">
        <v>2026</v>
      </c>
      <c r="C13" s="10" t="n">
        <v>1</v>
      </c>
      <c r="D13" s="10" t="inlineStr">
        <is>
          <t>Janeiro</t>
        </is>
      </c>
      <c r="E13" s="10" t="inlineStr">
        <is>
          <t>2026-01</t>
        </is>
      </c>
      <c r="F13" s="10" t="inlineStr">
        <is>
          <t>T1</t>
        </is>
      </c>
      <c r="G13" s="10" t="inlineStr">
        <is>
          <t>Monday</t>
        </is>
      </c>
    </row>
    <row r="14">
      <c r="A14" s="12" t="n">
        <v>46035</v>
      </c>
      <c r="B14" s="10" t="n">
        <v>2026</v>
      </c>
      <c r="C14" s="10" t="n">
        <v>1</v>
      </c>
      <c r="D14" s="10" t="inlineStr">
        <is>
          <t>Janeiro</t>
        </is>
      </c>
      <c r="E14" s="10" t="inlineStr">
        <is>
          <t>2026-01</t>
        </is>
      </c>
      <c r="F14" s="10" t="inlineStr">
        <is>
          <t>T1</t>
        </is>
      </c>
      <c r="G14" s="10" t="inlineStr">
        <is>
          <t>Tuesday</t>
        </is>
      </c>
    </row>
    <row r="15">
      <c r="A15" s="12" t="n">
        <v>46036</v>
      </c>
      <c r="B15" s="10" t="n">
        <v>2026</v>
      </c>
      <c r="C15" s="10" t="n">
        <v>1</v>
      </c>
      <c r="D15" s="10" t="inlineStr">
        <is>
          <t>Janeiro</t>
        </is>
      </c>
      <c r="E15" s="10" t="inlineStr">
        <is>
          <t>2026-01</t>
        </is>
      </c>
      <c r="F15" s="10" t="inlineStr">
        <is>
          <t>T1</t>
        </is>
      </c>
      <c r="G15" s="10" t="inlineStr">
        <is>
          <t>Wednesday</t>
        </is>
      </c>
    </row>
    <row r="16">
      <c r="A16" s="12" t="n">
        <v>46037</v>
      </c>
      <c r="B16" s="10" t="n">
        <v>2026</v>
      </c>
      <c r="C16" s="10" t="n">
        <v>1</v>
      </c>
      <c r="D16" s="10" t="inlineStr">
        <is>
          <t>Janeiro</t>
        </is>
      </c>
      <c r="E16" s="10" t="inlineStr">
        <is>
          <t>2026-01</t>
        </is>
      </c>
      <c r="F16" s="10" t="inlineStr">
        <is>
          <t>T1</t>
        </is>
      </c>
      <c r="G16" s="10" t="inlineStr">
        <is>
          <t>Thursday</t>
        </is>
      </c>
    </row>
    <row r="17">
      <c r="A17" s="12" t="n">
        <v>46038</v>
      </c>
      <c r="B17" s="10" t="n">
        <v>2026</v>
      </c>
      <c r="C17" s="10" t="n">
        <v>1</v>
      </c>
      <c r="D17" s="10" t="inlineStr">
        <is>
          <t>Janeiro</t>
        </is>
      </c>
      <c r="E17" s="10" t="inlineStr">
        <is>
          <t>2026-01</t>
        </is>
      </c>
      <c r="F17" s="10" t="inlineStr">
        <is>
          <t>T1</t>
        </is>
      </c>
      <c r="G17" s="10" t="inlineStr">
        <is>
          <t>Friday</t>
        </is>
      </c>
    </row>
    <row r="18">
      <c r="A18" s="12" t="n">
        <v>46039</v>
      </c>
      <c r="B18" s="10" t="n">
        <v>2026</v>
      </c>
      <c r="C18" s="10" t="n">
        <v>1</v>
      </c>
      <c r="D18" s="10" t="inlineStr">
        <is>
          <t>Janeiro</t>
        </is>
      </c>
      <c r="E18" s="10" t="inlineStr">
        <is>
          <t>2026-01</t>
        </is>
      </c>
      <c r="F18" s="10" t="inlineStr">
        <is>
          <t>T1</t>
        </is>
      </c>
      <c r="G18" s="10" t="inlineStr">
        <is>
          <t>Saturday</t>
        </is>
      </c>
    </row>
    <row r="19">
      <c r="A19" s="12" t="n">
        <v>46040</v>
      </c>
      <c r="B19" s="10" t="n">
        <v>2026</v>
      </c>
      <c r="C19" s="10" t="n">
        <v>1</v>
      </c>
      <c r="D19" s="10" t="inlineStr">
        <is>
          <t>Janeiro</t>
        </is>
      </c>
      <c r="E19" s="10" t="inlineStr">
        <is>
          <t>2026-01</t>
        </is>
      </c>
      <c r="F19" s="10" t="inlineStr">
        <is>
          <t>T1</t>
        </is>
      </c>
      <c r="G19" s="10" t="inlineStr">
        <is>
          <t>Sunday</t>
        </is>
      </c>
    </row>
    <row r="20">
      <c r="A20" s="12" t="n">
        <v>46041</v>
      </c>
      <c r="B20" s="10" t="n">
        <v>2026</v>
      </c>
      <c r="C20" s="10" t="n">
        <v>1</v>
      </c>
      <c r="D20" s="10" t="inlineStr">
        <is>
          <t>Janeiro</t>
        </is>
      </c>
      <c r="E20" s="10" t="inlineStr">
        <is>
          <t>2026-01</t>
        </is>
      </c>
      <c r="F20" s="10" t="inlineStr">
        <is>
          <t>T1</t>
        </is>
      </c>
      <c r="G20" s="10" t="inlineStr">
        <is>
          <t>Monday</t>
        </is>
      </c>
    </row>
    <row r="21">
      <c r="A21" s="12" t="n">
        <v>46042</v>
      </c>
      <c r="B21" s="10" t="n">
        <v>2026</v>
      </c>
      <c r="C21" s="10" t="n">
        <v>1</v>
      </c>
      <c r="D21" s="10" t="inlineStr">
        <is>
          <t>Janeiro</t>
        </is>
      </c>
      <c r="E21" s="10" t="inlineStr">
        <is>
          <t>2026-01</t>
        </is>
      </c>
      <c r="F21" s="10" t="inlineStr">
        <is>
          <t>T1</t>
        </is>
      </c>
      <c r="G21" s="10" t="inlineStr">
        <is>
          <t>Tuesday</t>
        </is>
      </c>
    </row>
    <row r="22">
      <c r="A22" s="12" t="n">
        <v>46043</v>
      </c>
      <c r="B22" s="10" t="n">
        <v>2026</v>
      </c>
      <c r="C22" s="10" t="n">
        <v>1</v>
      </c>
      <c r="D22" s="10" t="inlineStr">
        <is>
          <t>Janeiro</t>
        </is>
      </c>
      <c r="E22" s="10" t="inlineStr">
        <is>
          <t>2026-01</t>
        </is>
      </c>
      <c r="F22" s="10" t="inlineStr">
        <is>
          <t>T1</t>
        </is>
      </c>
      <c r="G22" s="10" t="inlineStr">
        <is>
          <t>Wednesday</t>
        </is>
      </c>
    </row>
    <row r="23">
      <c r="A23" s="12" t="n">
        <v>46044</v>
      </c>
      <c r="B23" s="10" t="n">
        <v>2026</v>
      </c>
      <c r="C23" s="10" t="n">
        <v>1</v>
      </c>
      <c r="D23" s="10" t="inlineStr">
        <is>
          <t>Janeiro</t>
        </is>
      </c>
      <c r="E23" s="10" t="inlineStr">
        <is>
          <t>2026-01</t>
        </is>
      </c>
      <c r="F23" s="10" t="inlineStr">
        <is>
          <t>T1</t>
        </is>
      </c>
      <c r="G23" s="10" t="inlineStr">
        <is>
          <t>Thursday</t>
        </is>
      </c>
    </row>
    <row r="24">
      <c r="A24" s="12" t="n">
        <v>46045</v>
      </c>
      <c r="B24" s="10" t="n">
        <v>2026</v>
      </c>
      <c r="C24" s="10" t="n">
        <v>1</v>
      </c>
      <c r="D24" s="10" t="inlineStr">
        <is>
          <t>Janeiro</t>
        </is>
      </c>
      <c r="E24" s="10" t="inlineStr">
        <is>
          <t>2026-01</t>
        </is>
      </c>
      <c r="F24" s="10" t="inlineStr">
        <is>
          <t>T1</t>
        </is>
      </c>
      <c r="G24" s="10" t="inlineStr">
        <is>
          <t>Friday</t>
        </is>
      </c>
    </row>
    <row r="25">
      <c r="A25" s="12" t="n">
        <v>46046</v>
      </c>
      <c r="B25" s="10" t="n">
        <v>2026</v>
      </c>
      <c r="C25" s="10" t="n">
        <v>1</v>
      </c>
      <c r="D25" s="10" t="inlineStr">
        <is>
          <t>Janeiro</t>
        </is>
      </c>
      <c r="E25" s="10" t="inlineStr">
        <is>
          <t>2026-01</t>
        </is>
      </c>
      <c r="F25" s="10" t="inlineStr">
        <is>
          <t>T1</t>
        </is>
      </c>
      <c r="G25" s="10" t="inlineStr">
        <is>
          <t>Saturday</t>
        </is>
      </c>
    </row>
    <row r="26">
      <c r="A26" s="12" t="n">
        <v>46047</v>
      </c>
      <c r="B26" s="10" t="n">
        <v>2026</v>
      </c>
      <c r="C26" s="10" t="n">
        <v>1</v>
      </c>
      <c r="D26" s="10" t="inlineStr">
        <is>
          <t>Janeiro</t>
        </is>
      </c>
      <c r="E26" s="10" t="inlineStr">
        <is>
          <t>2026-01</t>
        </is>
      </c>
      <c r="F26" s="10" t="inlineStr">
        <is>
          <t>T1</t>
        </is>
      </c>
      <c r="G26" s="10" t="inlineStr">
        <is>
          <t>Sunday</t>
        </is>
      </c>
    </row>
    <row r="27">
      <c r="A27" s="12" t="n">
        <v>46048</v>
      </c>
      <c r="B27" s="10" t="n">
        <v>2026</v>
      </c>
      <c r="C27" s="10" t="n">
        <v>1</v>
      </c>
      <c r="D27" s="10" t="inlineStr">
        <is>
          <t>Janeiro</t>
        </is>
      </c>
      <c r="E27" s="10" t="inlineStr">
        <is>
          <t>2026-01</t>
        </is>
      </c>
      <c r="F27" s="10" t="inlineStr">
        <is>
          <t>T1</t>
        </is>
      </c>
      <c r="G27" s="10" t="inlineStr">
        <is>
          <t>Monday</t>
        </is>
      </c>
    </row>
    <row r="28">
      <c r="A28" s="12" t="n">
        <v>46049</v>
      </c>
      <c r="B28" s="10" t="n">
        <v>2026</v>
      </c>
      <c r="C28" s="10" t="n">
        <v>1</v>
      </c>
      <c r="D28" s="10" t="inlineStr">
        <is>
          <t>Janeiro</t>
        </is>
      </c>
      <c r="E28" s="10" t="inlineStr">
        <is>
          <t>2026-01</t>
        </is>
      </c>
      <c r="F28" s="10" t="inlineStr">
        <is>
          <t>T1</t>
        </is>
      </c>
      <c r="G28" s="10" t="inlineStr">
        <is>
          <t>Tuesday</t>
        </is>
      </c>
    </row>
    <row r="29">
      <c r="A29" s="12" t="n">
        <v>46050</v>
      </c>
      <c r="B29" s="10" t="n">
        <v>2026</v>
      </c>
      <c r="C29" s="10" t="n">
        <v>1</v>
      </c>
      <c r="D29" s="10" t="inlineStr">
        <is>
          <t>Janeiro</t>
        </is>
      </c>
      <c r="E29" s="10" t="inlineStr">
        <is>
          <t>2026-01</t>
        </is>
      </c>
      <c r="F29" s="10" t="inlineStr">
        <is>
          <t>T1</t>
        </is>
      </c>
      <c r="G29" s="10" t="inlineStr">
        <is>
          <t>Wednesday</t>
        </is>
      </c>
    </row>
    <row r="30">
      <c r="A30" s="12" t="n">
        <v>46051</v>
      </c>
      <c r="B30" s="10" t="n">
        <v>2026</v>
      </c>
      <c r="C30" s="10" t="n">
        <v>1</v>
      </c>
      <c r="D30" s="10" t="inlineStr">
        <is>
          <t>Janeiro</t>
        </is>
      </c>
      <c r="E30" s="10" t="inlineStr">
        <is>
          <t>2026-01</t>
        </is>
      </c>
      <c r="F30" s="10" t="inlineStr">
        <is>
          <t>T1</t>
        </is>
      </c>
      <c r="G30" s="10" t="inlineStr">
        <is>
          <t>Thursday</t>
        </is>
      </c>
    </row>
    <row r="31">
      <c r="A31" s="12" t="n">
        <v>46052</v>
      </c>
      <c r="B31" s="10" t="n">
        <v>2026</v>
      </c>
      <c r="C31" s="10" t="n">
        <v>1</v>
      </c>
      <c r="D31" s="10" t="inlineStr">
        <is>
          <t>Janeiro</t>
        </is>
      </c>
      <c r="E31" s="10" t="inlineStr">
        <is>
          <t>2026-01</t>
        </is>
      </c>
      <c r="F31" s="10" t="inlineStr">
        <is>
          <t>T1</t>
        </is>
      </c>
      <c r="G31" s="10" t="inlineStr">
        <is>
          <t>Friday</t>
        </is>
      </c>
    </row>
    <row r="32">
      <c r="A32" s="12" t="n">
        <v>46053</v>
      </c>
      <c r="B32" s="10" t="n">
        <v>2026</v>
      </c>
      <c r="C32" s="10" t="n">
        <v>1</v>
      </c>
      <c r="D32" s="10" t="inlineStr">
        <is>
          <t>Janeiro</t>
        </is>
      </c>
      <c r="E32" s="10" t="inlineStr">
        <is>
          <t>2026-01</t>
        </is>
      </c>
      <c r="F32" s="10" t="inlineStr">
        <is>
          <t>T1</t>
        </is>
      </c>
      <c r="G32" s="10" t="inlineStr">
        <is>
          <t>Saturday</t>
        </is>
      </c>
    </row>
    <row r="33">
      <c r="A33" s="12" t="n">
        <v>46054</v>
      </c>
      <c r="B33" s="10" t="n">
        <v>2026</v>
      </c>
      <c r="C33" s="10" t="n">
        <v>2</v>
      </c>
      <c r="D33" s="10" t="inlineStr">
        <is>
          <t>Fevereiro</t>
        </is>
      </c>
      <c r="E33" s="10" t="inlineStr">
        <is>
          <t>2026-02</t>
        </is>
      </c>
      <c r="F33" s="10" t="inlineStr">
        <is>
          <t>T1</t>
        </is>
      </c>
      <c r="G33" s="10" t="inlineStr">
        <is>
          <t>Sunday</t>
        </is>
      </c>
    </row>
    <row r="34">
      <c r="A34" s="12" t="n">
        <v>46055</v>
      </c>
      <c r="B34" s="10" t="n">
        <v>2026</v>
      </c>
      <c r="C34" s="10" t="n">
        <v>2</v>
      </c>
      <c r="D34" s="10" t="inlineStr">
        <is>
          <t>Fevereiro</t>
        </is>
      </c>
      <c r="E34" s="10" t="inlineStr">
        <is>
          <t>2026-02</t>
        </is>
      </c>
      <c r="F34" s="10" t="inlineStr">
        <is>
          <t>T1</t>
        </is>
      </c>
      <c r="G34" s="10" t="inlineStr">
        <is>
          <t>Monday</t>
        </is>
      </c>
    </row>
    <row r="35">
      <c r="A35" s="12" t="n">
        <v>46056</v>
      </c>
      <c r="B35" s="10" t="n">
        <v>2026</v>
      </c>
      <c r="C35" s="10" t="n">
        <v>2</v>
      </c>
      <c r="D35" s="10" t="inlineStr">
        <is>
          <t>Fevereiro</t>
        </is>
      </c>
      <c r="E35" s="10" t="inlineStr">
        <is>
          <t>2026-02</t>
        </is>
      </c>
      <c r="F35" s="10" t="inlineStr">
        <is>
          <t>T1</t>
        </is>
      </c>
      <c r="G35" s="10" t="inlineStr">
        <is>
          <t>Tuesday</t>
        </is>
      </c>
    </row>
    <row r="36">
      <c r="A36" s="12" t="n">
        <v>46057</v>
      </c>
      <c r="B36" s="10" t="n">
        <v>2026</v>
      </c>
      <c r="C36" s="10" t="n">
        <v>2</v>
      </c>
      <c r="D36" s="10" t="inlineStr">
        <is>
          <t>Fevereiro</t>
        </is>
      </c>
      <c r="E36" s="10" t="inlineStr">
        <is>
          <t>2026-02</t>
        </is>
      </c>
      <c r="F36" s="10" t="inlineStr">
        <is>
          <t>T1</t>
        </is>
      </c>
      <c r="G36" s="10" t="inlineStr">
        <is>
          <t>Wednesday</t>
        </is>
      </c>
    </row>
    <row r="37">
      <c r="A37" s="12" t="n">
        <v>46058</v>
      </c>
      <c r="B37" s="10" t="n">
        <v>2026</v>
      </c>
      <c r="C37" s="10" t="n">
        <v>2</v>
      </c>
      <c r="D37" s="10" t="inlineStr">
        <is>
          <t>Fevereiro</t>
        </is>
      </c>
      <c r="E37" s="10" t="inlineStr">
        <is>
          <t>2026-02</t>
        </is>
      </c>
      <c r="F37" s="10" t="inlineStr">
        <is>
          <t>T1</t>
        </is>
      </c>
      <c r="G37" s="10" t="inlineStr">
        <is>
          <t>Thursday</t>
        </is>
      </c>
    </row>
    <row r="38">
      <c r="A38" s="12" t="n">
        <v>46059</v>
      </c>
      <c r="B38" s="10" t="n">
        <v>2026</v>
      </c>
      <c r="C38" s="10" t="n">
        <v>2</v>
      </c>
      <c r="D38" s="10" t="inlineStr">
        <is>
          <t>Fevereiro</t>
        </is>
      </c>
      <c r="E38" s="10" t="inlineStr">
        <is>
          <t>2026-02</t>
        </is>
      </c>
      <c r="F38" s="10" t="inlineStr">
        <is>
          <t>T1</t>
        </is>
      </c>
      <c r="G38" s="10" t="inlineStr">
        <is>
          <t>Friday</t>
        </is>
      </c>
    </row>
    <row r="39">
      <c r="A39" s="12" t="n">
        <v>46060</v>
      </c>
      <c r="B39" s="10" t="n">
        <v>2026</v>
      </c>
      <c r="C39" s="10" t="n">
        <v>2</v>
      </c>
      <c r="D39" s="10" t="inlineStr">
        <is>
          <t>Fevereiro</t>
        </is>
      </c>
      <c r="E39" s="10" t="inlineStr">
        <is>
          <t>2026-02</t>
        </is>
      </c>
      <c r="F39" s="10" t="inlineStr">
        <is>
          <t>T1</t>
        </is>
      </c>
      <c r="G39" s="10" t="inlineStr">
        <is>
          <t>Saturday</t>
        </is>
      </c>
    </row>
    <row r="40">
      <c r="A40" s="12" t="n">
        <v>46061</v>
      </c>
      <c r="B40" s="10" t="n">
        <v>2026</v>
      </c>
      <c r="C40" s="10" t="n">
        <v>2</v>
      </c>
      <c r="D40" s="10" t="inlineStr">
        <is>
          <t>Fevereiro</t>
        </is>
      </c>
      <c r="E40" s="10" t="inlineStr">
        <is>
          <t>2026-02</t>
        </is>
      </c>
      <c r="F40" s="10" t="inlineStr">
        <is>
          <t>T1</t>
        </is>
      </c>
      <c r="G40" s="10" t="inlineStr">
        <is>
          <t>Sunday</t>
        </is>
      </c>
    </row>
    <row r="41">
      <c r="A41" s="12" t="n">
        <v>46062</v>
      </c>
      <c r="B41" s="10" t="n">
        <v>2026</v>
      </c>
      <c r="C41" s="10" t="n">
        <v>2</v>
      </c>
      <c r="D41" s="10" t="inlineStr">
        <is>
          <t>Fevereiro</t>
        </is>
      </c>
      <c r="E41" s="10" t="inlineStr">
        <is>
          <t>2026-02</t>
        </is>
      </c>
      <c r="F41" s="10" t="inlineStr">
        <is>
          <t>T1</t>
        </is>
      </c>
      <c r="G41" s="10" t="inlineStr">
        <is>
          <t>Monday</t>
        </is>
      </c>
    </row>
    <row r="42">
      <c r="A42" s="12" t="n">
        <v>46063</v>
      </c>
      <c r="B42" s="10" t="n">
        <v>2026</v>
      </c>
      <c r="C42" s="10" t="n">
        <v>2</v>
      </c>
      <c r="D42" s="10" t="inlineStr">
        <is>
          <t>Fevereiro</t>
        </is>
      </c>
      <c r="E42" s="10" t="inlineStr">
        <is>
          <t>2026-02</t>
        </is>
      </c>
      <c r="F42" s="10" t="inlineStr">
        <is>
          <t>T1</t>
        </is>
      </c>
      <c r="G42" s="10" t="inlineStr">
        <is>
          <t>Tuesday</t>
        </is>
      </c>
    </row>
    <row r="43">
      <c r="A43" s="12" t="n">
        <v>46064</v>
      </c>
      <c r="B43" s="10" t="n">
        <v>2026</v>
      </c>
      <c r="C43" s="10" t="n">
        <v>2</v>
      </c>
      <c r="D43" s="10" t="inlineStr">
        <is>
          <t>Fevereiro</t>
        </is>
      </c>
      <c r="E43" s="10" t="inlineStr">
        <is>
          <t>2026-02</t>
        </is>
      </c>
      <c r="F43" s="10" t="inlineStr">
        <is>
          <t>T1</t>
        </is>
      </c>
      <c r="G43" s="10" t="inlineStr">
        <is>
          <t>Wednesday</t>
        </is>
      </c>
    </row>
    <row r="44">
      <c r="A44" s="12" t="n">
        <v>46065</v>
      </c>
      <c r="B44" s="10" t="n">
        <v>2026</v>
      </c>
      <c r="C44" s="10" t="n">
        <v>2</v>
      </c>
      <c r="D44" s="10" t="inlineStr">
        <is>
          <t>Fevereiro</t>
        </is>
      </c>
      <c r="E44" s="10" t="inlineStr">
        <is>
          <t>2026-02</t>
        </is>
      </c>
      <c r="F44" s="10" t="inlineStr">
        <is>
          <t>T1</t>
        </is>
      </c>
      <c r="G44" s="10" t="inlineStr">
        <is>
          <t>Thursday</t>
        </is>
      </c>
    </row>
    <row r="45">
      <c r="A45" s="12" t="n">
        <v>46066</v>
      </c>
      <c r="B45" s="10" t="n">
        <v>2026</v>
      </c>
      <c r="C45" s="10" t="n">
        <v>2</v>
      </c>
      <c r="D45" s="10" t="inlineStr">
        <is>
          <t>Fevereiro</t>
        </is>
      </c>
      <c r="E45" s="10" t="inlineStr">
        <is>
          <t>2026-02</t>
        </is>
      </c>
      <c r="F45" s="10" t="inlineStr">
        <is>
          <t>T1</t>
        </is>
      </c>
      <c r="G45" s="10" t="inlineStr">
        <is>
          <t>Friday</t>
        </is>
      </c>
    </row>
    <row r="46">
      <c r="A46" s="12" t="n">
        <v>46067</v>
      </c>
      <c r="B46" s="10" t="n">
        <v>2026</v>
      </c>
      <c r="C46" s="10" t="n">
        <v>2</v>
      </c>
      <c r="D46" s="10" t="inlineStr">
        <is>
          <t>Fevereiro</t>
        </is>
      </c>
      <c r="E46" s="10" t="inlineStr">
        <is>
          <t>2026-02</t>
        </is>
      </c>
      <c r="F46" s="10" t="inlineStr">
        <is>
          <t>T1</t>
        </is>
      </c>
      <c r="G46" s="10" t="inlineStr">
        <is>
          <t>Saturday</t>
        </is>
      </c>
    </row>
    <row r="47">
      <c r="A47" s="12" t="n">
        <v>46068</v>
      </c>
      <c r="B47" s="10" t="n">
        <v>2026</v>
      </c>
      <c r="C47" s="10" t="n">
        <v>2</v>
      </c>
      <c r="D47" s="10" t="inlineStr">
        <is>
          <t>Fevereiro</t>
        </is>
      </c>
      <c r="E47" s="10" t="inlineStr">
        <is>
          <t>2026-02</t>
        </is>
      </c>
      <c r="F47" s="10" t="inlineStr">
        <is>
          <t>T1</t>
        </is>
      </c>
      <c r="G47" s="10" t="inlineStr">
        <is>
          <t>Sunday</t>
        </is>
      </c>
    </row>
    <row r="48">
      <c r="A48" s="12" t="n">
        <v>46069</v>
      </c>
      <c r="B48" s="10" t="n">
        <v>2026</v>
      </c>
      <c r="C48" s="10" t="n">
        <v>2</v>
      </c>
      <c r="D48" s="10" t="inlineStr">
        <is>
          <t>Fevereiro</t>
        </is>
      </c>
      <c r="E48" s="10" t="inlineStr">
        <is>
          <t>2026-02</t>
        </is>
      </c>
      <c r="F48" s="10" t="inlineStr">
        <is>
          <t>T1</t>
        </is>
      </c>
      <c r="G48" s="10" t="inlineStr">
        <is>
          <t>Monday</t>
        </is>
      </c>
    </row>
    <row r="49">
      <c r="A49" s="12" t="n">
        <v>46070</v>
      </c>
      <c r="B49" s="10" t="n">
        <v>2026</v>
      </c>
      <c r="C49" s="10" t="n">
        <v>2</v>
      </c>
      <c r="D49" s="10" t="inlineStr">
        <is>
          <t>Fevereiro</t>
        </is>
      </c>
      <c r="E49" s="10" t="inlineStr">
        <is>
          <t>2026-02</t>
        </is>
      </c>
      <c r="F49" s="10" t="inlineStr">
        <is>
          <t>T1</t>
        </is>
      </c>
      <c r="G49" s="10" t="inlineStr">
        <is>
          <t>Tuesday</t>
        </is>
      </c>
    </row>
    <row r="50">
      <c r="A50" s="12" t="n">
        <v>46071</v>
      </c>
      <c r="B50" s="10" t="n">
        <v>2026</v>
      </c>
      <c r="C50" s="10" t="n">
        <v>2</v>
      </c>
      <c r="D50" s="10" t="inlineStr">
        <is>
          <t>Fevereiro</t>
        </is>
      </c>
      <c r="E50" s="10" t="inlineStr">
        <is>
          <t>2026-02</t>
        </is>
      </c>
      <c r="F50" s="10" t="inlineStr">
        <is>
          <t>T1</t>
        </is>
      </c>
      <c r="G50" s="10" t="inlineStr">
        <is>
          <t>Wednesday</t>
        </is>
      </c>
    </row>
    <row r="51">
      <c r="A51" s="12" t="n">
        <v>46072</v>
      </c>
      <c r="B51" s="10" t="n">
        <v>2026</v>
      </c>
      <c r="C51" s="10" t="n">
        <v>2</v>
      </c>
      <c r="D51" s="10" t="inlineStr">
        <is>
          <t>Fevereiro</t>
        </is>
      </c>
      <c r="E51" s="10" t="inlineStr">
        <is>
          <t>2026-02</t>
        </is>
      </c>
      <c r="F51" s="10" t="inlineStr">
        <is>
          <t>T1</t>
        </is>
      </c>
      <c r="G51" s="10" t="inlineStr">
        <is>
          <t>Thursday</t>
        </is>
      </c>
    </row>
    <row r="52">
      <c r="A52" s="12" t="n">
        <v>46073</v>
      </c>
      <c r="B52" s="10" t="n">
        <v>2026</v>
      </c>
      <c r="C52" s="10" t="n">
        <v>2</v>
      </c>
      <c r="D52" s="10" t="inlineStr">
        <is>
          <t>Fevereiro</t>
        </is>
      </c>
      <c r="E52" s="10" t="inlineStr">
        <is>
          <t>2026-02</t>
        </is>
      </c>
      <c r="F52" s="10" t="inlineStr">
        <is>
          <t>T1</t>
        </is>
      </c>
      <c r="G52" s="10" t="inlineStr">
        <is>
          <t>Friday</t>
        </is>
      </c>
    </row>
    <row r="53">
      <c r="A53" s="12" t="n">
        <v>46074</v>
      </c>
      <c r="B53" s="10" t="n">
        <v>2026</v>
      </c>
      <c r="C53" s="10" t="n">
        <v>2</v>
      </c>
      <c r="D53" s="10" t="inlineStr">
        <is>
          <t>Fevereiro</t>
        </is>
      </c>
      <c r="E53" s="10" t="inlineStr">
        <is>
          <t>2026-02</t>
        </is>
      </c>
      <c r="F53" s="10" t="inlineStr">
        <is>
          <t>T1</t>
        </is>
      </c>
      <c r="G53" s="10" t="inlineStr">
        <is>
          <t>Saturday</t>
        </is>
      </c>
    </row>
    <row r="54">
      <c r="A54" s="12" t="n">
        <v>46075</v>
      </c>
      <c r="B54" s="10" t="n">
        <v>2026</v>
      </c>
      <c r="C54" s="10" t="n">
        <v>2</v>
      </c>
      <c r="D54" s="10" t="inlineStr">
        <is>
          <t>Fevereiro</t>
        </is>
      </c>
      <c r="E54" s="10" t="inlineStr">
        <is>
          <t>2026-02</t>
        </is>
      </c>
      <c r="F54" s="10" t="inlineStr">
        <is>
          <t>T1</t>
        </is>
      </c>
      <c r="G54" s="10" t="inlineStr">
        <is>
          <t>Sunday</t>
        </is>
      </c>
    </row>
    <row r="55">
      <c r="A55" s="12" t="n">
        <v>46076</v>
      </c>
      <c r="B55" s="10" t="n">
        <v>2026</v>
      </c>
      <c r="C55" s="10" t="n">
        <v>2</v>
      </c>
      <c r="D55" s="10" t="inlineStr">
        <is>
          <t>Fevereiro</t>
        </is>
      </c>
      <c r="E55" s="10" t="inlineStr">
        <is>
          <t>2026-02</t>
        </is>
      </c>
      <c r="F55" s="10" t="inlineStr">
        <is>
          <t>T1</t>
        </is>
      </c>
      <c r="G55" s="10" t="inlineStr">
        <is>
          <t>Monday</t>
        </is>
      </c>
    </row>
    <row r="56">
      <c r="A56" s="12" t="n">
        <v>46077</v>
      </c>
      <c r="B56" s="10" t="n">
        <v>2026</v>
      </c>
      <c r="C56" s="10" t="n">
        <v>2</v>
      </c>
      <c r="D56" s="10" t="inlineStr">
        <is>
          <t>Fevereiro</t>
        </is>
      </c>
      <c r="E56" s="10" t="inlineStr">
        <is>
          <t>2026-02</t>
        </is>
      </c>
      <c r="F56" s="10" t="inlineStr">
        <is>
          <t>T1</t>
        </is>
      </c>
      <c r="G56" s="10" t="inlineStr">
        <is>
          <t>Tuesday</t>
        </is>
      </c>
    </row>
    <row r="57">
      <c r="A57" s="12" t="n">
        <v>46078</v>
      </c>
      <c r="B57" s="10" t="n">
        <v>2026</v>
      </c>
      <c r="C57" s="10" t="n">
        <v>2</v>
      </c>
      <c r="D57" s="10" t="inlineStr">
        <is>
          <t>Fevereiro</t>
        </is>
      </c>
      <c r="E57" s="10" t="inlineStr">
        <is>
          <t>2026-02</t>
        </is>
      </c>
      <c r="F57" s="10" t="inlineStr">
        <is>
          <t>T1</t>
        </is>
      </c>
      <c r="G57" s="10" t="inlineStr">
        <is>
          <t>Wednesday</t>
        </is>
      </c>
    </row>
    <row r="58">
      <c r="A58" s="12" t="n">
        <v>46079</v>
      </c>
      <c r="B58" s="10" t="n">
        <v>2026</v>
      </c>
      <c r="C58" s="10" t="n">
        <v>2</v>
      </c>
      <c r="D58" s="10" t="inlineStr">
        <is>
          <t>Fevereiro</t>
        </is>
      </c>
      <c r="E58" s="10" t="inlineStr">
        <is>
          <t>2026-02</t>
        </is>
      </c>
      <c r="F58" s="10" t="inlineStr">
        <is>
          <t>T1</t>
        </is>
      </c>
      <c r="G58" s="10" t="inlineStr">
        <is>
          <t>Thursday</t>
        </is>
      </c>
    </row>
    <row r="59">
      <c r="A59" s="12" t="n">
        <v>46080</v>
      </c>
      <c r="B59" s="10" t="n">
        <v>2026</v>
      </c>
      <c r="C59" s="10" t="n">
        <v>2</v>
      </c>
      <c r="D59" s="10" t="inlineStr">
        <is>
          <t>Fevereiro</t>
        </is>
      </c>
      <c r="E59" s="10" t="inlineStr">
        <is>
          <t>2026-02</t>
        </is>
      </c>
      <c r="F59" s="10" t="inlineStr">
        <is>
          <t>T1</t>
        </is>
      </c>
      <c r="G59" s="10" t="inlineStr">
        <is>
          <t>Friday</t>
        </is>
      </c>
    </row>
    <row r="60">
      <c r="A60" s="12" t="n">
        <v>46081</v>
      </c>
      <c r="B60" s="10" t="n">
        <v>2026</v>
      </c>
      <c r="C60" s="10" t="n">
        <v>2</v>
      </c>
      <c r="D60" s="10" t="inlineStr">
        <is>
          <t>Fevereiro</t>
        </is>
      </c>
      <c r="E60" s="10" t="inlineStr">
        <is>
          <t>2026-02</t>
        </is>
      </c>
      <c r="F60" s="10" t="inlineStr">
        <is>
          <t>T1</t>
        </is>
      </c>
      <c r="G60" s="10" t="inlineStr">
        <is>
          <t>Saturday</t>
        </is>
      </c>
    </row>
    <row r="61">
      <c r="A61" s="12" t="n">
        <v>46082</v>
      </c>
      <c r="B61" s="10" t="n">
        <v>2026</v>
      </c>
      <c r="C61" s="10" t="n">
        <v>3</v>
      </c>
      <c r="D61" s="10" t="inlineStr">
        <is>
          <t>Março</t>
        </is>
      </c>
      <c r="E61" s="10" t="inlineStr">
        <is>
          <t>2026-03</t>
        </is>
      </c>
      <c r="F61" s="10" t="inlineStr">
        <is>
          <t>T1</t>
        </is>
      </c>
      <c r="G61" s="10" t="inlineStr">
        <is>
          <t>Sunday</t>
        </is>
      </c>
    </row>
    <row r="62">
      <c r="A62" s="12" t="n">
        <v>46083</v>
      </c>
      <c r="B62" s="10" t="n">
        <v>2026</v>
      </c>
      <c r="C62" s="10" t="n">
        <v>3</v>
      </c>
      <c r="D62" s="10" t="inlineStr">
        <is>
          <t>Março</t>
        </is>
      </c>
      <c r="E62" s="10" t="inlineStr">
        <is>
          <t>2026-03</t>
        </is>
      </c>
      <c r="F62" s="10" t="inlineStr">
        <is>
          <t>T1</t>
        </is>
      </c>
      <c r="G62" s="10" t="inlineStr">
        <is>
          <t>Monday</t>
        </is>
      </c>
    </row>
    <row r="63">
      <c r="A63" s="12" t="n">
        <v>46084</v>
      </c>
      <c r="B63" s="10" t="n">
        <v>2026</v>
      </c>
      <c r="C63" s="10" t="n">
        <v>3</v>
      </c>
      <c r="D63" s="10" t="inlineStr">
        <is>
          <t>Março</t>
        </is>
      </c>
      <c r="E63" s="10" t="inlineStr">
        <is>
          <t>2026-03</t>
        </is>
      </c>
      <c r="F63" s="10" t="inlineStr">
        <is>
          <t>T1</t>
        </is>
      </c>
      <c r="G63" s="10" t="inlineStr">
        <is>
          <t>Tuesday</t>
        </is>
      </c>
    </row>
    <row r="64">
      <c r="A64" s="12" t="n">
        <v>46085</v>
      </c>
      <c r="B64" s="10" t="n">
        <v>2026</v>
      </c>
      <c r="C64" s="10" t="n">
        <v>3</v>
      </c>
      <c r="D64" s="10" t="inlineStr">
        <is>
          <t>Março</t>
        </is>
      </c>
      <c r="E64" s="10" t="inlineStr">
        <is>
          <t>2026-03</t>
        </is>
      </c>
      <c r="F64" s="10" t="inlineStr">
        <is>
          <t>T1</t>
        </is>
      </c>
      <c r="G64" s="10" t="inlineStr">
        <is>
          <t>Wednesday</t>
        </is>
      </c>
    </row>
    <row r="65">
      <c r="A65" s="12" t="n">
        <v>46086</v>
      </c>
      <c r="B65" s="10" t="n">
        <v>2026</v>
      </c>
      <c r="C65" s="10" t="n">
        <v>3</v>
      </c>
      <c r="D65" s="10" t="inlineStr">
        <is>
          <t>Março</t>
        </is>
      </c>
      <c r="E65" s="10" t="inlineStr">
        <is>
          <t>2026-03</t>
        </is>
      </c>
      <c r="F65" s="10" t="inlineStr">
        <is>
          <t>T1</t>
        </is>
      </c>
      <c r="G65" s="10" t="inlineStr">
        <is>
          <t>Thursday</t>
        </is>
      </c>
    </row>
    <row r="66">
      <c r="A66" s="12" t="n">
        <v>46087</v>
      </c>
      <c r="B66" s="10" t="n">
        <v>2026</v>
      </c>
      <c r="C66" s="10" t="n">
        <v>3</v>
      </c>
      <c r="D66" s="10" t="inlineStr">
        <is>
          <t>Março</t>
        </is>
      </c>
      <c r="E66" s="10" t="inlineStr">
        <is>
          <t>2026-03</t>
        </is>
      </c>
      <c r="F66" s="10" t="inlineStr">
        <is>
          <t>T1</t>
        </is>
      </c>
      <c r="G66" s="10" t="inlineStr">
        <is>
          <t>Friday</t>
        </is>
      </c>
    </row>
    <row r="67">
      <c r="A67" s="12" t="n">
        <v>46088</v>
      </c>
      <c r="B67" s="10" t="n">
        <v>2026</v>
      </c>
      <c r="C67" s="10" t="n">
        <v>3</v>
      </c>
      <c r="D67" s="10" t="inlineStr">
        <is>
          <t>Março</t>
        </is>
      </c>
      <c r="E67" s="10" t="inlineStr">
        <is>
          <t>2026-03</t>
        </is>
      </c>
      <c r="F67" s="10" t="inlineStr">
        <is>
          <t>T1</t>
        </is>
      </c>
      <c r="G67" s="10" t="inlineStr">
        <is>
          <t>Saturday</t>
        </is>
      </c>
    </row>
    <row r="68">
      <c r="A68" s="12" t="n">
        <v>46089</v>
      </c>
      <c r="B68" s="10" t="n">
        <v>2026</v>
      </c>
      <c r="C68" s="10" t="n">
        <v>3</v>
      </c>
      <c r="D68" s="10" t="inlineStr">
        <is>
          <t>Março</t>
        </is>
      </c>
      <c r="E68" s="10" t="inlineStr">
        <is>
          <t>2026-03</t>
        </is>
      </c>
      <c r="F68" s="10" t="inlineStr">
        <is>
          <t>T1</t>
        </is>
      </c>
      <c r="G68" s="10" t="inlineStr">
        <is>
          <t>Sunday</t>
        </is>
      </c>
    </row>
    <row r="69">
      <c r="A69" s="12" t="n">
        <v>46090</v>
      </c>
      <c r="B69" s="10" t="n">
        <v>2026</v>
      </c>
      <c r="C69" s="10" t="n">
        <v>3</v>
      </c>
      <c r="D69" s="10" t="inlineStr">
        <is>
          <t>Março</t>
        </is>
      </c>
      <c r="E69" s="10" t="inlineStr">
        <is>
          <t>2026-03</t>
        </is>
      </c>
      <c r="F69" s="10" t="inlineStr">
        <is>
          <t>T1</t>
        </is>
      </c>
      <c r="G69" s="10" t="inlineStr">
        <is>
          <t>Monday</t>
        </is>
      </c>
    </row>
    <row r="70">
      <c r="A70" s="12" t="n">
        <v>46091</v>
      </c>
      <c r="B70" s="10" t="n">
        <v>2026</v>
      </c>
      <c r="C70" s="10" t="n">
        <v>3</v>
      </c>
      <c r="D70" s="10" t="inlineStr">
        <is>
          <t>Março</t>
        </is>
      </c>
      <c r="E70" s="10" t="inlineStr">
        <is>
          <t>2026-03</t>
        </is>
      </c>
      <c r="F70" s="10" t="inlineStr">
        <is>
          <t>T1</t>
        </is>
      </c>
      <c r="G70" s="10" t="inlineStr">
        <is>
          <t>Tuesday</t>
        </is>
      </c>
    </row>
    <row r="71">
      <c r="A71" s="12" t="n">
        <v>46092</v>
      </c>
      <c r="B71" s="10" t="n">
        <v>2026</v>
      </c>
      <c r="C71" s="10" t="n">
        <v>3</v>
      </c>
      <c r="D71" s="10" t="inlineStr">
        <is>
          <t>Março</t>
        </is>
      </c>
      <c r="E71" s="10" t="inlineStr">
        <is>
          <t>2026-03</t>
        </is>
      </c>
      <c r="F71" s="10" t="inlineStr">
        <is>
          <t>T1</t>
        </is>
      </c>
      <c r="G71" s="10" t="inlineStr">
        <is>
          <t>Wednesday</t>
        </is>
      </c>
    </row>
    <row r="72">
      <c r="A72" s="12" t="n">
        <v>46093</v>
      </c>
      <c r="B72" s="10" t="n">
        <v>2026</v>
      </c>
      <c r="C72" s="10" t="n">
        <v>3</v>
      </c>
      <c r="D72" s="10" t="inlineStr">
        <is>
          <t>Março</t>
        </is>
      </c>
      <c r="E72" s="10" t="inlineStr">
        <is>
          <t>2026-03</t>
        </is>
      </c>
      <c r="F72" s="10" t="inlineStr">
        <is>
          <t>T1</t>
        </is>
      </c>
      <c r="G72" s="10" t="inlineStr">
        <is>
          <t>Thursday</t>
        </is>
      </c>
    </row>
    <row r="73">
      <c r="A73" s="12" t="n">
        <v>46094</v>
      </c>
      <c r="B73" s="10" t="n">
        <v>2026</v>
      </c>
      <c r="C73" s="10" t="n">
        <v>3</v>
      </c>
      <c r="D73" s="10" t="inlineStr">
        <is>
          <t>Março</t>
        </is>
      </c>
      <c r="E73" s="10" t="inlineStr">
        <is>
          <t>2026-03</t>
        </is>
      </c>
      <c r="F73" s="10" t="inlineStr">
        <is>
          <t>T1</t>
        </is>
      </c>
      <c r="G73" s="10" t="inlineStr">
        <is>
          <t>Friday</t>
        </is>
      </c>
    </row>
    <row r="74">
      <c r="A74" s="12" t="n">
        <v>46095</v>
      </c>
      <c r="B74" s="10" t="n">
        <v>2026</v>
      </c>
      <c r="C74" s="10" t="n">
        <v>3</v>
      </c>
      <c r="D74" s="10" t="inlineStr">
        <is>
          <t>Março</t>
        </is>
      </c>
      <c r="E74" s="10" t="inlineStr">
        <is>
          <t>2026-03</t>
        </is>
      </c>
      <c r="F74" s="10" t="inlineStr">
        <is>
          <t>T1</t>
        </is>
      </c>
      <c r="G74" s="10" t="inlineStr">
        <is>
          <t>Saturday</t>
        </is>
      </c>
    </row>
    <row r="75">
      <c r="A75" s="12" t="n">
        <v>46096</v>
      </c>
      <c r="B75" s="10" t="n">
        <v>2026</v>
      </c>
      <c r="C75" s="10" t="n">
        <v>3</v>
      </c>
      <c r="D75" s="10" t="inlineStr">
        <is>
          <t>Março</t>
        </is>
      </c>
      <c r="E75" s="10" t="inlineStr">
        <is>
          <t>2026-03</t>
        </is>
      </c>
      <c r="F75" s="10" t="inlineStr">
        <is>
          <t>T1</t>
        </is>
      </c>
      <c r="G75" s="10" t="inlineStr">
        <is>
          <t>Sunday</t>
        </is>
      </c>
    </row>
    <row r="76">
      <c r="A76" s="12" t="n">
        <v>46097</v>
      </c>
      <c r="B76" s="10" t="n">
        <v>2026</v>
      </c>
      <c r="C76" s="10" t="n">
        <v>3</v>
      </c>
      <c r="D76" s="10" t="inlineStr">
        <is>
          <t>Março</t>
        </is>
      </c>
      <c r="E76" s="10" t="inlineStr">
        <is>
          <t>2026-03</t>
        </is>
      </c>
      <c r="F76" s="10" t="inlineStr">
        <is>
          <t>T1</t>
        </is>
      </c>
      <c r="G76" s="10" t="inlineStr">
        <is>
          <t>Monday</t>
        </is>
      </c>
    </row>
    <row r="77">
      <c r="A77" s="12" t="n">
        <v>46098</v>
      </c>
      <c r="B77" s="10" t="n">
        <v>2026</v>
      </c>
      <c r="C77" s="10" t="n">
        <v>3</v>
      </c>
      <c r="D77" s="10" t="inlineStr">
        <is>
          <t>Março</t>
        </is>
      </c>
      <c r="E77" s="10" t="inlineStr">
        <is>
          <t>2026-03</t>
        </is>
      </c>
      <c r="F77" s="10" t="inlineStr">
        <is>
          <t>T1</t>
        </is>
      </c>
      <c r="G77" s="10" t="inlineStr">
        <is>
          <t>Tuesday</t>
        </is>
      </c>
    </row>
    <row r="78">
      <c r="A78" s="12" t="n">
        <v>46099</v>
      </c>
      <c r="B78" s="10" t="n">
        <v>2026</v>
      </c>
      <c r="C78" s="10" t="n">
        <v>3</v>
      </c>
      <c r="D78" s="10" t="inlineStr">
        <is>
          <t>Março</t>
        </is>
      </c>
      <c r="E78" s="10" t="inlineStr">
        <is>
          <t>2026-03</t>
        </is>
      </c>
      <c r="F78" s="10" t="inlineStr">
        <is>
          <t>T1</t>
        </is>
      </c>
      <c r="G78" s="10" t="inlineStr">
        <is>
          <t>Wednesday</t>
        </is>
      </c>
    </row>
    <row r="79">
      <c r="A79" s="12" t="n">
        <v>46100</v>
      </c>
      <c r="B79" s="10" t="n">
        <v>2026</v>
      </c>
      <c r="C79" s="10" t="n">
        <v>3</v>
      </c>
      <c r="D79" s="10" t="inlineStr">
        <is>
          <t>Março</t>
        </is>
      </c>
      <c r="E79" s="10" t="inlineStr">
        <is>
          <t>2026-03</t>
        </is>
      </c>
      <c r="F79" s="10" t="inlineStr">
        <is>
          <t>T1</t>
        </is>
      </c>
      <c r="G79" s="10" t="inlineStr">
        <is>
          <t>Thursday</t>
        </is>
      </c>
    </row>
    <row r="80">
      <c r="A80" s="12" t="n">
        <v>46101</v>
      </c>
      <c r="B80" s="10" t="n">
        <v>2026</v>
      </c>
      <c r="C80" s="10" t="n">
        <v>3</v>
      </c>
      <c r="D80" s="10" t="inlineStr">
        <is>
          <t>Março</t>
        </is>
      </c>
      <c r="E80" s="10" t="inlineStr">
        <is>
          <t>2026-03</t>
        </is>
      </c>
      <c r="F80" s="10" t="inlineStr">
        <is>
          <t>T1</t>
        </is>
      </c>
      <c r="G80" s="10" t="inlineStr">
        <is>
          <t>Friday</t>
        </is>
      </c>
    </row>
    <row r="81">
      <c r="A81" s="12" t="n">
        <v>46102</v>
      </c>
      <c r="B81" s="10" t="n">
        <v>2026</v>
      </c>
      <c r="C81" s="10" t="n">
        <v>3</v>
      </c>
      <c r="D81" s="10" t="inlineStr">
        <is>
          <t>Março</t>
        </is>
      </c>
      <c r="E81" s="10" t="inlineStr">
        <is>
          <t>2026-03</t>
        </is>
      </c>
      <c r="F81" s="10" t="inlineStr">
        <is>
          <t>T1</t>
        </is>
      </c>
      <c r="G81" s="10" t="inlineStr">
        <is>
          <t>Saturday</t>
        </is>
      </c>
    </row>
    <row r="82">
      <c r="A82" s="12" t="n">
        <v>46103</v>
      </c>
      <c r="B82" s="10" t="n">
        <v>2026</v>
      </c>
      <c r="C82" s="10" t="n">
        <v>3</v>
      </c>
      <c r="D82" s="10" t="inlineStr">
        <is>
          <t>Março</t>
        </is>
      </c>
      <c r="E82" s="10" t="inlineStr">
        <is>
          <t>2026-03</t>
        </is>
      </c>
      <c r="F82" s="10" t="inlineStr">
        <is>
          <t>T1</t>
        </is>
      </c>
      <c r="G82" s="10" t="inlineStr">
        <is>
          <t>Sunday</t>
        </is>
      </c>
    </row>
    <row r="83">
      <c r="A83" s="12" t="n">
        <v>46104</v>
      </c>
      <c r="B83" s="10" t="n">
        <v>2026</v>
      </c>
      <c r="C83" s="10" t="n">
        <v>3</v>
      </c>
      <c r="D83" s="10" t="inlineStr">
        <is>
          <t>Março</t>
        </is>
      </c>
      <c r="E83" s="10" t="inlineStr">
        <is>
          <t>2026-03</t>
        </is>
      </c>
      <c r="F83" s="10" t="inlineStr">
        <is>
          <t>T1</t>
        </is>
      </c>
      <c r="G83" s="10" t="inlineStr">
        <is>
          <t>Monday</t>
        </is>
      </c>
    </row>
    <row r="84">
      <c r="A84" s="12" t="n">
        <v>46105</v>
      </c>
      <c r="B84" s="10" t="n">
        <v>2026</v>
      </c>
      <c r="C84" s="10" t="n">
        <v>3</v>
      </c>
      <c r="D84" s="10" t="inlineStr">
        <is>
          <t>Março</t>
        </is>
      </c>
      <c r="E84" s="10" t="inlineStr">
        <is>
          <t>2026-03</t>
        </is>
      </c>
      <c r="F84" s="10" t="inlineStr">
        <is>
          <t>T1</t>
        </is>
      </c>
      <c r="G84" s="10" t="inlineStr">
        <is>
          <t>Tuesday</t>
        </is>
      </c>
    </row>
    <row r="85">
      <c r="A85" s="12" t="n">
        <v>46106</v>
      </c>
      <c r="B85" s="10" t="n">
        <v>2026</v>
      </c>
      <c r="C85" s="10" t="n">
        <v>3</v>
      </c>
      <c r="D85" s="10" t="inlineStr">
        <is>
          <t>Março</t>
        </is>
      </c>
      <c r="E85" s="10" t="inlineStr">
        <is>
          <t>2026-03</t>
        </is>
      </c>
      <c r="F85" s="10" t="inlineStr">
        <is>
          <t>T1</t>
        </is>
      </c>
      <c r="G85" s="10" t="inlineStr">
        <is>
          <t>Wednesday</t>
        </is>
      </c>
    </row>
    <row r="86">
      <c r="A86" s="12" t="n">
        <v>46107</v>
      </c>
      <c r="B86" s="10" t="n">
        <v>2026</v>
      </c>
      <c r="C86" s="10" t="n">
        <v>3</v>
      </c>
      <c r="D86" s="10" t="inlineStr">
        <is>
          <t>Março</t>
        </is>
      </c>
      <c r="E86" s="10" t="inlineStr">
        <is>
          <t>2026-03</t>
        </is>
      </c>
      <c r="F86" s="10" t="inlineStr">
        <is>
          <t>T1</t>
        </is>
      </c>
      <c r="G86" s="10" t="inlineStr">
        <is>
          <t>Thursday</t>
        </is>
      </c>
    </row>
    <row r="87">
      <c r="A87" s="12" t="n">
        <v>46108</v>
      </c>
      <c r="B87" s="10" t="n">
        <v>2026</v>
      </c>
      <c r="C87" s="10" t="n">
        <v>3</v>
      </c>
      <c r="D87" s="10" t="inlineStr">
        <is>
          <t>Março</t>
        </is>
      </c>
      <c r="E87" s="10" t="inlineStr">
        <is>
          <t>2026-03</t>
        </is>
      </c>
      <c r="F87" s="10" t="inlineStr">
        <is>
          <t>T1</t>
        </is>
      </c>
      <c r="G87" s="10" t="inlineStr">
        <is>
          <t>Friday</t>
        </is>
      </c>
    </row>
    <row r="88">
      <c r="A88" s="12" t="n">
        <v>46109</v>
      </c>
      <c r="B88" s="10" t="n">
        <v>2026</v>
      </c>
      <c r="C88" s="10" t="n">
        <v>3</v>
      </c>
      <c r="D88" s="10" t="inlineStr">
        <is>
          <t>Março</t>
        </is>
      </c>
      <c r="E88" s="10" t="inlineStr">
        <is>
          <t>2026-03</t>
        </is>
      </c>
      <c r="F88" s="10" t="inlineStr">
        <is>
          <t>T1</t>
        </is>
      </c>
      <c r="G88" s="10" t="inlineStr">
        <is>
          <t>Saturday</t>
        </is>
      </c>
    </row>
    <row r="89">
      <c r="A89" s="12" t="n">
        <v>46110</v>
      </c>
      <c r="B89" s="10" t="n">
        <v>2026</v>
      </c>
      <c r="C89" s="10" t="n">
        <v>3</v>
      </c>
      <c r="D89" s="10" t="inlineStr">
        <is>
          <t>Março</t>
        </is>
      </c>
      <c r="E89" s="10" t="inlineStr">
        <is>
          <t>2026-03</t>
        </is>
      </c>
      <c r="F89" s="10" t="inlineStr">
        <is>
          <t>T1</t>
        </is>
      </c>
      <c r="G89" s="10" t="inlineStr">
        <is>
          <t>Sunday</t>
        </is>
      </c>
    </row>
    <row r="90">
      <c r="A90" s="12" t="n">
        <v>46111</v>
      </c>
      <c r="B90" s="10" t="n">
        <v>2026</v>
      </c>
      <c r="C90" s="10" t="n">
        <v>3</v>
      </c>
      <c r="D90" s="10" t="inlineStr">
        <is>
          <t>Março</t>
        </is>
      </c>
      <c r="E90" s="10" t="inlineStr">
        <is>
          <t>2026-03</t>
        </is>
      </c>
      <c r="F90" s="10" t="inlineStr">
        <is>
          <t>T1</t>
        </is>
      </c>
      <c r="G90" s="10" t="inlineStr">
        <is>
          <t>Monday</t>
        </is>
      </c>
    </row>
    <row r="91">
      <c r="A91" s="12" t="n">
        <v>46112</v>
      </c>
      <c r="B91" s="10" t="n">
        <v>2026</v>
      </c>
      <c r="C91" s="10" t="n">
        <v>3</v>
      </c>
      <c r="D91" s="10" t="inlineStr">
        <is>
          <t>Março</t>
        </is>
      </c>
      <c r="E91" s="10" t="inlineStr">
        <is>
          <t>2026-03</t>
        </is>
      </c>
      <c r="F91" s="10" t="inlineStr">
        <is>
          <t>T1</t>
        </is>
      </c>
      <c r="G91" s="10" t="inlineStr">
        <is>
          <t>Tuesday</t>
        </is>
      </c>
    </row>
    <row r="92">
      <c r="A92" s="12" t="n">
        <v>46113</v>
      </c>
      <c r="B92" s="10" t="n">
        <v>2026</v>
      </c>
      <c r="C92" s="10" t="n">
        <v>4</v>
      </c>
      <c r="D92" s="10" t="inlineStr">
        <is>
          <t>Abril</t>
        </is>
      </c>
      <c r="E92" s="10" t="inlineStr">
        <is>
          <t>2026-04</t>
        </is>
      </c>
      <c r="F92" s="10" t="inlineStr">
        <is>
          <t>T2</t>
        </is>
      </c>
      <c r="G92" s="10" t="inlineStr">
        <is>
          <t>Wednesday</t>
        </is>
      </c>
    </row>
    <row r="93">
      <c r="A93" s="12" t="n">
        <v>46114</v>
      </c>
      <c r="B93" s="10" t="n">
        <v>2026</v>
      </c>
      <c r="C93" s="10" t="n">
        <v>4</v>
      </c>
      <c r="D93" s="10" t="inlineStr">
        <is>
          <t>Abril</t>
        </is>
      </c>
      <c r="E93" s="10" t="inlineStr">
        <is>
          <t>2026-04</t>
        </is>
      </c>
      <c r="F93" s="10" t="inlineStr">
        <is>
          <t>T2</t>
        </is>
      </c>
      <c r="G93" s="10" t="inlineStr">
        <is>
          <t>Thursday</t>
        </is>
      </c>
    </row>
    <row r="94">
      <c r="A94" s="12" t="n">
        <v>46115</v>
      </c>
      <c r="B94" s="10" t="n">
        <v>2026</v>
      </c>
      <c r="C94" s="10" t="n">
        <v>4</v>
      </c>
      <c r="D94" s="10" t="inlineStr">
        <is>
          <t>Abril</t>
        </is>
      </c>
      <c r="E94" s="10" t="inlineStr">
        <is>
          <t>2026-04</t>
        </is>
      </c>
      <c r="F94" s="10" t="inlineStr">
        <is>
          <t>T2</t>
        </is>
      </c>
      <c r="G94" s="10" t="inlineStr">
        <is>
          <t>Friday</t>
        </is>
      </c>
    </row>
    <row r="95">
      <c r="A95" s="12" t="n">
        <v>46116</v>
      </c>
      <c r="B95" s="10" t="n">
        <v>2026</v>
      </c>
      <c r="C95" s="10" t="n">
        <v>4</v>
      </c>
      <c r="D95" s="10" t="inlineStr">
        <is>
          <t>Abril</t>
        </is>
      </c>
      <c r="E95" s="10" t="inlineStr">
        <is>
          <t>2026-04</t>
        </is>
      </c>
      <c r="F95" s="10" t="inlineStr">
        <is>
          <t>T2</t>
        </is>
      </c>
      <c r="G95" s="10" t="inlineStr">
        <is>
          <t>Saturday</t>
        </is>
      </c>
    </row>
    <row r="96">
      <c r="A96" s="12" t="n">
        <v>46117</v>
      </c>
      <c r="B96" s="10" t="n">
        <v>2026</v>
      </c>
      <c r="C96" s="10" t="n">
        <v>4</v>
      </c>
      <c r="D96" s="10" t="inlineStr">
        <is>
          <t>Abril</t>
        </is>
      </c>
      <c r="E96" s="10" t="inlineStr">
        <is>
          <t>2026-04</t>
        </is>
      </c>
      <c r="F96" s="10" t="inlineStr">
        <is>
          <t>T2</t>
        </is>
      </c>
      <c r="G96" s="10" t="inlineStr">
        <is>
          <t>Sunday</t>
        </is>
      </c>
    </row>
    <row r="97">
      <c r="A97" s="12" t="n">
        <v>46118</v>
      </c>
      <c r="B97" s="10" t="n">
        <v>2026</v>
      </c>
      <c r="C97" s="10" t="n">
        <v>4</v>
      </c>
      <c r="D97" s="10" t="inlineStr">
        <is>
          <t>Abril</t>
        </is>
      </c>
      <c r="E97" s="10" t="inlineStr">
        <is>
          <t>2026-04</t>
        </is>
      </c>
      <c r="F97" s="10" t="inlineStr">
        <is>
          <t>T2</t>
        </is>
      </c>
      <c r="G97" s="10" t="inlineStr">
        <is>
          <t>Monday</t>
        </is>
      </c>
    </row>
    <row r="98">
      <c r="A98" s="12" t="n">
        <v>46119</v>
      </c>
      <c r="B98" s="10" t="n">
        <v>2026</v>
      </c>
      <c r="C98" s="10" t="n">
        <v>4</v>
      </c>
      <c r="D98" s="10" t="inlineStr">
        <is>
          <t>Abril</t>
        </is>
      </c>
      <c r="E98" s="10" t="inlineStr">
        <is>
          <t>2026-04</t>
        </is>
      </c>
      <c r="F98" s="10" t="inlineStr">
        <is>
          <t>T2</t>
        </is>
      </c>
      <c r="G98" s="10" t="inlineStr">
        <is>
          <t>Tuesday</t>
        </is>
      </c>
    </row>
    <row r="99">
      <c r="A99" s="12" t="n">
        <v>46120</v>
      </c>
      <c r="B99" s="10" t="n">
        <v>2026</v>
      </c>
      <c r="C99" s="10" t="n">
        <v>4</v>
      </c>
      <c r="D99" s="10" t="inlineStr">
        <is>
          <t>Abril</t>
        </is>
      </c>
      <c r="E99" s="10" t="inlineStr">
        <is>
          <t>2026-04</t>
        </is>
      </c>
      <c r="F99" s="10" t="inlineStr">
        <is>
          <t>T2</t>
        </is>
      </c>
      <c r="G99" s="10" t="inlineStr">
        <is>
          <t>Wednesday</t>
        </is>
      </c>
    </row>
    <row r="100">
      <c r="A100" s="12" t="n">
        <v>46121</v>
      </c>
      <c r="B100" s="10" t="n">
        <v>2026</v>
      </c>
      <c r="C100" s="10" t="n">
        <v>4</v>
      </c>
      <c r="D100" s="10" t="inlineStr">
        <is>
          <t>Abril</t>
        </is>
      </c>
      <c r="E100" s="10" t="inlineStr">
        <is>
          <t>2026-04</t>
        </is>
      </c>
      <c r="F100" s="10" t="inlineStr">
        <is>
          <t>T2</t>
        </is>
      </c>
      <c r="G100" s="10" t="inlineStr">
        <is>
          <t>Thursday</t>
        </is>
      </c>
    </row>
    <row r="101">
      <c r="A101" s="12" t="n">
        <v>46122</v>
      </c>
      <c r="B101" s="10" t="n">
        <v>2026</v>
      </c>
      <c r="C101" s="10" t="n">
        <v>4</v>
      </c>
      <c r="D101" s="10" t="inlineStr">
        <is>
          <t>Abril</t>
        </is>
      </c>
      <c r="E101" s="10" t="inlineStr">
        <is>
          <t>2026-04</t>
        </is>
      </c>
      <c r="F101" s="10" t="inlineStr">
        <is>
          <t>T2</t>
        </is>
      </c>
      <c r="G101" s="10" t="inlineStr">
        <is>
          <t>Friday</t>
        </is>
      </c>
    </row>
    <row r="102">
      <c r="A102" s="12" t="n">
        <v>46123</v>
      </c>
      <c r="B102" s="10" t="n">
        <v>2026</v>
      </c>
      <c r="C102" s="10" t="n">
        <v>4</v>
      </c>
      <c r="D102" s="10" t="inlineStr">
        <is>
          <t>Abril</t>
        </is>
      </c>
      <c r="E102" s="10" t="inlineStr">
        <is>
          <t>2026-04</t>
        </is>
      </c>
      <c r="F102" s="10" t="inlineStr">
        <is>
          <t>T2</t>
        </is>
      </c>
      <c r="G102" s="10" t="inlineStr">
        <is>
          <t>Saturday</t>
        </is>
      </c>
    </row>
    <row r="103">
      <c r="A103" s="12" t="n">
        <v>46124</v>
      </c>
      <c r="B103" s="10" t="n">
        <v>2026</v>
      </c>
      <c r="C103" s="10" t="n">
        <v>4</v>
      </c>
      <c r="D103" s="10" t="inlineStr">
        <is>
          <t>Abril</t>
        </is>
      </c>
      <c r="E103" s="10" t="inlineStr">
        <is>
          <t>2026-04</t>
        </is>
      </c>
      <c r="F103" s="10" t="inlineStr">
        <is>
          <t>T2</t>
        </is>
      </c>
      <c r="G103" s="10" t="inlineStr">
        <is>
          <t>Sunday</t>
        </is>
      </c>
    </row>
    <row r="104">
      <c r="A104" s="12" t="n">
        <v>46125</v>
      </c>
      <c r="B104" s="10" t="n">
        <v>2026</v>
      </c>
      <c r="C104" s="10" t="n">
        <v>4</v>
      </c>
      <c r="D104" s="10" t="inlineStr">
        <is>
          <t>Abril</t>
        </is>
      </c>
      <c r="E104" s="10" t="inlineStr">
        <is>
          <t>2026-04</t>
        </is>
      </c>
      <c r="F104" s="10" t="inlineStr">
        <is>
          <t>T2</t>
        </is>
      </c>
      <c r="G104" s="10" t="inlineStr">
        <is>
          <t>Monday</t>
        </is>
      </c>
    </row>
    <row r="105">
      <c r="A105" s="12" t="n">
        <v>46126</v>
      </c>
      <c r="B105" s="10" t="n">
        <v>2026</v>
      </c>
      <c r="C105" s="10" t="n">
        <v>4</v>
      </c>
      <c r="D105" s="10" t="inlineStr">
        <is>
          <t>Abril</t>
        </is>
      </c>
      <c r="E105" s="10" t="inlineStr">
        <is>
          <t>2026-04</t>
        </is>
      </c>
      <c r="F105" s="10" t="inlineStr">
        <is>
          <t>T2</t>
        </is>
      </c>
      <c r="G105" s="10" t="inlineStr">
        <is>
          <t>Tuesday</t>
        </is>
      </c>
    </row>
    <row r="106">
      <c r="A106" s="12" t="n">
        <v>46127</v>
      </c>
      <c r="B106" s="10" t="n">
        <v>2026</v>
      </c>
      <c r="C106" s="10" t="n">
        <v>4</v>
      </c>
      <c r="D106" s="10" t="inlineStr">
        <is>
          <t>Abril</t>
        </is>
      </c>
      <c r="E106" s="10" t="inlineStr">
        <is>
          <t>2026-04</t>
        </is>
      </c>
      <c r="F106" s="10" t="inlineStr">
        <is>
          <t>T2</t>
        </is>
      </c>
      <c r="G106" s="10" t="inlineStr">
        <is>
          <t>Wednesday</t>
        </is>
      </c>
    </row>
    <row r="107">
      <c r="A107" s="12" t="n">
        <v>46128</v>
      </c>
      <c r="B107" s="10" t="n">
        <v>2026</v>
      </c>
      <c r="C107" s="10" t="n">
        <v>4</v>
      </c>
      <c r="D107" s="10" t="inlineStr">
        <is>
          <t>Abril</t>
        </is>
      </c>
      <c r="E107" s="10" t="inlineStr">
        <is>
          <t>2026-04</t>
        </is>
      </c>
      <c r="F107" s="10" t="inlineStr">
        <is>
          <t>T2</t>
        </is>
      </c>
      <c r="G107" s="10" t="inlineStr">
        <is>
          <t>Thursday</t>
        </is>
      </c>
    </row>
    <row r="108">
      <c r="A108" s="12" t="n">
        <v>46129</v>
      </c>
      <c r="B108" s="10" t="n">
        <v>2026</v>
      </c>
      <c r="C108" s="10" t="n">
        <v>4</v>
      </c>
      <c r="D108" s="10" t="inlineStr">
        <is>
          <t>Abril</t>
        </is>
      </c>
      <c r="E108" s="10" t="inlineStr">
        <is>
          <t>2026-04</t>
        </is>
      </c>
      <c r="F108" s="10" t="inlineStr">
        <is>
          <t>T2</t>
        </is>
      </c>
      <c r="G108" s="10" t="inlineStr">
        <is>
          <t>Friday</t>
        </is>
      </c>
    </row>
    <row r="109">
      <c r="A109" s="12" t="n">
        <v>46130</v>
      </c>
      <c r="B109" s="10" t="n">
        <v>2026</v>
      </c>
      <c r="C109" s="10" t="n">
        <v>4</v>
      </c>
      <c r="D109" s="10" t="inlineStr">
        <is>
          <t>Abril</t>
        </is>
      </c>
      <c r="E109" s="10" t="inlineStr">
        <is>
          <t>2026-04</t>
        </is>
      </c>
      <c r="F109" s="10" t="inlineStr">
        <is>
          <t>T2</t>
        </is>
      </c>
      <c r="G109" s="10" t="inlineStr">
        <is>
          <t>Saturday</t>
        </is>
      </c>
    </row>
    <row r="110">
      <c r="A110" s="12" t="n">
        <v>46131</v>
      </c>
      <c r="B110" s="10" t="n">
        <v>2026</v>
      </c>
      <c r="C110" s="10" t="n">
        <v>4</v>
      </c>
      <c r="D110" s="10" t="inlineStr">
        <is>
          <t>Abril</t>
        </is>
      </c>
      <c r="E110" s="10" t="inlineStr">
        <is>
          <t>2026-04</t>
        </is>
      </c>
      <c r="F110" s="10" t="inlineStr">
        <is>
          <t>T2</t>
        </is>
      </c>
      <c r="G110" s="10" t="inlineStr">
        <is>
          <t>Sunday</t>
        </is>
      </c>
    </row>
    <row r="111">
      <c r="A111" s="12" t="n">
        <v>46132</v>
      </c>
      <c r="B111" s="10" t="n">
        <v>2026</v>
      </c>
      <c r="C111" s="10" t="n">
        <v>4</v>
      </c>
      <c r="D111" s="10" t="inlineStr">
        <is>
          <t>Abril</t>
        </is>
      </c>
      <c r="E111" s="10" t="inlineStr">
        <is>
          <t>2026-04</t>
        </is>
      </c>
      <c r="F111" s="10" t="inlineStr">
        <is>
          <t>T2</t>
        </is>
      </c>
      <c r="G111" s="10" t="inlineStr">
        <is>
          <t>Monday</t>
        </is>
      </c>
    </row>
    <row r="112">
      <c r="A112" s="12" t="n">
        <v>46133</v>
      </c>
      <c r="B112" s="10" t="n">
        <v>2026</v>
      </c>
      <c r="C112" s="10" t="n">
        <v>4</v>
      </c>
      <c r="D112" s="10" t="inlineStr">
        <is>
          <t>Abril</t>
        </is>
      </c>
      <c r="E112" s="10" t="inlineStr">
        <is>
          <t>2026-04</t>
        </is>
      </c>
      <c r="F112" s="10" t="inlineStr">
        <is>
          <t>T2</t>
        </is>
      </c>
      <c r="G112" s="10" t="inlineStr">
        <is>
          <t>Tuesday</t>
        </is>
      </c>
    </row>
    <row r="113">
      <c r="A113" s="12" t="n">
        <v>46134</v>
      </c>
      <c r="B113" s="10" t="n">
        <v>2026</v>
      </c>
      <c r="C113" s="10" t="n">
        <v>4</v>
      </c>
      <c r="D113" s="10" t="inlineStr">
        <is>
          <t>Abril</t>
        </is>
      </c>
      <c r="E113" s="10" t="inlineStr">
        <is>
          <t>2026-04</t>
        </is>
      </c>
      <c r="F113" s="10" t="inlineStr">
        <is>
          <t>T2</t>
        </is>
      </c>
      <c r="G113" s="10" t="inlineStr">
        <is>
          <t>Wednesday</t>
        </is>
      </c>
    </row>
    <row r="114">
      <c r="A114" s="12" t="n">
        <v>46135</v>
      </c>
      <c r="B114" s="10" t="n">
        <v>2026</v>
      </c>
      <c r="C114" s="10" t="n">
        <v>4</v>
      </c>
      <c r="D114" s="10" t="inlineStr">
        <is>
          <t>Abril</t>
        </is>
      </c>
      <c r="E114" s="10" t="inlineStr">
        <is>
          <t>2026-04</t>
        </is>
      </c>
      <c r="F114" s="10" t="inlineStr">
        <is>
          <t>T2</t>
        </is>
      </c>
      <c r="G114" s="10" t="inlineStr">
        <is>
          <t>Thursday</t>
        </is>
      </c>
    </row>
    <row r="115">
      <c r="A115" s="12" t="n">
        <v>46136</v>
      </c>
      <c r="B115" s="10" t="n">
        <v>2026</v>
      </c>
      <c r="C115" s="10" t="n">
        <v>4</v>
      </c>
      <c r="D115" s="10" t="inlineStr">
        <is>
          <t>Abril</t>
        </is>
      </c>
      <c r="E115" s="10" t="inlineStr">
        <is>
          <t>2026-04</t>
        </is>
      </c>
      <c r="F115" s="10" t="inlineStr">
        <is>
          <t>T2</t>
        </is>
      </c>
      <c r="G115" s="10" t="inlineStr">
        <is>
          <t>Friday</t>
        </is>
      </c>
    </row>
    <row r="116">
      <c r="A116" s="12" t="n">
        <v>46137</v>
      </c>
      <c r="B116" s="10" t="n">
        <v>2026</v>
      </c>
      <c r="C116" s="10" t="n">
        <v>4</v>
      </c>
      <c r="D116" s="10" t="inlineStr">
        <is>
          <t>Abril</t>
        </is>
      </c>
      <c r="E116" s="10" t="inlineStr">
        <is>
          <t>2026-04</t>
        </is>
      </c>
      <c r="F116" s="10" t="inlineStr">
        <is>
          <t>T2</t>
        </is>
      </c>
      <c r="G116" s="10" t="inlineStr">
        <is>
          <t>Saturday</t>
        </is>
      </c>
    </row>
    <row r="117">
      <c r="A117" s="12" t="n">
        <v>46138</v>
      </c>
      <c r="B117" s="10" t="n">
        <v>2026</v>
      </c>
      <c r="C117" s="10" t="n">
        <v>4</v>
      </c>
      <c r="D117" s="10" t="inlineStr">
        <is>
          <t>Abril</t>
        </is>
      </c>
      <c r="E117" s="10" t="inlineStr">
        <is>
          <t>2026-04</t>
        </is>
      </c>
      <c r="F117" s="10" t="inlineStr">
        <is>
          <t>T2</t>
        </is>
      </c>
      <c r="G117" s="10" t="inlineStr">
        <is>
          <t>Sunday</t>
        </is>
      </c>
    </row>
    <row r="118">
      <c r="A118" s="12" t="n">
        <v>46139</v>
      </c>
      <c r="B118" s="10" t="n">
        <v>2026</v>
      </c>
      <c r="C118" s="10" t="n">
        <v>4</v>
      </c>
      <c r="D118" s="10" t="inlineStr">
        <is>
          <t>Abril</t>
        </is>
      </c>
      <c r="E118" s="10" t="inlineStr">
        <is>
          <t>2026-04</t>
        </is>
      </c>
      <c r="F118" s="10" t="inlineStr">
        <is>
          <t>T2</t>
        </is>
      </c>
      <c r="G118" s="10" t="inlineStr">
        <is>
          <t>Monday</t>
        </is>
      </c>
    </row>
    <row r="119">
      <c r="A119" s="12" t="n">
        <v>46140</v>
      </c>
      <c r="B119" s="10" t="n">
        <v>2026</v>
      </c>
      <c r="C119" s="10" t="n">
        <v>4</v>
      </c>
      <c r="D119" s="10" t="inlineStr">
        <is>
          <t>Abril</t>
        </is>
      </c>
      <c r="E119" s="10" t="inlineStr">
        <is>
          <t>2026-04</t>
        </is>
      </c>
      <c r="F119" s="10" t="inlineStr">
        <is>
          <t>T2</t>
        </is>
      </c>
      <c r="G119" s="10" t="inlineStr">
        <is>
          <t>Tuesday</t>
        </is>
      </c>
    </row>
    <row r="120">
      <c r="A120" s="12" t="n">
        <v>46141</v>
      </c>
      <c r="B120" s="10" t="n">
        <v>2026</v>
      </c>
      <c r="C120" s="10" t="n">
        <v>4</v>
      </c>
      <c r="D120" s="10" t="inlineStr">
        <is>
          <t>Abril</t>
        </is>
      </c>
      <c r="E120" s="10" t="inlineStr">
        <is>
          <t>2026-04</t>
        </is>
      </c>
      <c r="F120" s="10" t="inlineStr">
        <is>
          <t>T2</t>
        </is>
      </c>
      <c r="G120" s="10" t="inlineStr">
        <is>
          <t>Wednesday</t>
        </is>
      </c>
    </row>
    <row r="121">
      <c r="A121" s="12" t="n">
        <v>46142</v>
      </c>
      <c r="B121" s="10" t="n">
        <v>2026</v>
      </c>
      <c r="C121" s="10" t="n">
        <v>4</v>
      </c>
      <c r="D121" s="10" t="inlineStr">
        <is>
          <t>Abril</t>
        </is>
      </c>
      <c r="E121" s="10" t="inlineStr">
        <is>
          <t>2026-04</t>
        </is>
      </c>
      <c r="F121" s="10" t="inlineStr">
        <is>
          <t>T2</t>
        </is>
      </c>
      <c r="G121" s="10" t="inlineStr">
        <is>
          <t>Thursday</t>
        </is>
      </c>
    </row>
    <row r="122">
      <c r="A122" s="12" t="n">
        <v>46143</v>
      </c>
      <c r="B122" s="10" t="n">
        <v>2026</v>
      </c>
      <c r="C122" s="10" t="n">
        <v>5</v>
      </c>
      <c r="D122" s="10" t="inlineStr">
        <is>
          <t>Maio</t>
        </is>
      </c>
      <c r="E122" s="10" t="inlineStr">
        <is>
          <t>2026-05</t>
        </is>
      </c>
      <c r="F122" s="10" t="inlineStr">
        <is>
          <t>T2</t>
        </is>
      </c>
      <c r="G122" s="10" t="inlineStr">
        <is>
          <t>Friday</t>
        </is>
      </c>
    </row>
    <row r="123">
      <c r="A123" s="12" t="n">
        <v>46144</v>
      </c>
      <c r="B123" s="10" t="n">
        <v>2026</v>
      </c>
      <c r="C123" s="10" t="n">
        <v>5</v>
      </c>
      <c r="D123" s="10" t="inlineStr">
        <is>
          <t>Maio</t>
        </is>
      </c>
      <c r="E123" s="10" t="inlineStr">
        <is>
          <t>2026-05</t>
        </is>
      </c>
      <c r="F123" s="10" t="inlineStr">
        <is>
          <t>T2</t>
        </is>
      </c>
      <c r="G123" s="10" t="inlineStr">
        <is>
          <t>Saturday</t>
        </is>
      </c>
    </row>
    <row r="124">
      <c r="A124" s="12" t="n">
        <v>46145</v>
      </c>
      <c r="B124" s="10" t="n">
        <v>2026</v>
      </c>
      <c r="C124" s="10" t="n">
        <v>5</v>
      </c>
      <c r="D124" s="10" t="inlineStr">
        <is>
          <t>Maio</t>
        </is>
      </c>
      <c r="E124" s="10" t="inlineStr">
        <is>
          <t>2026-05</t>
        </is>
      </c>
      <c r="F124" s="10" t="inlineStr">
        <is>
          <t>T2</t>
        </is>
      </c>
      <c r="G124" s="10" t="inlineStr">
        <is>
          <t>Sunday</t>
        </is>
      </c>
    </row>
    <row r="125">
      <c r="A125" s="12" t="n">
        <v>46146</v>
      </c>
      <c r="B125" s="10" t="n">
        <v>2026</v>
      </c>
      <c r="C125" s="10" t="n">
        <v>5</v>
      </c>
      <c r="D125" s="10" t="inlineStr">
        <is>
          <t>Maio</t>
        </is>
      </c>
      <c r="E125" s="10" t="inlineStr">
        <is>
          <t>2026-05</t>
        </is>
      </c>
      <c r="F125" s="10" t="inlineStr">
        <is>
          <t>T2</t>
        </is>
      </c>
      <c r="G125" s="10" t="inlineStr">
        <is>
          <t>Monday</t>
        </is>
      </c>
    </row>
    <row r="126">
      <c r="A126" s="12" t="n">
        <v>46147</v>
      </c>
      <c r="B126" s="10" t="n">
        <v>2026</v>
      </c>
      <c r="C126" s="10" t="n">
        <v>5</v>
      </c>
      <c r="D126" s="10" t="inlineStr">
        <is>
          <t>Maio</t>
        </is>
      </c>
      <c r="E126" s="10" t="inlineStr">
        <is>
          <t>2026-05</t>
        </is>
      </c>
      <c r="F126" s="10" t="inlineStr">
        <is>
          <t>T2</t>
        </is>
      </c>
      <c r="G126" s="10" t="inlineStr">
        <is>
          <t>Tuesday</t>
        </is>
      </c>
    </row>
    <row r="127">
      <c r="A127" s="12" t="n">
        <v>46148</v>
      </c>
      <c r="B127" s="10" t="n">
        <v>2026</v>
      </c>
      <c r="C127" s="10" t="n">
        <v>5</v>
      </c>
      <c r="D127" s="10" t="inlineStr">
        <is>
          <t>Maio</t>
        </is>
      </c>
      <c r="E127" s="10" t="inlineStr">
        <is>
          <t>2026-05</t>
        </is>
      </c>
      <c r="F127" s="10" t="inlineStr">
        <is>
          <t>T2</t>
        </is>
      </c>
      <c r="G127" s="10" t="inlineStr">
        <is>
          <t>Wednesday</t>
        </is>
      </c>
    </row>
    <row r="128">
      <c r="A128" s="12" t="n">
        <v>46149</v>
      </c>
      <c r="B128" s="10" t="n">
        <v>2026</v>
      </c>
      <c r="C128" s="10" t="n">
        <v>5</v>
      </c>
      <c r="D128" s="10" t="inlineStr">
        <is>
          <t>Maio</t>
        </is>
      </c>
      <c r="E128" s="10" t="inlineStr">
        <is>
          <t>2026-05</t>
        </is>
      </c>
      <c r="F128" s="10" t="inlineStr">
        <is>
          <t>T2</t>
        </is>
      </c>
      <c r="G128" s="10" t="inlineStr">
        <is>
          <t>Thursday</t>
        </is>
      </c>
    </row>
    <row r="129">
      <c r="A129" s="12" t="n">
        <v>46150</v>
      </c>
      <c r="B129" s="10" t="n">
        <v>2026</v>
      </c>
      <c r="C129" s="10" t="n">
        <v>5</v>
      </c>
      <c r="D129" s="10" t="inlineStr">
        <is>
          <t>Maio</t>
        </is>
      </c>
      <c r="E129" s="10" t="inlineStr">
        <is>
          <t>2026-05</t>
        </is>
      </c>
      <c r="F129" s="10" t="inlineStr">
        <is>
          <t>T2</t>
        </is>
      </c>
      <c r="G129" s="10" t="inlineStr">
        <is>
          <t>Friday</t>
        </is>
      </c>
    </row>
    <row r="130">
      <c r="A130" s="12" t="n">
        <v>46151</v>
      </c>
      <c r="B130" s="10" t="n">
        <v>2026</v>
      </c>
      <c r="C130" s="10" t="n">
        <v>5</v>
      </c>
      <c r="D130" s="10" t="inlineStr">
        <is>
          <t>Maio</t>
        </is>
      </c>
      <c r="E130" s="10" t="inlineStr">
        <is>
          <t>2026-05</t>
        </is>
      </c>
      <c r="F130" s="10" t="inlineStr">
        <is>
          <t>T2</t>
        </is>
      </c>
      <c r="G130" s="10" t="inlineStr">
        <is>
          <t>Saturday</t>
        </is>
      </c>
    </row>
    <row r="131">
      <c r="A131" s="12" t="n">
        <v>46152</v>
      </c>
      <c r="B131" s="10" t="n">
        <v>2026</v>
      </c>
      <c r="C131" s="10" t="n">
        <v>5</v>
      </c>
      <c r="D131" s="10" t="inlineStr">
        <is>
          <t>Maio</t>
        </is>
      </c>
      <c r="E131" s="10" t="inlineStr">
        <is>
          <t>2026-05</t>
        </is>
      </c>
      <c r="F131" s="10" t="inlineStr">
        <is>
          <t>T2</t>
        </is>
      </c>
      <c r="G131" s="10" t="inlineStr">
        <is>
          <t>Sunday</t>
        </is>
      </c>
    </row>
    <row r="132">
      <c r="A132" s="12" t="n">
        <v>46153</v>
      </c>
      <c r="B132" s="10" t="n">
        <v>2026</v>
      </c>
      <c r="C132" s="10" t="n">
        <v>5</v>
      </c>
      <c r="D132" s="10" t="inlineStr">
        <is>
          <t>Maio</t>
        </is>
      </c>
      <c r="E132" s="10" t="inlineStr">
        <is>
          <t>2026-05</t>
        </is>
      </c>
      <c r="F132" s="10" t="inlineStr">
        <is>
          <t>T2</t>
        </is>
      </c>
      <c r="G132" s="10" t="inlineStr">
        <is>
          <t>Monday</t>
        </is>
      </c>
    </row>
    <row r="133">
      <c r="A133" s="12" t="n">
        <v>46154</v>
      </c>
      <c r="B133" s="10" t="n">
        <v>2026</v>
      </c>
      <c r="C133" s="10" t="n">
        <v>5</v>
      </c>
      <c r="D133" s="10" t="inlineStr">
        <is>
          <t>Maio</t>
        </is>
      </c>
      <c r="E133" s="10" t="inlineStr">
        <is>
          <t>2026-05</t>
        </is>
      </c>
      <c r="F133" s="10" t="inlineStr">
        <is>
          <t>T2</t>
        </is>
      </c>
      <c r="G133" s="10" t="inlineStr">
        <is>
          <t>Tuesday</t>
        </is>
      </c>
    </row>
    <row r="134">
      <c r="A134" s="12" t="n">
        <v>46155</v>
      </c>
      <c r="B134" s="10" t="n">
        <v>2026</v>
      </c>
      <c r="C134" s="10" t="n">
        <v>5</v>
      </c>
      <c r="D134" s="10" t="inlineStr">
        <is>
          <t>Maio</t>
        </is>
      </c>
      <c r="E134" s="10" t="inlineStr">
        <is>
          <t>2026-05</t>
        </is>
      </c>
      <c r="F134" s="10" t="inlineStr">
        <is>
          <t>T2</t>
        </is>
      </c>
      <c r="G134" s="10" t="inlineStr">
        <is>
          <t>Wednesday</t>
        </is>
      </c>
    </row>
    <row r="135">
      <c r="A135" s="12" t="n">
        <v>46156</v>
      </c>
      <c r="B135" s="10" t="n">
        <v>2026</v>
      </c>
      <c r="C135" s="10" t="n">
        <v>5</v>
      </c>
      <c r="D135" s="10" t="inlineStr">
        <is>
          <t>Maio</t>
        </is>
      </c>
      <c r="E135" s="10" t="inlineStr">
        <is>
          <t>2026-05</t>
        </is>
      </c>
      <c r="F135" s="10" t="inlineStr">
        <is>
          <t>T2</t>
        </is>
      </c>
      <c r="G135" s="10" t="inlineStr">
        <is>
          <t>Thursday</t>
        </is>
      </c>
    </row>
    <row r="136">
      <c r="A136" s="12" t="n">
        <v>46157</v>
      </c>
      <c r="B136" s="10" t="n">
        <v>2026</v>
      </c>
      <c r="C136" s="10" t="n">
        <v>5</v>
      </c>
      <c r="D136" s="10" t="inlineStr">
        <is>
          <t>Maio</t>
        </is>
      </c>
      <c r="E136" s="10" t="inlineStr">
        <is>
          <t>2026-05</t>
        </is>
      </c>
      <c r="F136" s="10" t="inlineStr">
        <is>
          <t>T2</t>
        </is>
      </c>
      <c r="G136" s="10" t="inlineStr">
        <is>
          <t>Friday</t>
        </is>
      </c>
    </row>
    <row r="137">
      <c r="A137" s="12" t="n">
        <v>46158</v>
      </c>
      <c r="B137" s="10" t="n">
        <v>2026</v>
      </c>
      <c r="C137" s="10" t="n">
        <v>5</v>
      </c>
      <c r="D137" s="10" t="inlineStr">
        <is>
          <t>Maio</t>
        </is>
      </c>
      <c r="E137" s="10" t="inlineStr">
        <is>
          <t>2026-05</t>
        </is>
      </c>
      <c r="F137" s="10" t="inlineStr">
        <is>
          <t>T2</t>
        </is>
      </c>
      <c r="G137" s="10" t="inlineStr">
        <is>
          <t>Saturday</t>
        </is>
      </c>
    </row>
    <row r="138">
      <c r="A138" s="12" t="n">
        <v>46159</v>
      </c>
      <c r="B138" s="10" t="n">
        <v>2026</v>
      </c>
      <c r="C138" s="10" t="n">
        <v>5</v>
      </c>
      <c r="D138" s="10" t="inlineStr">
        <is>
          <t>Maio</t>
        </is>
      </c>
      <c r="E138" s="10" t="inlineStr">
        <is>
          <t>2026-05</t>
        </is>
      </c>
      <c r="F138" s="10" t="inlineStr">
        <is>
          <t>T2</t>
        </is>
      </c>
      <c r="G138" s="10" t="inlineStr">
        <is>
          <t>Sunday</t>
        </is>
      </c>
    </row>
    <row r="139">
      <c r="A139" s="12" t="n">
        <v>46160</v>
      </c>
      <c r="B139" s="10" t="n">
        <v>2026</v>
      </c>
      <c r="C139" s="10" t="n">
        <v>5</v>
      </c>
      <c r="D139" s="10" t="inlineStr">
        <is>
          <t>Maio</t>
        </is>
      </c>
      <c r="E139" s="10" t="inlineStr">
        <is>
          <t>2026-05</t>
        </is>
      </c>
      <c r="F139" s="10" t="inlineStr">
        <is>
          <t>T2</t>
        </is>
      </c>
      <c r="G139" s="10" t="inlineStr">
        <is>
          <t>Monday</t>
        </is>
      </c>
    </row>
    <row r="140">
      <c r="A140" s="12" t="n">
        <v>46161</v>
      </c>
      <c r="B140" s="10" t="n">
        <v>2026</v>
      </c>
      <c r="C140" s="10" t="n">
        <v>5</v>
      </c>
      <c r="D140" s="10" t="inlineStr">
        <is>
          <t>Maio</t>
        </is>
      </c>
      <c r="E140" s="10" t="inlineStr">
        <is>
          <t>2026-05</t>
        </is>
      </c>
      <c r="F140" s="10" t="inlineStr">
        <is>
          <t>T2</t>
        </is>
      </c>
      <c r="G140" s="10" t="inlineStr">
        <is>
          <t>Tuesday</t>
        </is>
      </c>
    </row>
    <row r="141">
      <c r="A141" s="12" t="n">
        <v>46162</v>
      </c>
      <c r="B141" s="10" t="n">
        <v>2026</v>
      </c>
      <c r="C141" s="10" t="n">
        <v>5</v>
      </c>
      <c r="D141" s="10" t="inlineStr">
        <is>
          <t>Maio</t>
        </is>
      </c>
      <c r="E141" s="10" t="inlineStr">
        <is>
          <t>2026-05</t>
        </is>
      </c>
      <c r="F141" s="10" t="inlineStr">
        <is>
          <t>T2</t>
        </is>
      </c>
      <c r="G141" s="10" t="inlineStr">
        <is>
          <t>Wednesday</t>
        </is>
      </c>
    </row>
    <row r="142">
      <c r="A142" s="12" t="n">
        <v>46163</v>
      </c>
      <c r="B142" s="10" t="n">
        <v>2026</v>
      </c>
      <c r="C142" s="10" t="n">
        <v>5</v>
      </c>
      <c r="D142" s="10" t="inlineStr">
        <is>
          <t>Maio</t>
        </is>
      </c>
      <c r="E142" s="10" t="inlineStr">
        <is>
          <t>2026-05</t>
        </is>
      </c>
      <c r="F142" s="10" t="inlineStr">
        <is>
          <t>T2</t>
        </is>
      </c>
      <c r="G142" s="10" t="inlineStr">
        <is>
          <t>Thursday</t>
        </is>
      </c>
    </row>
    <row r="143">
      <c r="A143" s="12" t="n">
        <v>46164</v>
      </c>
      <c r="B143" s="10" t="n">
        <v>2026</v>
      </c>
      <c r="C143" s="10" t="n">
        <v>5</v>
      </c>
      <c r="D143" s="10" t="inlineStr">
        <is>
          <t>Maio</t>
        </is>
      </c>
      <c r="E143" s="10" t="inlineStr">
        <is>
          <t>2026-05</t>
        </is>
      </c>
      <c r="F143" s="10" t="inlineStr">
        <is>
          <t>T2</t>
        </is>
      </c>
      <c r="G143" s="10" t="inlineStr">
        <is>
          <t>Friday</t>
        </is>
      </c>
    </row>
    <row r="144">
      <c r="A144" s="12" t="n">
        <v>46165</v>
      </c>
      <c r="B144" s="10" t="n">
        <v>2026</v>
      </c>
      <c r="C144" s="10" t="n">
        <v>5</v>
      </c>
      <c r="D144" s="10" t="inlineStr">
        <is>
          <t>Maio</t>
        </is>
      </c>
      <c r="E144" s="10" t="inlineStr">
        <is>
          <t>2026-05</t>
        </is>
      </c>
      <c r="F144" s="10" t="inlineStr">
        <is>
          <t>T2</t>
        </is>
      </c>
      <c r="G144" s="10" t="inlineStr">
        <is>
          <t>Saturday</t>
        </is>
      </c>
    </row>
    <row r="145">
      <c r="A145" s="12" t="n">
        <v>46166</v>
      </c>
      <c r="B145" s="10" t="n">
        <v>2026</v>
      </c>
      <c r="C145" s="10" t="n">
        <v>5</v>
      </c>
      <c r="D145" s="10" t="inlineStr">
        <is>
          <t>Maio</t>
        </is>
      </c>
      <c r="E145" s="10" t="inlineStr">
        <is>
          <t>2026-05</t>
        </is>
      </c>
      <c r="F145" s="10" t="inlineStr">
        <is>
          <t>T2</t>
        </is>
      </c>
      <c r="G145" s="10" t="inlineStr">
        <is>
          <t>Sunday</t>
        </is>
      </c>
    </row>
    <row r="146">
      <c r="A146" s="12" t="n">
        <v>46167</v>
      </c>
      <c r="B146" s="10" t="n">
        <v>2026</v>
      </c>
      <c r="C146" s="10" t="n">
        <v>5</v>
      </c>
      <c r="D146" s="10" t="inlineStr">
        <is>
          <t>Maio</t>
        </is>
      </c>
      <c r="E146" s="10" t="inlineStr">
        <is>
          <t>2026-05</t>
        </is>
      </c>
      <c r="F146" s="10" t="inlineStr">
        <is>
          <t>T2</t>
        </is>
      </c>
      <c r="G146" s="10" t="inlineStr">
        <is>
          <t>Monday</t>
        </is>
      </c>
    </row>
    <row r="147">
      <c r="A147" s="12" t="n">
        <v>46168</v>
      </c>
      <c r="B147" s="10" t="n">
        <v>2026</v>
      </c>
      <c r="C147" s="10" t="n">
        <v>5</v>
      </c>
      <c r="D147" s="10" t="inlineStr">
        <is>
          <t>Maio</t>
        </is>
      </c>
      <c r="E147" s="10" t="inlineStr">
        <is>
          <t>2026-05</t>
        </is>
      </c>
      <c r="F147" s="10" t="inlineStr">
        <is>
          <t>T2</t>
        </is>
      </c>
      <c r="G147" s="10" t="inlineStr">
        <is>
          <t>Tuesday</t>
        </is>
      </c>
    </row>
    <row r="148">
      <c r="A148" s="12" t="n">
        <v>46169</v>
      </c>
      <c r="B148" s="10" t="n">
        <v>2026</v>
      </c>
      <c r="C148" s="10" t="n">
        <v>5</v>
      </c>
      <c r="D148" s="10" t="inlineStr">
        <is>
          <t>Maio</t>
        </is>
      </c>
      <c r="E148" s="10" t="inlineStr">
        <is>
          <t>2026-05</t>
        </is>
      </c>
      <c r="F148" s="10" t="inlineStr">
        <is>
          <t>T2</t>
        </is>
      </c>
      <c r="G148" s="10" t="inlineStr">
        <is>
          <t>Wednesday</t>
        </is>
      </c>
    </row>
    <row r="149">
      <c r="A149" s="12" t="n">
        <v>46170</v>
      </c>
      <c r="B149" s="10" t="n">
        <v>2026</v>
      </c>
      <c r="C149" s="10" t="n">
        <v>5</v>
      </c>
      <c r="D149" s="10" t="inlineStr">
        <is>
          <t>Maio</t>
        </is>
      </c>
      <c r="E149" s="10" t="inlineStr">
        <is>
          <t>2026-05</t>
        </is>
      </c>
      <c r="F149" s="10" t="inlineStr">
        <is>
          <t>T2</t>
        </is>
      </c>
      <c r="G149" s="10" t="inlineStr">
        <is>
          <t>Thursday</t>
        </is>
      </c>
    </row>
    <row r="150">
      <c r="A150" s="12" t="n">
        <v>46171</v>
      </c>
      <c r="B150" s="10" t="n">
        <v>2026</v>
      </c>
      <c r="C150" s="10" t="n">
        <v>5</v>
      </c>
      <c r="D150" s="10" t="inlineStr">
        <is>
          <t>Maio</t>
        </is>
      </c>
      <c r="E150" s="10" t="inlineStr">
        <is>
          <t>2026-05</t>
        </is>
      </c>
      <c r="F150" s="10" t="inlineStr">
        <is>
          <t>T2</t>
        </is>
      </c>
      <c r="G150" s="10" t="inlineStr">
        <is>
          <t>Friday</t>
        </is>
      </c>
    </row>
    <row r="151">
      <c r="A151" s="12" t="n">
        <v>46172</v>
      </c>
      <c r="B151" s="10" t="n">
        <v>2026</v>
      </c>
      <c r="C151" s="10" t="n">
        <v>5</v>
      </c>
      <c r="D151" s="10" t="inlineStr">
        <is>
          <t>Maio</t>
        </is>
      </c>
      <c r="E151" s="10" t="inlineStr">
        <is>
          <t>2026-05</t>
        </is>
      </c>
      <c r="F151" s="10" t="inlineStr">
        <is>
          <t>T2</t>
        </is>
      </c>
      <c r="G151" s="10" t="inlineStr">
        <is>
          <t>Saturday</t>
        </is>
      </c>
    </row>
    <row r="152">
      <c r="A152" s="12" t="n">
        <v>46173</v>
      </c>
      <c r="B152" s="10" t="n">
        <v>2026</v>
      </c>
      <c r="C152" s="10" t="n">
        <v>5</v>
      </c>
      <c r="D152" s="10" t="inlineStr">
        <is>
          <t>Maio</t>
        </is>
      </c>
      <c r="E152" s="10" t="inlineStr">
        <is>
          <t>2026-05</t>
        </is>
      </c>
      <c r="F152" s="10" t="inlineStr">
        <is>
          <t>T2</t>
        </is>
      </c>
      <c r="G152" s="10" t="inlineStr">
        <is>
          <t>Sunday</t>
        </is>
      </c>
    </row>
    <row r="153">
      <c r="A153" s="12" t="n">
        <v>46174</v>
      </c>
      <c r="B153" s="10" t="n">
        <v>2026</v>
      </c>
      <c r="C153" s="10" t="n">
        <v>6</v>
      </c>
      <c r="D153" s="10" t="inlineStr">
        <is>
          <t>Junho</t>
        </is>
      </c>
      <c r="E153" s="10" t="inlineStr">
        <is>
          <t>2026-06</t>
        </is>
      </c>
      <c r="F153" s="10" t="inlineStr">
        <is>
          <t>T2</t>
        </is>
      </c>
      <c r="G153" s="10" t="inlineStr">
        <is>
          <t>Monday</t>
        </is>
      </c>
    </row>
    <row r="154">
      <c r="A154" s="12" t="n">
        <v>46175</v>
      </c>
      <c r="B154" s="10" t="n">
        <v>2026</v>
      </c>
      <c r="C154" s="10" t="n">
        <v>6</v>
      </c>
      <c r="D154" s="10" t="inlineStr">
        <is>
          <t>Junho</t>
        </is>
      </c>
      <c r="E154" s="10" t="inlineStr">
        <is>
          <t>2026-06</t>
        </is>
      </c>
      <c r="F154" s="10" t="inlineStr">
        <is>
          <t>T2</t>
        </is>
      </c>
      <c r="G154" s="10" t="inlineStr">
        <is>
          <t>Tuesday</t>
        </is>
      </c>
    </row>
    <row r="155">
      <c r="A155" s="12" t="n">
        <v>46176</v>
      </c>
      <c r="B155" s="10" t="n">
        <v>2026</v>
      </c>
      <c r="C155" s="10" t="n">
        <v>6</v>
      </c>
      <c r="D155" s="10" t="inlineStr">
        <is>
          <t>Junho</t>
        </is>
      </c>
      <c r="E155" s="10" t="inlineStr">
        <is>
          <t>2026-06</t>
        </is>
      </c>
      <c r="F155" s="10" t="inlineStr">
        <is>
          <t>T2</t>
        </is>
      </c>
      <c r="G155" s="10" t="inlineStr">
        <is>
          <t>Wednesday</t>
        </is>
      </c>
    </row>
    <row r="156">
      <c r="A156" s="12" t="n">
        <v>46177</v>
      </c>
      <c r="B156" s="10" t="n">
        <v>2026</v>
      </c>
      <c r="C156" s="10" t="n">
        <v>6</v>
      </c>
      <c r="D156" s="10" t="inlineStr">
        <is>
          <t>Junho</t>
        </is>
      </c>
      <c r="E156" s="10" t="inlineStr">
        <is>
          <t>2026-06</t>
        </is>
      </c>
      <c r="F156" s="10" t="inlineStr">
        <is>
          <t>T2</t>
        </is>
      </c>
      <c r="G156" s="10" t="inlineStr">
        <is>
          <t>Thursday</t>
        </is>
      </c>
    </row>
    <row r="157">
      <c r="A157" s="12" t="n">
        <v>46178</v>
      </c>
      <c r="B157" s="10" t="n">
        <v>2026</v>
      </c>
      <c r="C157" s="10" t="n">
        <v>6</v>
      </c>
      <c r="D157" s="10" t="inlineStr">
        <is>
          <t>Junho</t>
        </is>
      </c>
      <c r="E157" s="10" t="inlineStr">
        <is>
          <t>2026-06</t>
        </is>
      </c>
      <c r="F157" s="10" t="inlineStr">
        <is>
          <t>T2</t>
        </is>
      </c>
      <c r="G157" s="10" t="inlineStr">
        <is>
          <t>Friday</t>
        </is>
      </c>
    </row>
    <row r="158">
      <c r="A158" s="12" t="n">
        <v>46179</v>
      </c>
      <c r="B158" s="10" t="n">
        <v>2026</v>
      </c>
      <c r="C158" s="10" t="n">
        <v>6</v>
      </c>
      <c r="D158" s="10" t="inlineStr">
        <is>
          <t>Junho</t>
        </is>
      </c>
      <c r="E158" s="10" t="inlineStr">
        <is>
          <t>2026-06</t>
        </is>
      </c>
      <c r="F158" s="10" t="inlineStr">
        <is>
          <t>T2</t>
        </is>
      </c>
      <c r="G158" s="10" t="inlineStr">
        <is>
          <t>Saturday</t>
        </is>
      </c>
    </row>
    <row r="159">
      <c r="A159" s="12" t="n">
        <v>46180</v>
      </c>
      <c r="B159" s="10" t="n">
        <v>2026</v>
      </c>
      <c r="C159" s="10" t="n">
        <v>6</v>
      </c>
      <c r="D159" s="10" t="inlineStr">
        <is>
          <t>Junho</t>
        </is>
      </c>
      <c r="E159" s="10" t="inlineStr">
        <is>
          <t>2026-06</t>
        </is>
      </c>
      <c r="F159" s="10" t="inlineStr">
        <is>
          <t>T2</t>
        </is>
      </c>
      <c r="G159" s="10" t="inlineStr">
        <is>
          <t>Sunday</t>
        </is>
      </c>
    </row>
    <row r="160">
      <c r="A160" s="12" t="n">
        <v>46181</v>
      </c>
      <c r="B160" s="10" t="n">
        <v>2026</v>
      </c>
      <c r="C160" s="10" t="n">
        <v>6</v>
      </c>
      <c r="D160" s="10" t="inlineStr">
        <is>
          <t>Junho</t>
        </is>
      </c>
      <c r="E160" s="10" t="inlineStr">
        <is>
          <t>2026-06</t>
        </is>
      </c>
      <c r="F160" s="10" t="inlineStr">
        <is>
          <t>T2</t>
        </is>
      </c>
      <c r="G160" s="10" t="inlineStr">
        <is>
          <t>Monday</t>
        </is>
      </c>
    </row>
    <row r="161">
      <c r="A161" s="12" t="n">
        <v>46182</v>
      </c>
      <c r="B161" s="10" t="n">
        <v>2026</v>
      </c>
      <c r="C161" s="10" t="n">
        <v>6</v>
      </c>
      <c r="D161" s="10" t="inlineStr">
        <is>
          <t>Junho</t>
        </is>
      </c>
      <c r="E161" s="10" t="inlineStr">
        <is>
          <t>2026-06</t>
        </is>
      </c>
      <c r="F161" s="10" t="inlineStr">
        <is>
          <t>T2</t>
        </is>
      </c>
      <c r="G161" s="10" t="inlineStr">
        <is>
          <t>Tuesday</t>
        </is>
      </c>
    </row>
    <row r="162">
      <c r="A162" s="12" t="n">
        <v>46183</v>
      </c>
      <c r="B162" s="10" t="n">
        <v>2026</v>
      </c>
      <c r="C162" s="10" t="n">
        <v>6</v>
      </c>
      <c r="D162" s="10" t="inlineStr">
        <is>
          <t>Junho</t>
        </is>
      </c>
      <c r="E162" s="10" t="inlineStr">
        <is>
          <t>2026-06</t>
        </is>
      </c>
      <c r="F162" s="10" t="inlineStr">
        <is>
          <t>T2</t>
        </is>
      </c>
      <c r="G162" s="10" t="inlineStr">
        <is>
          <t>Wednesday</t>
        </is>
      </c>
    </row>
    <row r="163">
      <c r="A163" s="12" t="n">
        <v>46184</v>
      </c>
      <c r="B163" s="10" t="n">
        <v>2026</v>
      </c>
      <c r="C163" s="10" t="n">
        <v>6</v>
      </c>
      <c r="D163" s="10" t="inlineStr">
        <is>
          <t>Junho</t>
        </is>
      </c>
      <c r="E163" s="10" t="inlineStr">
        <is>
          <t>2026-06</t>
        </is>
      </c>
      <c r="F163" s="10" t="inlineStr">
        <is>
          <t>T2</t>
        </is>
      </c>
      <c r="G163" s="10" t="inlineStr">
        <is>
          <t>Thursday</t>
        </is>
      </c>
    </row>
    <row r="164">
      <c r="A164" s="12" t="n">
        <v>46185</v>
      </c>
      <c r="B164" s="10" t="n">
        <v>2026</v>
      </c>
      <c r="C164" s="10" t="n">
        <v>6</v>
      </c>
      <c r="D164" s="10" t="inlineStr">
        <is>
          <t>Junho</t>
        </is>
      </c>
      <c r="E164" s="10" t="inlineStr">
        <is>
          <t>2026-06</t>
        </is>
      </c>
      <c r="F164" s="10" t="inlineStr">
        <is>
          <t>T2</t>
        </is>
      </c>
      <c r="G164" s="10" t="inlineStr">
        <is>
          <t>Friday</t>
        </is>
      </c>
    </row>
    <row r="165">
      <c r="A165" s="12" t="n">
        <v>46186</v>
      </c>
      <c r="B165" s="10" t="n">
        <v>2026</v>
      </c>
      <c r="C165" s="10" t="n">
        <v>6</v>
      </c>
      <c r="D165" s="10" t="inlineStr">
        <is>
          <t>Junho</t>
        </is>
      </c>
      <c r="E165" s="10" t="inlineStr">
        <is>
          <t>2026-06</t>
        </is>
      </c>
      <c r="F165" s="10" t="inlineStr">
        <is>
          <t>T2</t>
        </is>
      </c>
      <c r="G165" s="10" t="inlineStr">
        <is>
          <t>Saturday</t>
        </is>
      </c>
    </row>
    <row r="166">
      <c r="A166" s="12" t="n">
        <v>46187</v>
      </c>
      <c r="B166" s="10" t="n">
        <v>2026</v>
      </c>
      <c r="C166" s="10" t="n">
        <v>6</v>
      </c>
      <c r="D166" s="10" t="inlineStr">
        <is>
          <t>Junho</t>
        </is>
      </c>
      <c r="E166" s="10" t="inlineStr">
        <is>
          <t>2026-06</t>
        </is>
      </c>
      <c r="F166" s="10" t="inlineStr">
        <is>
          <t>T2</t>
        </is>
      </c>
      <c r="G166" s="10" t="inlineStr">
        <is>
          <t>Sunday</t>
        </is>
      </c>
    </row>
    <row r="167">
      <c r="A167" s="12" t="n">
        <v>46188</v>
      </c>
      <c r="B167" s="10" t="n">
        <v>2026</v>
      </c>
      <c r="C167" s="10" t="n">
        <v>6</v>
      </c>
      <c r="D167" s="10" t="inlineStr">
        <is>
          <t>Junho</t>
        </is>
      </c>
      <c r="E167" s="10" t="inlineStr">
        <is>
          <t>2026-06</t>
        </is>
      </c>
      <c r="F167" s="10" t="inlineStr">
        <is>
          <t>T2</t>
        </is>
      </c>
      <c r="G167" s="10" t="inlineStr">
        <is>
          <t>Monday</t>
        </is>
      </c>
    </row>
    <row r="168">
      <c r="A168" s="12" t="n">
        <v>46189</v>
      </c>
      <c r="B168" s="10" t="n">
        <v>2026</v>
      </c>
      <c r="C168" s="10" t="n">
        <v>6</v>
      </c>
      <c r="D168" s="10" t="inlineStr">
        <is>
          <t>Junho</t>
        </is>
      </c>
      <c r="E168" s="10" t="inlineStr">
        <is>
          <t>2026-06</t>
        </is>
      </c>
      <c r="F168" s="10" t="inlineStr">
        <is>
          <t>T2</t>
        </is>
      </c>
      <c r="G168" s="10" t="inlineStr">
        <is>
          <t>Tuesday</t>
        </is>
      </c>
    </row>
    <row r="169">
      <c r="A169" s="12" t="n">
        <v>46190</v>
      </c>
      <c r="B169" s="10" t="n">
        <v>2026</v>
      </c>
      <c r="C169" s="10" t="n">
        <v>6</v>
      </c>
      <c r="D169" s="10" t="inlineStr">
        <is>
          <t>Junho</t>
        </is>
      </c>
      <c r="E169" s="10" t="inlineStr">
        <is>
          <t>2026-06</t>
        </is>
      </c>
      <c r="F169" s="10" t="inlineStr">
        <is>
          <t>T2</t>
        </is>
      </c>
      <c r="G169" s="10" t="inlineStr">
        <is>
          <t>Wednesday</t>
        </is>
      </c>
    </row>
    <row r="170">
      <c r="A170" s="12" t="n">
        <v>46191</v>
      </c>
      <c r="B170" s="10" t="n">
        <v>2026</v>
      </c>
      <c r="C170" s="10" t="n">
        <v>6</v>
      </c>
      <c r="D170" s="10" t="inlineStr">
        <is>
          <t>Junho</t>
        </is>
      </c>
      <c r="E170" s="10" t="inlineStr">
        <is>
          <t>2026-06</t>
        </is>
      </c>
      <c r="F170" s="10" t="inlineStr">
        <is>
          <t>T2</t>
        </is>
      </c>
      <c r="G170" s="10" t="inlineStr">
        <is>
          <t>Thursday</t>
        </is>
      </c>
    </row>
    <row r="171">
      <c r="A171" s="12" t="n">
        <v>46192</v>
      </c>
      <c r="B171" s="10" t="n">
        <v>2026</v>
      </c>
      <c r="C171" s="10" t="n">
        <v>6</v>
      </c>
      <c r="D171" s="10" t="inlineStr">
        <is>
          <t>Junho</t>
        </is>
      </c>
      <c r="E171" s="10" t="inlineStr">
        <is>
          <t>2026-06</t>
        </is>
      </c>
      <c r="F171" s="10" t="inlineStr">
        <is>
          <t>T2</t>
        </is>
      </c>
      <c r="G171" s="10" t="inlineStr">
        <is>
          <t>Friday</t>
        </is>
      </c>
    </row>
    <row r="172">
      <c r="A172" s="12" t="n">
        <v>46193</v>
      </c>
      <c r="B172" s="10" t="n">
        <v>2026</v>
      </c>
      <c r="C172" s="10" t="n">
        <v>6</v>
      </c>
      <c r="D172" s="10" t="inlineStr">
        <is>
          <t>Junho</t>
        </is>
      </c>
      <c r="E172" s="10" t="inlineStr">
        <is>
          <t>2026-06</t>
        </is>
      </c>
      <c r="F172" s="10" t="inlineStr">
        <is>
          <t>T2</t>
        </is>
      </c>
      <c r="G172" s="10" t="inlineStr">
        <is>
          <t>Saturday</t>
        </is>
      </c>
    </row>
    <row r="173">
      <c r="A173" s="12" t="n">
        <v>46194</v>
      </c>
      <c r="B173" s="10" t="n">
        <v>2026</v>
      </c>
      <c r="C173" s="10" t="n">
        <v>6</v>
      </c>
      <c r="D173" s="10" t="inlineStr">
        <is>
          <t>Junho</t>
        </is>
      </c>
      <c r="E173" s="10" t="inlineStr">
        <is>
          <t>2026-06</t>
        </is>
      </c>
      <c r="F173" s="10" t="inlineStr">
        <is>
          <t>T2</t>
        </is>
      </c>
      <c r="G173" s="10" t="inlineStr">
        <is>
          <t>Sunday</t>
        </is>
      </c>
    </row>
    <row r="174">
      <c r="A174" s="12" t="n">
        <v>46195</v>
      </c>
      <c r="B174" s="10" t="n">
        <v>2026</v>
      </c>
      <c r="C174" s="10" t="n">
        <v>6</v>
      </c>
      <c r="D174" s="10" t="inlineStr">
        <is>
          <t>Junho</t>
        </is>
      </c>
      <c r="E174" s="10" t="inlineStr">
        <is>
          <t>2026-06</t>
        </is>
      </c>
      <c r="F174" s="10" t="inlineStr">
        <is>
          <t>T2</t>
        </is>
      </c>
      <c r="G174" s="10" t="inlineStr">
        <is>
          <t>Monday</t>
        </is>
      </c>
    </row>
    <row r="175">
      <c r="A175" s="12" t="n">
        <v>46196</v>
      </c>
      <c r="B175" s="10" t="n">
        <v>2026</v>
      </c>
      <c r="C175" s="10" t="n">
        <v>6</v>
      </c>
      <c r="D175" s="10" t="inlineStr">
        <is>
          <t>Junho</t>
        </is>
      </c>
      <c r="E175" s="10" t="inlineStr">
        <is>
          <t>2026-06</t>
        </is>
      </c>
      <c r="F175" s="10" t="inlineStr">
        <is>
          <t>T2</t>
        </is>
      </c>
      <c r="G175" s="10" t="inlineStr">
        <is>
          <t>Tuesday</t>
        </is>
      </c>
    </row>
    <row r="176">
      <c r="A176" s="12" t="n">
        <v>46197</v>
      </c>
      <c r="B176" s="10" t="n">
        <v>2026</v>
      </c>
      <c r="C176" s="10" t="n">
        <v>6</v>
      </c>
      <c r="D176" s="10" t="inlineStr">
        <is>
          <t>Junho</t>
        </is>
      </c>
      <c r="E176" s="10" t="inlineStr">
        <is>
          <t>2026-06</t>
        </is>
      </c>
      <c r="F176" s="10" t="inlineStr">
        <is>
          <t>T2</t>
        </is>
      </c>
      <c r="G176" s="10" t="inlineStr">
        <is>
          <t>Wednesday</t>
        </is>
      </c>
    </row>
    <row r="177">
      <c r="A177" s="12" t="n">
        <v>46198</v>
      </c>
      <c r="B177" s="10" t="n">
        <v>2026</v>
      </c>
      <c r="C177" s="10" t="n">
        <v>6</v>
      </c>
      <c r="D177" s="10" t="inlineStr">
        <is>
          <t>Junho</t>
        </is>
      </c>
      <c r="E177" s="10" t="inlineStr">
        <is>
          <t>2026-06</t>
        </is>
      </c>
      <c r="F177" s="10" t="inlineStr">
        <is>
          <t>T2</t>
        </is>
      </c>
      <c r="G177" s="10" t="inlineStr">
        <is>
          <t>Thursday</t>
        </is>
      </c>
    </row>
    <row r="178">
      <c r="A178" s="12" t="n">
        <v>46199</v>
      </c>
      <c r="B178" s="10" t="n">
        <v>2026</v>
      </c>
      <c r="C178" s="10" t="n">
        <v>6</v>
      </c>
      <c r="D178" s="10" t="inlineStr">
        <is>
          <t>Junho</t>
        </is>
      </c>
      <c r="E178" s="10" t="inlineStr">
        <is>
          <t>2026-06</t>
        </is>
      </c>
      <c r="F178" s="10" t="inlineStr">
        <is>
          <t>T2</t>
        </is>
      </c>
      <c r="G178" s="10" t="inlineStr">
        <is>
          <t>Friday</t>
        </is>
      </c>
    </row>
    <row r="179">
      <c r="A179" s="12" t="n">
        <v>46200</v>
      </c>
      <c r="B179" s="10" t="n">
        <v>2026</v>
      </c>
      <c r="C179" s="10" t="n">
        <v>6</v>
      </c>
      <c r="D179" s="10" t="inlineStr">
        <is>
          <t>Junho</t>
        </is>
      </c>
      <c r="E179" s="10" t="inlineStr">
        <is>
          <t>2026-06</t>
        </is>
      </c>
      <c r="F179" s="10" t="inlineStr">
        <is>
          <t>T2</t>
        </is>
      </c>
      <c r="G179" s="10" t="inlineStr">
        <is>
          <t>Saturday</t>
        </is>
      </c>
    </row>
    <row r="180">
      <c r="A180" s="12" t="n">
        <v>46201</v>
      </c>
      <c r="B180" s="10" t="n">
        <v>2026</v>
      </c>
      <c r="C180" s="10" t="n">
        <v>6</v>
      </c>
      <c r="D180" s="10" t="inlineStr">
        <is>
          <t>Junho</t>
        </is>
      </c>
      <c r="E180" s="10" t="inlineStr">
        <is>
          <t>2026-06</t>
        </is>
      </c>
      <c r="F180" s="10" t="inlineStr">
        <is>
          <t>T2</t>
        </is>
      </c>
      <c r="G180" s="10" t="inlineStr">
        <is>
          <t>Sunday</t>
        </is>
      </c>
    </row>
    <row r="181">
      <c r="A181" s="12" t="n">
        <v>46202</v>
      </c>
      <c r="B181" s="10" t="n">
        <v>2026</v>
      </c>
      <c r="C181" s="10" t="n">
        <v>6</v>
      </c>
      <c r="D181" s="10" t="inlineStr">
        <is>
          <t>Junho</t>
        </is>
      </c>
      <c r="E181" s="10" t="inlineStr">
        <is>
          <t>2026-06</t>
        </is>
      </c>
      <c r="F181" s="10" t="inlineStr">
        <is>
          <t>T2</t>
        </is>
      </c>
      <c r="G181" s="10" t="inlineStr">
        <is>
          <t>Monday</t>
        </is>
      </c>
    </row>
    <row r="182">
      <c r="A182" s="12" t="n">
        <v>46203</v>
      </c>
      <c r="B182" s="10" t="n">
        <v>2026</v>
      </c>
      <c r="C182" s="10" t="n">
        <v>6</v>
      </c>
      <c r="D182" s="10" t="inlineStr">
        <is>
          <t>Junho</t>
        </is>
      </c>
      <c r="E182" s="10" t="inlineStr">
        <is>
          <t>2026-06</t>
        </is>
      </c>
      <c r="F182" s="10" t="inlineStr">
        <is>
          <t>T2</t>
        </is>
      </c>
      <c r="G182" s="10" t="inlineStr">
        <is>
          <t>Tuesday</t>
        </is>
      </c>
    </row>
    <row r="183">
      <c r="A183" s="12" t="n">
        <v>46204</v>
      </c>
      <c r="B183" s="10" t="n">
        <v>2026</v>
      </c>
      <c r="C183" s="10" t="n">
        <v>7</v>
      </c>
      <c r="D183" s="10" t="inlineStr">
        <is>
          <t>Julho</t>
        </is>
      </c>
      <c r="E183" s="10" t="inlineStr">
        <is>
          <t>2026-07</t>
        </is>
      </c>
      <c r="F183" s="10" t="inlineStr">
        <is>
          <t>T3</t>
        </is>
      </c>
      <c r="G183" s="10" t="inlineStr">
        <is>
          <t>Wednesday</t>
        </is>
      </c>
    </row>
    <row r="184">
      <c r="A184" s="12" t="n">
        <v>46205</v>
      </c>
      <c r="B184" s="10" t="n">
        <v>2026</v>
      </c>
      <c r="C184" s="10" t="n">
        <v>7</v>
      </c>
      <c r="D184" s="10" t="inlineStr">
        <is>
          <t>Julho</t>
        </is>
      </c>
      <c r="E184" s="10" t="inlineStr">
        <is>
          <t>2026-07</t>
        </is>
      </c>
      <c r="F184" s="10" t="inlineStr">
        <is>
          <t>T3</t>
        </is>
      </c>
      <c r="G184" s="10" t="inlineStr">
        <is>
          <t>Thursday</t>
        </is>
      </c>
    </row>
    <row r="185">
      <c r="A185" s="12" t="n">
        <v>46206</v>
      </c>
      <c r="B185" s="10" t="n">
        <v>2026</v>
      </c>
      <c r="C185" s="10" t="n">
        <v>7</v>
      </c>
      <c r="D185" s="10" t="inlineStr">
        <is>
          <t>Julho</t>
        </is>
      </c>
      <c r="E185" s="10" t="inlineStr">
        <is>
          <t>2026-07</t>
        </is>
      </c>
      <c r="F185" s="10" t="inlineStr">
        <is>
          <t>T3</t>
        </is>
      </c>
      <c r="G185" s="10" t="inlineStr">
        <is>
          <t>Friday</t>
        </is>
      </c>
    </row>
    <row r="186">
      <c r="A186" s="12" t="n">
        <v>46207</v>
      </c>
      <c r="B186" s="10" t="n">
        <v>2026</v>
      </c>
      <c r="C186" s="10" t="n">
        <v>7</v>
      </c>
      <c r="D186" s="10" t="inlineStr">
        <is>
          <t>Julho</t>
        </is>
      </c>
      <c r="E186" s="10" t="inlineStr">
        <is>
          <t>2026-07</t>
        </is>
      </c>
      <c r="F186" s="10" t="inlineStr">
        <is>
          <t>T3</t>
        </is>
      </c>
      <c r="G186" s="10" t="inlineStr">
        <is>
          <t>Saturday</t>
        </is>
      </c>
    </row>
    <row r="187">
      <c r="A187" s="12" t="n">
        <v>46208</v>
      </c>
      <c r="B187" s="10" t="n">
        <v>2026</v>
      </c>
      <c r="C187" s="10" t="n">
        <v>7</v>
      </c>
      <c r="D187" s="10" t="inlineStr">
        <is>
          <t>Julho</t>
        </is>
      </c>
      <c r="E187" s="10" t="inlineStr">
        <is>
          <t>2026-07</t>
        </is>
      </c>
      <c r="F187" s="10" t="inlineStr">
        <is>
          <t>T3</t>
        </is>
      </c>
      <c r="G187" s="10" t="inlineStr">
        <is>
          <t>Sunday</t>
        </is>
      </c>
    </row>
    <row r="188">
      <c r="A188" s="12" t="n">
        <v>46209</v>
      </c>
      <c r="B188" s="10" t="n">
        <v>2026</v>
      </c>
      <c r="C188" s="10" t="n">
        <v>7</v>
      </c>
      <c r="D188" s="10" t="inlineStr">
        <is>
          <t>Julho</t>
        </is>
      </c>
      <c r="E188" s="10" t="inlineStr">
        <is>
          <t>2026-07</t>
        </is>
      </c>
      <c r="F188" s="10" t="inlineStr">
        <is>
          <t>T3</t>
        </is>
      </c>
      <c r="G188" s="10" t="inlineStr">
        <is>
          <t>Monday</t>
        </is>
      </c>
    </row>
    <row r="189">
      <c r="A189" s="12" t="n">
        <v>46210</v>
      </c>
      <c r="B189" s="10" t="n">
        <v>2026</v>
      </c>
      <c r="C189" s="10" t="n">
        <v>7</v>
      </c>
      <c r="D189" s="10" t="inlineStr">
        <is>
          <t>Julho</t>
        </is>
      </c>
      <c r="E189" s="10" t="inlineStr">
        <is>
          <t>2026-07</t>
        </is>
      </c>
      <c r="F189" s="10" t="inlineStr">
        <is>
          <t>T3</t>
        </is>
      </c>
      <c r="G189" s="10" t="inlineStr">
        <is>
          <t>Tuesday</t>
        </is>
      </c>
    </row>
    <row r="190">
      <c r="A190" s="12" t="n">
        <v>46211</v>
      </c>
      <c r="B190" s="10" t="n">
        <v>2026</v>
      </c>
      <c r="C190" s="10" t="n">
        <v>7</v>
      </c>
      <c r="D190" s="10" t="inlineStr">
        <is>
          <t>Julho</t>
        </is>
      </c>
      <c r="E190" s="10" t="inlineStr">
        <is>
          <t>2026-07</t>
        </is>
      </c>
      <c r="F190" s="10" t="inlineStr">
        <is>
          <t>T3</t>
        </is>
      </c>
      <c r="G190" s="10" t="inlineStr">
        <is>
          <t>Wednesday</t>
        </is>
      </c>
    </row>
    <row r="191">
      <c r="A191" s="12" t="n">
        <v>46212</v>
      </c>
      <c r="B191" s="10" t="n">
        <v>2026</v>
      </c>
      <c r="C191" s="10" t="n">
        <v>7</v>
      </c>
      <c r="D191" s="10" t="inlineStr">
        <is>
          <t>Julho</t>
        </is>
      </c>
      <c r="E191" s="10" t="inlineStr">
        <is>
          <t>2026-07</t>
        </is>
      </c>
      <c r="F191" s="10" t="inlineStr">
        <is>
          <t>T3</t>
        </is>
      </c>
      <c r="G191" s="10" t="inlineStr">
        <is>
          <t>Thursday</t>
        </is>
      </c>
    </row>
    <row r="192">
      <c r="A192" s="12" t="n">
        <v>46213</v>
      </c>
      <c r="B192" s="10" t="n">
        <v>2026</v>
      </c>
      <c r="C192" s="10" t="n">
        <v>7</v>
      </c>
      <c r="D192" s="10" t="inlineStr">
        <is>
          <t>Julho</t>
        </is>
      </c>
      <c r="E192" s="10" t="inlineStr">
        <is>
          <t>2026-07</t>
        </is>
      </c>
      <c r="F192" s="10" t="inlineStr">
        <is>
          <t>T3</t>
        </is>
      </c>
      <c r="G192" s="10" t="inlineStr">
        <is>
          <t>Friday</t>
        </is>
      </c>
    </row>
    <row r="193">
      <c r="A193" s="12" t="n">
        <v>46214</v>
      </c>
      <c r="B193" s="10" t="n">
        <v>2026</v>
      </c>
      <c r="C193" s="10" t="n">
        <v>7</v>
      </c>
      <c r="D193" s="10" t="inlineStr">
        <is>
          <t>Julho</t>
        </is>
      </c>
      <c r="E193" s="10" t="inlineStr">
        <is>
          <t>2026-07</t>
        </is>
      </c>
      <c r="F193" s="10" t="inlineStr">
        <is>
          <t>T3</t>
        </is>
      </c>
      <c r="G193" s="10" t="inlineStr">
        <is>
          <t>Saturday</t>
        </is>
      </c>
    </row>
    <row r="194">
      <c r="A194" s="12" t="n">
        <v>46215</v>
      </c>
      <c r="B194" s="10" t="n">
        <v>2026</v>
      </c>
      <c r="C194" s="10" t="n">
        <v>7</v>
      </c>
      <c r="D194" s="10" t="inlineStr">
        <is>
          <t>Julho</t>
        </is>
      </c>
      <c r="E194" s="10" t="inlineStr">
        <is>
          <t>2026-07</t>
        </is>
      </c>
      <c r="F194" s="10" t="inlineStr">
        <is>
          <t>T3</t>
        </is>
      </c>
      <c r="G194" s="10" t="inlineStr">
        <is>
          <t>Sunday</t>
        </is>
      </c>
    </row>
    <row r="195">
      <c r="A195" s="12" t="n">
        <v>46216</v>
      </c>
      <c r="B195" s="10" t="n">
        <v>2026</v>
      </c>
      <c r="C195" s="10" t="n">
        <v>7</v>
      </c>
      <c r="D195" s="10" t="inlineStr">
        <is>
          <t>Julho</t>
        </is>
      </c>
      <c r="E195" s="10" t="inlineStr">
        <is>
          <t>2026-07</t>
        </is>
      </c>
      <c r="F195" s="10" t="inlineStr">
        <is>
          <t>T3</t>
        </is>
      </c>
      <c r="G195" s="10" t="inlineStr">
        <is>
          <t>Monday</t>
        </is>
      </c>
    </row>
    <row r="196">
      <c r="A196" s="12" t="n">
        <v>46217</v>
      </c>
      <c r="B196" s="10" t="n">
        <v>2026</v>
      </c>
      <c r="C196" s="10" t="n">
        <v>7</v>
      </c>
      <c r="D196" s="10" t="inlineStr">
        <is>
          <t>Julho</t>
        </is>
      </c>
      <c r="E196" s="10" t="inlineStr">
        <is>
          <t>2026-07</t>
        </is>
      </c>
      <c r="F196" s="10" t="inlineStr">
        <is>
          <t>T3</t>
        </is>
      </c>
      <c r="G196" s="10" t="inlineStr">
        <is>
          <t>Tuesday</t>
        </is>
      </c>
    </row>
    <row r="197">
      <c r="A197" s="12" t="n">
        <v>46218</v>
      </c>
      <c r="B197" s="10" t="n">
        <v>2026</v>
      </c>
      <c r="C197" s="10" t="n">
        <v>7</v>
      </c>
      <c r="D197" s="10" t="inlineStr">
        <is>
          <t>Julho</t>
        </is>
      </c>
      <c r="E197" s="10" t="inlineStr">
        <is>
          <t>2026-07</t>
        </is>
      </c>
      <c r="F197" s="10" t="inlineStr">
        <is>
          <t>T3</t>
        </is>
      </c>
      <c r="G197" s="10" t="inlineStr">
        <is>
          <t>Wednesday</t>
        </is>
      </c>
    </row>
    <row r="198">
      <c r="A198" s="12" t="n">
        <v>46219</v>
      </c>
      <c r="B198" s="10" t="n">
        <v>2026</v>
      </c>
      <c r="C198" s="10" t="n">
        <v>7</v>
      </c>
      <c r="D198" s="10" t="inlineStr">
        <is>
          <t>Julho</t>
        </is>
      </c>
      <c r="E198" s="10" t="inlineStr">
        <is>
          <t>2026-07</t>
        </is>
      </c>
      <c r="F198" s="10" t="inlineStr">
        <is>
          <t>T3</t>
        </is>
      </c>
      <c r="G198" s="10" t="inlineStr">
        <is>
          <t>Thursday</t>
        </is>
      </c>
    </row>
    <row r="199">
      <c r="A199" s="12" t="n">
        <v>46220</v>
      </c>
      <c r="B199" s="10" t="n">
        <v>2026</v>
      </c>
      <c r="C199" s="10" t="n">
        <v>7</v>
      </c>
      <c r="D199" s="10" t="inlineStr">
        <is>
          <t>Julho</t>
        </is>
      </c>
      <c r="E199" s="10" t="inlineStr">
        <is>
          <t>2026-07</t>
        </is>
      </c>
      <c r="F199" s="10" t="inlineStr">
        <is>
          <t>T3</t>
        </is>
      </c>
      <c r="G199" s="10" t="inlineStr">
        <is>
          <t>Friday</t>
        </is>
      </c>
    </row>
    <row r="200">
      <c r="A200" s="12" t="n">
        <v>46221</v>
      </c>
      <c r="B200" s="10" t="n">
        <v>2026</v>
      </c>
      <c r="C200" s="10" t="n">
        <v>7</v>
      </c>
      <c r="D200" s="10" t="inlineStr">
        <is>
          <t>Julho</t>
        </is>
      </c>
      <c r="E200" s="10" t="inlineStr">
        <is>
          <t>2026-07</t>
        </is>
      </c>
      <c r="F200" s="10" t="inlineStr">
        <is>
          <t>T3</t>
        </is>
      </c>
      <c r="G200" s="10" t="inlineStr">
        <is>
          <t>Saturday</t>
        </is>
      </c>
    </row>
    <row r="201">
      <c r="A201" s="12" t="n">
        <v>46222</v>
      </c>
      <c r="B201" s="10" t="n">
        <v>2026</v>
      </c>
      <c r="C201" s="10" t="n">
        <v>7</v>
      </c>
      <c r="D201" s="10" t="inlineStr">
        <is>
          <t>Julho</t>
        </is>
      </c>
      <c r="E201" s="10" t="inlineStr">
        <is>
          <t>2026-07</t>
        </is>
      </c>
      <c r="F201" s="10" t="inlineStr">
        <is>
          <t>T3</t>
        </is>
      </c>
      <c r="G201" s="10" t="inlineStr">
        <is>
          <t>Sunday</t>
        </is>
      </c>
    </row>
    <row r="202">
      <c r="A202" s="12" t="n">
        <v>46223</v>
      </c>
      <c r="B202" s="10" t="n">
        <v>2026</v>
      </c>
      <c r="C202" s="10" t="n">
        <v>7</v>
      </c>
      <c r="D202" s="10" t="inlineStr">
        <is>
          <t>Julho</t>
        </is>
      </c>
      <c r="E202" s="10" t="inlineStr">
        <is>
          <t>2026-07</t>
        </is>
      </c>
      <c r="F202" s="10" t="inlineStr">
        <is>
          <t>T3</t>
        </is>
      </c>
      <c r="G202" s="10" t="inlineStr">
        <is>
          <t>Monday</t>
        </is>
      </c>
    </row>
    <row r="203">
      <c r="A203" s="12" t="n">
        <v>46224</v>
      </c>
      <c r="B203" s="10" t="n">
        <v>2026</v>
      </c>
      <c r="C203" s="10" t="n">
        <v>7</v>
      </c>
      <c r="D203" s="10" t="inlineStr">
        <is>
          <t>Julho</t>
        </is>
      </c>
      <c r="E203" s="10" t="inlineStr">
        <is>
          <t>2026-07</t>
        </is>
      </c>
      <c r="F203" s="10" t="inlineStr">
        <is>
          <t>T3</t>
        </is>
      </c>
      <c r="G203" s="10" t="inlineStr">
        <is>
          <t>Tuesday</t>
        </is>
      </c>
    </row>
    <row r="204">
      <c r="A204" s="12" t="n">
        <v>46225</v>
      </c>
      <c r="B204" s="10" t="n">
        <v>2026</v>
      </c>
      <c r="C204" s="10" t="n">
        <v>7</v>
      </c>
      <c r="D204" s="10" t="inlineStr">
        <is>
          <t>Julho</t>
        </is>
      </c>
      <c r="E204" s="10" t="inlineStr">
        <is>
          <t>2026-07</t>
        </is>
      </c>
      <c r="F204" s="10" t="inlineStr">
        <is>
          <t>T3</t>
        </is>
      </c>
      <c r="G204" s="10" t="inlineStr">
        <is>
          <t>Wednesday</t>
        </is>
      </c>
    </row>
    <row r="205">
      <c r="A205" s="12" t="n">
        <v>46226</v>
      </c>
      <c r="B205" s="10" t="n">
        <v>2026</v>
      </c>
      <c r="C205" s="10" t="n">
        <v>7</v>
      </c>
      <c r="D205" s="10" t="inlineStr">
        <is>
          <t>Julho</t>
        </is>
      </c>
      <c r="E205" s="10" t="inlineStr">
        <is>
          <t>2026-07</t>
        </is>
      </c>
      <c r="F205" s="10" t="inlineStr">
        <is>
          <t>T3</t>
        </is>
      </c>
      <c r="G205" s="10" t="inlineStr">
        <is>
          <t>Thursday</t>
        </is>
      </c>
    </row>
    <row r="206">
      <c r="A206" s="12" t="n">
        <v>46227</v>
      </c>
      <c r="B206" s="10" t="n">
        <v>2026</v>
      </c>
      <c r="C206" s="10" t="n">
        <v>7</v>
      </c>
      <c r="D206" s="10" t="inlineStr">
        <is>
          <t>Julho</t>
        </is>
      </c>
      <c r="E206" s="10" t="inlineStr">
        <is>
          <t>2026-07</t>
        </is>
      </c>
      <c r="F206" s="10" t="inlineStr">
        <is>
          <t>T3</t>
        </is>
      </c>
      <c r="G206" s="10" t="inlineStr">
        <is>
          <t>Friday</t>
        </is>
      </c>
    </row>
    <row r="207">
      <c r="A207" s="12" t="n">
        <v>46228</v>
      </c>
      <c r="B207" s="10" t="n">
        <v>2026</v>
      </c>
      <c r="C207" s="10" t="n">
        <v>7</v>
      </c>
      <c r="D207" s="10" t="inlineStr">
        <is>
          <t>Julho</t>
        </is>
      </c>
      <c r="E207" s="10" t="inlineStr">
        <is>
          <t>2026-07</t>
        </is>
      </c>
      <c r="F207" s="10" t="inlineStr">
        <is>
          <t>T3</t>
        </is>
      </c>
      <c r="G207" s="10" t="inlineStr">
        <is>
          <t>Saturday</t>
        </is>
      </c>
    </row>
    <row r="208">
      <c r="A208" s="12" t="n">
        <v>46229</v>
      </c>
      <c r="B208" s="10" t="n">
        <v>2026</v>
      </c>
      <c r="C208" s="10" t="n">
        <v>7</v>
      </c>
      <c r="D208" s="10" t="inlineStr">
        <is>
          <t>Julho</t>
        </is>
      </c>
      <c r="E208" s="10" t="inlineStr">
        <is>
          <t>2026-07</t>
        </is>
      </c>
      <c r="F208" s="10" t="inlineStr">
        <is>
          <t>T3</t>
        </is>
      </c>
      <c r="G208" s="10" t="inlineStr">
        <is>
          <t>Sunday</t>
        </is>
      </c>
    </row>
    <row r="209">
      <c r="A209" s="12" t="n">
        <v>46230</v>
      </c>
      <c r="B209" s="10" t="n">
        <v>2026</v>
      </c>
      <c r="C209" s="10" t="n">
        <v>7</v>
      </c>
      <c r="D209" s="10" t="inlineStr">
        <is>
          <t>Julho</t>
        </is>
      </c>
      <c r="E209" s="10" t="inlineStr">
        <is>
          <t>2026-07</t>
        </is>
      </c>
      <c r="F209" s="10" t="inlineStr">
        <is>
          <t>T3</t>
        </is>
      </c>
      <c r="G209" s="10" t="inlineStr">
        <is>
          <t>Monday</t>
        </is>
      </c>
    </row>
    <row r="210">
      <c r="A210" s="12" t="n">
        <v>46231</v>
      </c>
      <c r="B210" s="10" t="n">
        <v>2026</v>
      </c>
      <c r="C210" s="10" t="n">
        <v>7</v>
      </c>
      <c r="D210" s="10" t="inlineStr">
        <is>
          <t>Julho</t>
        </is>
      </c>
      <c r="E210" s="10" t="inlineStr">
        <is>
          <t>2026-07</t>
        </is>
      </c>
      <c r="F210" s="10" t="inlineStr">
        <is>
          <t>T3</t>
        </is>
      </c>
      <c r="G210" s="10" t="inlineStr">
        <is>
          <t>Tuesday</t>
        </is>
      </c>
    </row>
    <row r="211">
      <c r="A211" s="12" t="n">
        <v>46232</v>
      </c>
      <c r="B211" s="10" t="n">
        <v>2026</v>
      </c>
      <c r="C211" s="10" t="n">
        <v>7</v>
      </c>
      <c r="D211" s="10" t="inlineStr">
        <is>
          <t>Julho</t>
        </is>
      </c>
      <c r="E211" s="10" t="inlineStr">
        <is>
          <t>2026-07</t>
        </is>
      </c>
      <c r="F211" s="10" t="inlineStr">
        <is>
          <t>T3</t>
        </is>
      </c>
      <c r="G211" s="10" t="inlineStr">
        <is>
          <t>Wednesday</t>
        </is>
      </c>
    </row>
    <row r="212">
      <c r="A212" s="12" t="n">
        <v>46233</v>
      </c>
      <c r="B212" s="10" t="n">
        <v>2026</v>
      </c>
      <c r="C212" s="10" t="n">
        <v>7</v>
      </c>
      <c r="D212" s="10" t="inlineStr">
        <is>
          <t>Julho</t>
        </is>
      </c>
      <c r="E212" s="10" t="inlineStr">
        <is>
          <t>2026-07</t>
        </is>
      </c>
      <c r="F212" s="10" t="inlineStr">
        <is>
          <t>T3</t>
        </is>
      </c>
      <c r="G212" s="10" t="inlineStr">
        <is>
          <t>Thursday</t>
        </is>
      </c>
    </row>
    <row r="213">
      <c r="A213" s="12" t="n">
        <v>46234</v>
      </c>
      <c r="B213" s="10" t="n">
        <v>2026</v>
      </c>
      <c r="C213" s="10" t="n">
        <v>7</v>
      </c>
      <c r="D213" s="10" t="inlineStr">
        <is>
          <t>Julho</t>
        </is>
      </c>
      <c r="E213" s="10" t="inlineStr">
        <is>
          <t>2026-07</t>
        </is>
      </c>
      <c r="F213" s="10" t="inlineStr">
        <is>
          <t>T3</t>
        </is>
      </c>
      <c r="G213" s="10" t="inlineStr">
        <is>
          <t>Friday</t>
        </is>
      </c>
    </row>
    <row r="214">
      <c r="A214" s="12" t="n">
        <v>46235</v>
      </c>
      <c r="B214" s="10" t="n">
        <v>2026</v>
      </c>
      <c r="C214" s="10" t="n">
        <v>8</v>
      </c>
      <c r="D214" s="10" t="inlineStr">
        <is>
          <t>Agosto</t>
        </is>
      </c>
      <c r="E214" s="10" t="inlineStr">
        <is>
          <t>2026-08</t>
        </is>
      </c>
      <c r="F214" s="10" t="inlineStr">
        <is>
          <t>T3</t>
        </is>
      </c>
      <c r="G214" s="10" t="inlineStr">
        <is>
          <t>Saturday</t>
        </is>
      </c>
    </row>
    <row r="215">
      <c r="A215" s="12" t="n">
        <v>46236</v>
      </c>
      <c r="B215" s="10" t="n">
        <v>2026</v>
      </c>
      <c r="C215" s="10" t="n">
        <v>8</v>
      </c>
      <c r="D215" s="10" t="inlineStr">
        <is>
          <t>Agosto</t>
        </is>
      </c>
      <c r="E215" s="10" t="inlineStr">
        <is>
          <t>2026-08</t>
        </is>
      </c>
      <c r="F215" s="10" t="inlineStr">
        <is>
          <t>T3</t>
        </is>
      </c>
      <c r="G215" s="10" t="inlineStr">
        <is>
          <t>Sunday</t>
        </is>
      </c>
    </row>
    <row r="216">
      <c r="A216" s="12" t="n">
        <v>46237</v>
      </c>
      <c r="B216" s="10" t="n">
        <v>2026</v>
      </c>
      <c r="C216" s="10" t="n">
        <v>8</v>
      </c>
      <c r="D216" s="10" t="inlineStr">
        <is>
          <t>Agosto</t>
        </is>
      </c>
      <c r="E216" s="10" t="inlineStr">
        <is>
          <t>2026-08</t>
        </is>
      </c>
      <c r="F216" s="10" t="inlineStr">
        <is>
          <t>T3</t>
        </is>
      </c>
      <c r="G216" s="10" t="inlineStr">
        <is>
          <t>Monday</t>
        </is>
      </c>
    </row>
    <row r="217">
      <c r="A217" s="12" t="n">
        <v>46238</v>
      </c>
      <c r="B217" s="10" t="n">
        <v>2026</v>
      </c>
      <c r="C217" s="10" t="n">
        <v>8</v>
      </c>
      <c r="D217" s="10" t="inlineStr">
        <is>
          <t>Agosto</t>
        </is>
      </c>
      <c r="E217" s="10" t="inlineStr">
        <is>
          <t>2026-08</t>
        </is>
      </c>
      <c r="F217" s="10" t="inlineStr">
        <is>
          <t>T3</t>
        </is>
      </c>
      <c r="G217" s="10" t="inlineStr">
        <is>
          <t>Tuesday</t>
        </is>
      </c>
    </row>
    <row r="218">
      <c r="A218" s="12" t="n">
        <v>46239</v>
      </c>
      <c r="B218" s="10" t="n">
        <v>2026</v>
      </c>
      <c r="C218" s="10" t="n">
        <v>8</v>
      </c>
      <c r="D218" s="10" t="inlineStr">
        <is>
          <t>Agosto</t>
        </is>
      </c>
      <c r="E218" s="10" t="inlineStr">
        <is>
          <t>2026-08</t>
        </is>
      </c>
      <c r="F218" s="10" t="inlineStr">
        <is>
          <t>T3</t>
        </is>
      </c>
      <c r="G218" s="10" t="inlineStr">
        <is>
          <t>Wednesday</t>
        </is>
      </c>
    </row>
    <row r="219">
      <c r="A219" s="12" t="n">
        <v>46240</v>
      </c>
      <c r="B219" s="10" t="n">
        <v>2026</v>
      </c>
      <c r="C219" s="10" t="n">
        <v>8</v>
      </c>
      <c r="D219" s="10" t="inlineStr">
        <is>
          <t>Agosto</t>
        </is>
      </c>
      <c r="E219" s="10" t="inlineStr">
        <is>
          <t>2026-08</t>
        </is>
      </c>
      <c r="F219" s="10" t="inlineStr">
        <is>
          <t>T3</t>
        </is>
      </c>
      <c r="G219" s="10" t="inlineStr">
        <is>
          <t>Thursday</t>
        </is>
      </c>
    </row>
    <row r="220">
      <c r="A220" s="12" t="n">
        <v>46241</v>
      </c>
      <c r="B220" s="10" t="n">
        <v>2026</v>
      </c>
      <c r="C220" s="10" t="n">
        <v>8</v>
      </c>
      <c r="D220" s="10" t="inlineStr">
        <is>
          <t>Agosto</t>
        </is>
      </c>
      <c r="E220" s="10" t="inlineStr">
        <is>
          <t>2026-08</t>
        </is>
      </c>
      <c r="F220" s="10" t="inlineStr">
        <is>
          <t>T3</t>
        </is>
      </c>
      <c r="G220" s="10" t="inlineStr">
        <is>
          <t>Friday</t>
        </is>
      </c>
    </row>
    <row r="221">
      <c r="A221" s="12" t="n">
        <v>46242</v>
      </c>
      <c r="B221" s="10" t="n">
        <v>2026</v>
      </c>
      <c r="C221" s="10" t="n">
        <v>8</v>
      </c>
      <c r="D221" s="10" t="inlineStr">
        <is>
          <t>Agosto</t>
        </is>
      </c>
      <c r="E221" s="10" t="inlineStr">
        <is>
          <t>2026-08</t>
        </is>
      </c>
      <c r="F221" s="10" t="inlineStr">
        <is>
          <t>T3</t>
        </is>
      </c>
      <c r="G221" s="10" t="inlineStr">
        <is>
          <t>Saturday</t>
        </is>
      </c>
    </row>
    <row r="222">
      <c r="A222" s="12" t="n">
        <v>46243</v>
      </c>
      <c r="B222" s="10" t="n">
        <v>2026</v>
      </c>
      <c r="C222" s="10" t="n">
        <v>8</v>
      </c>
      <c r="D222" s="10" t="inlineStr">
        <is>
          <t>Agosto</t>
        </is>
      </c>
      <c r="E222" s="10" t="inlineStr">
        <is>
          <t>2026-08</t>
        </is>
      </c>
      <c r="F222" s="10" t="inlineStr">
        <is>
          <t>T3</t>
        </is>
      </c>
      <c r="G222" s="10" t="inlineStr">
        <is>
          <t>Sunday</t>
        </is>
      </c>
    </row>
    <row r="223">
      <c r="A223" s="12" t="n">
        <v>46244</v>
      </c>
      <c r="B223" s="10" t="n">
        <v>2026</v>
      </c>
      <c r="C223" s="10" t="n">
        <v>8</v>
      </c>
      <c r="D223" s="10" t="inlineStr">
        <is>
          <t>Agosto</t>
        </is>
      </c>
      <c r="E223" s="10" t="inlineStr">
        <is>
          <t>2026-08</t>
        </is>
      </c>
      <c r="F223" s="10" t="inlineStr">
        <is>
          <t>T3</t>
        </is>
      </c>
      <c r="G223" s="10" t="inlineStr">
        <is>
          <t>Monday</t>
        </is>
      </c>
    </row>
    <row r="224">
      <c r="A224" s="12" t="n">
        <v>46245</v>
      </c>
      <c r="B224" s="10" t="n">
        <v>2026</v>
      </c>
      <c r="C224" s="10" t="n">
        <v>8</v>
      </c>
      <c r="D224" s="10" t="inlineStr">
        <is>
          <t>Agosto</t>
        </is>
      </c>
      <c r="E224" s="10" t="inlineStr">
        <is>
          <t>2026-08</t>
        </is>
      </c>
      <c r="F224" s="10" t="inlineStr">
        <is>
          <t>T3</t>
        </is>
      </c>
      <c r="G224" s="10" t="inlineStr">
        <is>
          <t>Tuesday</t>
        </is>
      </c>
    </row>
    <row r="225">
      <c r="A225" s="12" t="n">
        <v>46246</v>
      </c>
      <c r="B225" s="10" t="n">
        <v>2026</v>
      </c>
      <c r="C225" s="10" t="n">
        <v>8</v>
      </c>
      <c r="D225" s="10" t="inlineStr">
        <is>
          <t>Agosto</t>
        </is>
      </c>
      <c r="E225" s="10" t="inlineStr">
        <is>
          <t>2026-08</t>
        </is>
      </c>
      <c r="F225" s="10" t="inlineStr">
        <is>
          <t>T3</t>
        </is>
      </c>
      <c r="G225" s="10" t="inlineStr">
        <is>
          <t>Wednesday</t>
        </is>
      </c>
    </row>
    <row r="226">
      <c r="A226" s="12" t="n">
        <v>46247</v>
      </c>
      <c r="B226" s="10" t="n">
        <v>2026</v>
      </c>
      <c r="C226" s="10" t="n">
        <v>8</v>
      </c>
      <c r="D226" s="10" t="inlineStr">
        <is>
          <t>Agosto</t>
        </is>
      </c>
      <c r="E226" s="10" t="inlineStr">
        <is>
          <t>2026-08</t>
        </is>
      </c>
      <c r="F226" s="10" t="inlineStr">
        <is>
          <t>T3</t>
        </is>
      </c>
      <c r="G226" s="10" t="inlineStr">
        <is>
          <t>Thursday</t>
        </is>
      </c>
    </row>
    <row r="227">
      <c r="A227" s="12" t="n">
        <v>46248</v>
      </c>
      <c r="B227" s="10" t="n">
        <v>2026</v>
      </c>
      <c r="C227" s="10" t="n">
        <v>8</v>
      </c>
      <c r="D227" s="10" t="inlineStr">
        <is>
          <t>Agosto</t>
        </is>
      </c>
      <c r="E227" s="10" t="inlineStr">
        <is>
          <t>2026-08</t>
        </is>
      </c>
      <c r="F227" s="10" t="inlineStr">
        <is>
          <t>T3</t>
        </is>
      </c>
      <c r="G227" s="10" t="inlineStr">
        <is>
          <t>Friday</t>
        </is>
      </c>
    </row>
    <row r="228">
      <c r="A228" s="12" t="n">
        <v>46249</v>
      </c>
      <c r="B228" s="10" t="n">
        <v>2026</v>
      </c>
      <c r="C228" s="10" t="n">
        <v>8</v>
      </c>
      <c r="D228" s="10" t="inlineStr">
        <is>
          <t>Agosto</t>
        </is>
      </c>
      <c r="E228" s="10" t="inlineStr">
        <is>
          <t>2026-08</t>
        </is>
      </c>
      <c r="F228" s="10" t="inlineStr">
        <is>
          <t>T3</t>
        </is>
      </c>
      <c r="G228" s="10" t="inlineStr">
        <is>
          <t>Saturday</t>
        </is>
      </c>
    </row>
    <row r="229">
      <c r="A229" s="12" t="n">
        <v>46250</v>
      </c>
      <c r="B229" s="10" t="n">
        <v>2026</v>
      </c>
      <c r="C229" s="10" t="n">
        <v>8</v>
      </c>
      <c r="D229" s="10" t="inlineStr">
        <is>
          <t>Agosto</t>
        </is>
      </c>
      <c r="E229" s="10" t="inlineStr">
        <is>
          <t>2026-08</t>
        </is>
      </c>
      <c r="F229" s="10" t="inlineStr">
        <is>
          <t>T3</t>
        </is>
      </c>
      <c r="G229" s="10" t="inlineStr">
        <is>
          <t>Sunday</t>
        </is>
      </c>
    </row>
    <row r="230">
      <c r="A230" s="12" t="n">
        <v>46251</v>
      </c>
      <c r="B230" s="10" t="n">
        <v>2026</v>
      </c>
      <c r="C230" s="10" t="n">
        <v>8</v>
      </c>
      <c r="D230" s="10" t="inlineStr">
        <is>
          <t>Agosto</t>
        </is>
      </c>
      <c r="E230" s="10" t="inlineStr">
        <is>
          <t>2026-08</t>
        </is>
      </c>
      <c r="F230" s="10" t="inlineStr">
        <is>
          <t>T3</t>
        </is>
      </c>
      <c r="G230" s="10" t="inlineStr">
        <is>
          <t>Monday</t>
        </is>
      </c>
    </row>
    <row r="231">
      <c r="A231" s="12" t="n">
        <v>46252</v>
      </c>
      <c r="B231" s="10" t="n">
        <v>2026</v>
      </c>
      <c r="C231" s="10" t="n">
        <v>8</v>
      </c>
      <c r="D231" s="10" t="inlineStr">
        <is>
          <t>Agosto</t>
        </is>
      </c>
      <c r="E231" s="10" t="inlineStr">
        <is>
          <t>2026-08</t>
        </is>
      </c>
      <c r="F231" s="10" t="inlineStr">
        <is>
          <t>T3</t>
        </is>
      </c>
      <c r="G231" s="10" t="inlineStr">
        <is>
          <t>Tuesday</t>
        </is>
      </c>
    </row>
    <row r="232">
      <c r="A232" s="12" t="n">
        <v>46253</v>
      </c>
      <c r="B232" s="10" t="n">
        <v>2026</v>
      </c>
      <c r="C232" s="10" t="n">
        <v>8</v>
      </c>
      <c r="D232" s="10" t="inlineStr">
        <is>
          <t>Agosto</t>
        </is>
      </c>
      <c r="E232" s="10" t="inlineStr">
        <is>
          <t>2026-08</t>
        </is>
      </c>
      <c r="F232" s="10" t="inlineStr">
        <is>
          <t>T3</t>
        </is>
      </c>
      <c r="G232" s="10" t="inlineStr">
        <is>
          <t>Wednesday</t>
        </is>
      </c>
    </row>
    <row r="233">
      <c r="A233" s="12" t="n">
        <v>46254</v>
      </c>
      <c r="B233" s="10" t="n">
        <v>2026</v>
      </c>
      <c r="C233" s="10" t="n">
        <v>8</v>
      </c>
      <c r="D233" s="10" t="inlineStr">
        <is>
          <t>Agosto</t>
        </is>
      </c>
      <c r="E233" s="10" t="inlineStr">
        <is>
          <t>2026-08</t>
        </is>
      </c>
      <c r="F233" s="10" t="inlineStr">
        <is>
          <t>T3</t>
        </is>
      </c>
      <c r="G233" s="10" t="inlineStr">
        <is>
          <t>Thursday</t>
        </is>
      </c>
    </row>
    <row r="234">
      <c r="A234" s="12" t="n">
        <v>46255</v>
      </c>
      <c r="B234" s="10" t="n">
        <v>2026</v>
      </c>
      <c r="C234" s="10" t="n">
        <v>8</v>
      </c>
      <c r="D234" s="10" t="inlineStr">
        <is>
          <t>Agosto</t>
        </is>
      </c>
      <c r="E234" s="10" t="inlineStr">
        <is>
          <t>2026-08</t>
        </is>
      </c>
      <c r="F234" s="10" t="inlineStr">
        <is>
          <t>T3</t>
        </is>
      </c>
      <c r="G234" s="10" t="inlineStr">
        <is>
          <t>Friday</t>
        </is>
      </c>
    </row>
    <row r="235">
      <c r="A235" s="12" t="n">
        <v>46256</v>
      </c>
      <c r="B235" s="10" t="n">
        <v>2026</v>
      </c>
      <c r="C235" s="10" t="n">
        <v>8</v>
      </c>
      <c r="D235" s="10" t="inlineStr">
        <is>
          <t>Agosto</t>
        </is>
      </c>
      <c r="E235" s="10" t="inlineStr">
        <is>
          <t>2026-08</t>
        </is>
      </c>
      <c r="F235" s="10" t="inlineStr">
        <is>
          <t>T3</t>
        </is>
      </c>
      <c r="G235" s="10" t="inlineStr">
        <is>
          <t>Saturday</t>
        </is>
      </c>
    </row>
    <row r="236">
      <c r="A236" s="12" t="n">
        <v>46257</v>
      </c>
      <c r="B236" s="10" t="n">
        <v>2026</v>
      </c>
      <c r="C236" s="10" t="n">
        <v>8</v>
      </c>
      <c r="D236" s="10" t="inlineStr">
        <is>
          <t>Agosto</t>
        </is>
      </c>
      <c r="E236" s="10" t="inlineStr">
        <is>
          <t>2026-08</t>
        </is>
      </c>
      <c r="F236" s="10" t="inlineStr">
        <is>
          <t>T3</t>
        </is>
      </c>
      <c r="G236" s="10" t="inlineStr">
        <is>
          <t>Sunday</t>
        </is>
      </c>
    </row>
    <row r="237">
      <c r="A237" s="12" t="n">
        <v>46258</v>
      </c>
      <c r="B237" s="10" t="n">
        <v>2026</v>
      </c>
      <c r="C237" s="10" t="n">
        <v>8</v>
      </c>
      <c r="D237" s="10" t="inlineStr">
        <is>
          <t>Agosto</t>
        </is>
      </c>
      <c r="E237" s="10" t="inlineStr">
        <is>
          <t>2026-08</t>
        </is>
      </c>
      <c r="F237" s="10" t="inlineStr">
        <is>
          <t>T3</t>
        </is>
      </c>
      <c r="G237" s="10" t="inlineStr">
        <is>
          <t>Monday</t>
        </is>
      </c>
    </row>
    <row r="238">
      <c r="A238" s="12" t="n">
        <v>46259</v>
      </c>
      <c r="B238" s="10" t="n">
        <v>2026</v>
      </c>
      <c r="C238" s="10" t="n">
        <v>8</v>
      </c>
      <c r="D238" s="10" t="inlineStr">
        <is>
          <t>Agosto</t>
        </is>
      </c>
      <c r="E238" s="10" t="inlineStr">
        <is>
          <t>2026-08</t>
        </is>
      </c>
      <c r="F238" s="10" t="inlineStr">
        <is>
          <t>T3</t>
        </is>
      </c>
      <c r="G238" s="10" t="inlineStr">
        <is>
          <t>Tuesday</t>
        </is>
      </c>
    </row>
    <row r="239">
      <c r="A239" s="12" t="n">
        <v>46260</v>
      </c>
      <c r="B239" s="10" t="n">
        <v>2026</v>
      </c>
      <c r="C239" s="10" t="n">
        <v>8</v>
      </c>
      <c r="D239" s="10" t="inlineStr">
        <is>
          <t>Agosto</t>
        </is>
      </c>
      <c r="E239" s="10" t="inlineStr">
        <is>
          <t>2026-08</t>
        </is>
      </c>
      <c r="F239" s="10" t="inlineStr">
        <is>
          <t>T3</t>
        </is>
      </c>
      <c r="G239" s="10" t="inlineStr">
        <is>
          <t>Wednesday</t>
        </is>
      </c>
    </row>
    <row r="240">
      <c r="A240" s="12" t="n">
        <v>46261</v>
      </c>
      <c r="B240" s="10" t="n">
        <v>2026</v>
      </c>
      <c r="C240" s="10" t="n">
        <v>8</v>
      </c>
      <c r="D240" s="10" t="inlineStr">
        <is>
          <t>Agosto</t>
        </is>
      </c>
      <c r="E240" s="10" t="inlineStr">
        <is>
          <t>2026-08</t>
        </is>
      </c>
      <c r="F240" s="10" t="inlineStr">
        <is>
          <t>T3</t>
        </is>
      </c>
      <c r="G240" s="10" t="inlineStr">
        <is>
          <t>Thursday</t>
        </is>
      </c>
    </row>
    <row r="241">
      <c r="A241" s="12" t="n">
        <v>46262</v>
      </c>
      <c r="B241" s="10" t="n">
        <v>2026</v>
      </c>
      <c r="C241" s="10" t="n">
        <v>8</v>
      </c>
      <c r="D241" s="10" t="inlineStr">
        <is>
          <t>Agosto</t>
        </is>
      </c>
      <c r="E241" s="10" t="inlineStr">
        <is>
          <t>2026-08</t>
        </is>
      </c>
      <c r="F241" s="10" t="inlineStr">
        <is>
          <t>T3</t>
        </is>
      </c>
      <c r="G241" s="10" t="inlineStr">
        <is>
          <t>Friday</t>
        </is>
      </c>
    </row>
    <row r="242">
      <c r="A242" s="12" t="n">
        <v>46263</v>
      </c>
      <c r="B242" s="10" t="n">
        <v>2026</v>
      </c>
      <c r="C242" s="10" t="n">
        <v>8</v>
      </c>
      <c r="D242" s="10" t="inlineStr">
        <is>
          <t>Agosto</t>
        </is>
      </c>
      <c r="E242" s="10" t="inlineStr">
        <is>
          <t>2026-08</t>
        </is>
      </c>
      <c r="F242" s="10" t="inlineStr">
        <is>
          <t>T3</t>
        </is>
      </c>
      <c r="G242" s="10" t="inlineStr">
        <is>
          <t>Saturday</t>
        </is>
      </c>
    </row>
    <row r="243">
      <c r="A243" s="12" t="n">
        <v>46264</v>
      </c>
      <c r="B243" s="10" t="n">
        <v>2026</v>
      </c>
      <c r="C243" s="10" t="n">
        <v>8</v>
      </c>
      <c r="D243" s="10" t="inlineStr">
        <is>
          <t>Agosto</t>
        </is>
      </c>
      <c r="E243" s="10" t="inlineStr">
        <is>
          <t>2026-08</t>
        </is>
      </c>
      <c r="F243" s="10" t="inlineStr">
        <is>
          <t>T3</t>
        </is>
      </c>
      <c r="G243" s="10" t="inlineStr">
        <is>
          <t>Sunday</t>
        </is>
      </c>
    </row>
    <row r="244">
      <c r="A244" s="12" t="n">
        <v>46265</v>
      </c>
      <c r="B244" s="10" t="n">
        <v>2026</v>
      </c>
      <c r="C244" s="10" t="n">
        <v>8</v>
      </c>
      <c r="D244" s="10" t="inlineStr">
        <is>
          <t>Agosto</t>
        </is>
      </c>
      <c r="E244" s="10" t="inlineStr">
        <is>
          <t>2026-08</t>
        </is>
      </c>
      <c r="F244" s="10" t="inlineStr">
        <is>
          <t>T3</t>
        </is>
      </c>
      <c r="G244" s="10" t="inlineStr">
        <is>
          <t>Monday</t>
        </is>
      </c>
    </row>
    <row r="245">
      <c r="A245" s="12" t="n">
        <v>46266</v>
      </c>
      <c r="B245" s="10" t="n">
        <v>2026</v>
      </c>
      <c r="C245" s="10" t="n">
        <v>9</v>
      </c>
      <c r="D245" s="10" t="inlineStr">
        <is>
          <t>Setembro</t>
        </is>
      </c>
      <c r="E245" s="10" t="inlineStr">
        <is>
          <t>2026-09</t>
        </is>
      </c>
      <c r="F245" s="10" t="inlineStr">
        <is>
          <t>T3</t>
        </is>
      </c>
      <c r="G245" s="10" t="inlineStr">
        <is>
          <t>Tuesday</t>
        </is>
      </c>
    </row>
    <row r="246">
      <c r="A246" s="12" t="n">
        <v>46267</v>
      </c>
      <c r="B246" s="10" t="n">
        <v>2026</v>
      </c>
      <c r="C246" s="10" t="n">
        <v>9</v>
      </c>
      <c r="D246" s="10" t="inlineStr">
        <is>
          <t>Setembro</t>
        </is>
      </c>
      <c r="E246" s="10" t="inlineStr">
        <is>
          <t>2026-09</t>
        </is>
      </c>
      <c r="F246" s="10" t="inlineStr">
        <is>
          <t>T3</t>
        </is>
      </c>
      <c r="G246" s="10" t="inlineStr">
        <is>
          <t>Wednesday</t>
        </is>
      </c>
    </row>
    <row r="247">
      <c r="A247" s="12" t="n">
        <v>46268</v>
      </c>
      <c r="B247" s="10" t="n">
        <v>2026</v>
      </c>
      <c r="C247" s="10" t="n">
        <v>9</v>
      </c>
      <c r="D247" s="10" t="inlineStr">
        <is>
          <t>Setembro</t>
        </is>
      </c>
      <c r="E247" s="10" t="inlineStr">
        <is>
          <t>2026-09</t>
        </is>
      </c>
      <c r="F247" s="10" t="inlineStr">
        <is>
          <t>T3</t>
        </is>
      </c>
      <c r="G247" s="10" t="inlineStr">
        <is>
          <t>Thursday</t>
        </is>
      </c>
    </row>
    <row r="248">
      <c r="A248" s="12" t="n">
        <v>46269</v>
      </c>
      <c r="B248" s="10" t="n">
        <v>2026</v>
      </c>
      <c r="C248" s="10" t="n">
        <v>9</v>
      </c>
      <c r="D248" s="10" t="inlineStr">
        <is>
          <t>Setembro</t>
        </is>
      </c>
      <c r="E248" s="10" t="inlineStr">
        <is>
          <t>2026-09</t>
        </is>
      </c>
      <c r="F248" s="10" t="inlineStr">
        <is>
          <t>T3</t>
        </is>
      </c>
      <c r="G248" s="10" t="inlineStr">
        <is>
          <t>Friday</t>
        </is>
      </c>
    </row>
    <row r="249">
      <c r="A249" s="12" t="n">
        <v>46270</v>
      </c>
      <c r="B249" s="10" t="n">
        <v>2026</v>
      </c>
      <c r="C249" s="10" t="n">
        <v>9</v>
      </c>
      <c r="D249" s="10" t="inlineStr">
        <is>
          <t>Setembro</t>
        </is>
      </c>
      <c r="E249" s="10" t="inlineStr">
        <is>
          <t>2026-09</t>
        </is>
      </c>
      <c r="F249" s="10" t="inlineStr">
        <is>
          <t>T3</t>
        </is>
      </c>
      <c r="G249" s="10" t="inlineStr">
        <is>
          <t>Saturday</t>
        </is>
      </c>
    </row>
    <row r="250">
      <c r="A250" s="12" t="n">
        <v>46271</v>
      </c>
      <c r="B250" s="10" t="n">
        <v>2026</v>
      </c>
      <c r="C250" s="10" t="n">
        <v>9</v>
      </c>
      <c r="D250" s="10" t="inlineStr">
        <is>
          <t>Setembro</t>
        </is>
      </c>
      <c r="E250" s="10" t="inlineStr">
        <is>
          <t>2026-09</t>
        </is>
      </c>
      <c r="F250" s="10" t="inlineStr">
        <is>
          <t>T3</t>
        </is>
      </c>
      <c r="G250" s="10" t="inlineStr">
        <is>
          <t>Sunday</t>
        </is>
      </c>
    </row>
    <row r="251">
      <c r="A251" s="12" t="n">
        <v>46272</v>
      </c>
      <c r="B251" s="10" t="n">
        <v>2026</v>
      </c>
      <c r="C251" s="10" t="n">
        <v>9</v>
      </c>
      <c r="D251" s="10" t="inlineStr">
        <is>
          <t>Setembro</t>
        </is>
      </c>
      <c r="E251" s="10" t="inlineStr">
        <is>
          <t>2026-09</t>
        </is>
      </c>
      <c r="F251" s="10" t="inlineStr">
        <is>
          <t>T3</t>
        </is>
      </c>
      <c r="G251" s="10" t="inlineStr">
        <is>
          <t>Monday</t>
        </is>
      </c>
    </row>
    <row r="252">
      <c r="A252" s="12" t="n">
        <v>46273</v>
      </c>
      <c r="B252" s="10" t="n">
        <v>2026</v>
      </c>
      <c r="C252" s="10" t="n">
        <v>9</v>
      </c>
      <c r="D252" s="10" t="inlineStr">
        <is>
          <t>Setembro</t>
        </is>
      </c>
      <c r="E252" s="10" t="inlineStr">
        <is>
          <t>2026-09</t>
        </is>
      </c>
      <c r="F252" s="10" t="inlineStr">
        <is>
          <t>T3</t>
        </is>
      </c>
      <c r="G252" s="10" t="inlineStr">
        <is>
          <t>Tuesday</t>
        </is>
      </c>
    </row>
    <row r="253">
      <c r="A253" s="12" t="n">
        <v>46274</v>
      </c>
      <c r="B253" s="10" t="n">
        <v>2026</v>
      </c>
      <c r="C253" s="10" t="n">
        <v>9</v>
      </c>
      <c r="D253" s="10" t="inlineStr">
        <is>
          <t>Setembro</t>
        </is>
      </c>
      <c r="E253" s="10" t="inlineStr">
        <is>
          <t>2026-09</t>
        </is>
      </c>
      <c r="F253" s="10" t="inlineStr">
        <is>
          <t>T3</t>
        </is>
      </c>
      <c r="G253" s="10" t="inlineStr">
        <is>
          <t>Wednesday</t>
        </is>
      </c>
    </row>
    <row r="254">
      <c r="A254" s="12" t="n">
        <v>46275</v>
      </c>
      <c r="B254" s="10" t="n">
        <v>2026</v>
      </c>
      <c r="C254" s="10" t="n">
        <v>9</v>
      </c>
      <c r="D254" s="10" t="inlineStr">
        <is>
          <t>Setembro</t>
        </is>
      </c>
      <c r="E254" s="10" t="inlineStr">
        <is>
          <t>2026-09</t>
        </is>
      </c>
      <c r="F254" s="10" t="inlineStr">
        <is>
          <t>T3</t>
        </is>
      </c>
      <c r="G254" s="10" t="inlineStr">
        <is>
          <t>Thursday</t>
        </is>
      </c>
    </row>
    <row r="255">
      <c r="A255" s="12" t="n">
        <v>46276</v>
      </c>
      <c r="B255" s="10" t="n">
        <v>2026</v>
      </c>
      <c r="C255" s="10" t="n">
        <v>9</v>
      </c>
      <c r="D255" s="10" t="inlineStr">
        <is>
          <t>Setembro</t>
        </is>
      </c>
      <c r="E255" s="10" t="inlineStr">
        <is>
          <t>2026-09</t>
        </is>
      </c>
      <c r="F255" s="10" t="inlineStr">
        <is>
          <t>T3</t>
        </is>
      </c>
      <c r="G255" s="10" t="inlineStr">
        <is>
          <t>Friday</t>
        </is>
      </c>
    </row>
    <row r="256">
      <c r="A256" s="12" t="n">
        <v>46277</v>
      </c>
      <c r="B256" s="10" t="n">
        <v>2026</v>
      </c>
      <c r="C256" s="10" t="n">
        <v>9</v>
      </c>
      <c r="D256" s="10" t="inlineStr">
        <is>
          <t>Setembro</t>
        </is>
      </c>
      <c r="E256" s="10" t="inlineStr">
        <is>
          <t>2026-09</t>
        </is>
      </c>
      <c r="F256" s="10" t="inlineStr">
        <is>
          <t>T3</t>
        </is>
      </c>
      <c r="G256" s="10" t="inlineStr">
        <is>
          <t>Saturday</t>
        </is>
      </c>
    </row>
    <row r="257">
      <c r="A257" s="12" t="n">
        <v>46278</v>
      </c>
      <c r="B257" s="10" t="n">
        <v>2026</v>
      </c>
      <c r="C257" s="10" t="n">
        <v>9</v>
      </c>
      <c r="D257" s="10" t="inlineStr">
        <is>
          <t>Setembro</t>
        </is>
      </c>
      <c r="E257" s="10" t="inlineStr">
        <is>
          <t>2026-09</t>
        </is>
      </c>
      <c r="F257" s="10" t="inlineStr">
        <is>
          <t>T3</t>
        </is>
      </c>
      <c r="G257" s="10" t="inlineStr">
        <is>
          <t>Sunday</t>
        </is>
      </c>
    </row>
    <row r="258">
      <c r="A258" s="12" t="n">
        <v>46279</v>
      </c>
      <c r="B258" s="10" t="n">
        <v>2026</v>
      </c>
      <c r="C258" s="10" t="n">
        <v>9</v>
      </c>
      <c r="D258" s="10" t="inlineStr">
        <is>
          <t>Setembro</t>
        </is>
      </c>
      <c r="E258" s="10" t="inlineStr">
        <is>
          <t>2026-09</t>
        </is>
      </c>
      <c r="F258" s="10" t="inlineStr">
        <is>
          <t>T3</t>
        </is>
      </c>
      <c r="G258" s="10" t="inlineStr">
        <is>
          <t>Monday</t>
        </is>
      </c>
    </row>
    <row r="259">
      <c r="A259" s="12" t="n">
        <v>46280</v>
      </c>
      <c r="B259" s="10" t="n">
        <v>2026</v>
      </c>
      <c r="C259" s="10" t="n">
        <v>9</v>
      </c>
      <c r="D259" s="10" t="inlineStr">
        <is>
          <t>Setembro</t>
        </is>
      </c>
      <c r="E259" s="10" t="inlineStr">
        <is>
          <t>2026-09</t>
        </is>
      </c>
      <c r="F259" s="10" t="inlineStr">
        <is>
          <t>T3</t>
        </is>
      </c>
      <c r="G259" s="10" t="inlineStr">
        <is>
          <t>Tuesday</t>
        </is>
      </c>
    </row>
    <row r="260">
      <c r="A260" s="12" t="n">
        <v>46281</v>
      </c>
      <c r="B260" s="10" t="n">
        <v>2026</v>
      </c>
      <c r="C260" s="10" t="n">
        <v>9</v>
      </c>
      <c r="D260" s="10" t="inlineStr">
        <is>
          <t>Setembro</t>
        </is>
      </c>
      <c r="E260" s="10" t="inlineStr">
        <is>
          <t>2026-09</t>
        </is>
      </c>
      <c r="F260" s="10" t="inlineStr">
        <is>
          <t>T3</t>
        </is>
      </c>
      <c r="G260" s="10" t="inlineStr">
        <is>
          <t>Wednesday</t>
        </is>
      </c>
    </row>
    <row r="261">
      <c r="A261" s="12" t="n">
        <v>46282</v>
      </c>
      <c r="B261" s="10" t="n">
        <v>2026</v>
      </c>
      <c r="C261" s="10" t="n">
        <v>9</v>
      </c>
      <c r="D261" s="10" t="inlineStr">
        <is>
          <t>Setembro</t>
        </is>
      </c>
      <c r="E261" s="10" t="inlineStr">
        <is>
          <t>2026-09</t>
        </is>
      </c>
      <c r="F261" s="10" t="inlineStr">
        <is>
          <t>T3</t>
        </is>
      </c>
      <c r="G261" s="10" t="inlineStr">
        <is>
          <t>Thursday</t>
        </is>
      </c>
    </row>
    <row r="262">
      <c r="A262" s="12" t="n">
        <v>46283</v>
      </c>
      <c r="B262" s="10" t="n">
        <v>2026</v>
      </c>
      <c r="C262" s="10" t="n">
        <v>9</v>
      </c>
      <c r="D262" s="10" t="inlineStr">
        <is>
          <t>Setembro</t>
        </is>
      </c>
      <c r="E262" s="10" t="inlineStr">
        <is>
          <t>2026-09</t>
        </is>
      </c>
      <c r="F262" s="10" t="inlineStr">
        <is>
          <t>T3</t>
        </is>
      </c>
      <c r="G262" s="10" t="inlineStr">
        <is>
          <t>Friday</t>
        </is>
      </c>
    </row>
    <row r="263">
      <c r="A263" s="12" t="n">
        <v>46284</v>
      </c>
      <c r="B263" s="10" t="n">
        <v>2026</v>
      </c>
      <c r="C263" s="10" t="n">
        <v>9</v>
      </c>
      <c r="D263" s="10" t="inlineStr">
        <is>
          <t>Setembro</t>
        </is>
      </c>
      <c r="E263" s="10" t="inlineStr">
        <is>
          <t>2026-09</t>
        </is>
      </c>
      <c r="F263" s="10" t="inlineStr">
        <is>
          <t>T3</t>
        </is>
      </c>
      <c r="G263" s="10" t="inlineStr">
        <is>
          <t>Saturday</t>
        </is>
      </c>
    </row>
    <row r="264">
      <c r="A264" s="12" t="n">
        <v>46285</v>
      </c>
      <c r="B264" s="10" t="n">
        <v>2026</v>
      </c>
      <c r="C264" s="10" t="n">
        <v>9</v>
      </c>
      <c r="D264" s="10" t="inlineStr">
        <is>
          <t>Setembro</t>
        </is>
      </c>
      <c r="E264" s="10" t="inlineStr">
        <is>
          <t>2026-09</t>
        </is>
      </c>
      <c r="F264" s="10" t="inlineStr">
        <is>
          <t>T3</t>
        </is>
      </c>
      <c r="G264" s="10" t="inlineStr">
        <is>
          <t>Sunday</t>
        </is>
      </c>
    </row>
    <row r="265">
      <c r="A265" s="12" t="n">
        <v>46286</v>
      </c>
      <c r="B265" s="10" t="n">
        <v>2026</v>
      </c>
      <c r="C265" s="10" t="n">
        <v>9</v>
      </c>
      <c r="D265" s="10" t="inlineStr">
        <is>
          <t>Setembro</t>
        </is>
      </c>
      <c r="E265" s="10" t="inlineStr">
        <is>
          <t>2026-09</t>
        </is>
      </c>
      <c r="F265" s="10" t="inlineStr">
        <is>
          <t>T3</t>
        </is>
      </c>
      <c r="G265" s="10" t="inlineStr">
        <is>
          <t>Monday</t>
        </is>
      </c>
    </row>
    <row r="266">
      <c r="A266" s="12" t="n">
        <v>46287</v>
      </c>
      <c r="B266" s="10" t="n">
        <v>2026</v>
      </c>
      <c r="C266" s="10" t="n">
        <v>9</v>
      </c>
      <c r="D266" s="10" t="inlineStr">
        <is>
          <t>Setembro</t>
        </is>
      </c>
      <c r="E266" s="10" t="inlineStr">
        <is>
          <t>2026-09</t>
        </is>
      </c>
      <c r="F266" s="10" t="inlineStr">
        <is>
          <t>T3</t>
        </is>
      </c>
      <c r="G266" s="10" t="inlineStr">
        <is>
          <t>Tuesday</t>
        </is>
      </c>
    </row>
    <row r="267">
      <c r="A267" s="12" t="n">
        <v>46288</v>
      </c>
      <c r="B267" s="10" t="n">
        <v>2026</v>
      </c>
      <c r="C267" s="10" t="n">
        <v>9</v>
      </c>
      <c r="D267" s="10" t="inlineStr">
        <is>
          <t>Setembro</t>
        </is>
      </c>
      <c r="E267" s="10" t="inlineStr">
        <is>
          <t>2026-09</t>
        </is>
      </c>
      <c r="F267" s="10" t="inlineStr">
        <is>
          <t>T3</t>
        </is>
      </c>
      <c r="G267" s="10" t="inlineStr">
        <is>
          <t>Wednesday</t>
        </is>
      </c>
    </row>
    <row r="268">
      <c r="A268" s="12" t="n">
        <v>46289</v>
      </c>
      <c r="B268" s="10" t="n">
        <v>2026</v>
      </c>
      <c r="C268" s="10" t="n">
        <v>9</v>
      </c>
      <c r="D268" s="10" t="inlineStr">
        <is>
          <t>Setembro</t>
        </is>
      </c>
      <c r="E268" s="10" t="inlineStr">
        <is>
          <t>2026-09</t>
        </is>
      </c>
      <c r="F268" s="10" t="inlineStr">
        <is>
          <t>T3</t>
        </is>
      </c>
      <c r="G268" s="10" t="inlineStr">
        <is>
          <t>Thursday</t>
        </is>
      </c>
    </row>
    <row r="269">
      <c r="A269" s="12" t="n">
        <v>46290</v>
      </c>
      <c r="B269" s="10" t="n">
        <v>2026</v>
      </c>
      <c r="C269" s="10" t="n">
        <v>9</v>
      </c>
      <c r="D269" s="10" t="inlineStr">
        <is>
          <t>Setembro</t>
        </is>
      </c>
      <c r="E269" s="10" t="inlineStr">
        <is>
          <t>2026-09</t>
        </is>
      </c>
      <c r="F269" s="10" t="inlineStr">
        <is>
          <t>T3</t>
        </is>
      </c>
      <c r="G269" s="10" t="inlineStr">
        <is>
          <t>Friday</t>
        </is>
      </c>
    </row>
    <row r="270">
      <c r="A270" s="12" t="n">
        <v>46291</v>
      </c>
      <c r="B270" s="10" t="n">
        <v>2026</v>
      </c>
      <c r="C270" s="10" t="n">
        <v>9</v>
      </c>
      <c r="D270" s="10" t="inlineStr">
        <is>
          <t>Setembro</t>
        </is>
      </c>
      <c r="E270" s="10" t="inlineStr">
        <is>
          <t>2026-09</t>
        </is>
      </c>
      <c r="F270" s="10" t="inlineStr">
        <is>
          <t>T3</t>
        </is>
      </c>
      <c r="G270" s="10" t="inlineStr">
        <is>
          <t>Saturday</t>
        </is>
      </c>
    </row>
    <row r="271">
      <c r="A271" s="12" t="n">
        <v>46292</v>
      </c>
      <c r="B271" s="10" t="n">
        <v>2026</v>
      </c>
      <c r="C271" s="10" t="n">
        <v>9</v>
      </c>
      <c r="D271" s="10" t="inlineStr">
        <is>
          <t>Setembro</t>
        </is>
      </c>
      <c r="E271" s="10" t="inlineStr">
        <is>
          <t>2026-09</t>
        </is>
      </c>
      <c r="F271" s="10" t="inlineStr">
        <is>
          <t>T3</t>
        </is>
      </c>
      <c r="G271" s="10" t="inlineStr">
        <is>
          <t>Sunday</t>
        </is>
      </c>
    </row>
    <row r="272">
      <c r="A272" s="12" t="n">
        <v>46293</v>
      </c>
      <c r="B272" s="10" t="n">
        <v>2026</v>
      </c>
      <c r="C272" s="10" t="n">
        <v>9</v>
      </c>
      <c r="D272" s="10" t="inlineStr">
        <is>
          <t>Setembro</t>
        </is>
      </c>
      <c r="E272" s="10" t="inlineStr">
        <is>
          <t>2026-09</t>
        </is>
      </c>
      <c r="F272" s="10" t="inlineStr">
        <is>
          <t>T3</t>
        </is>
      </c>
      <c r="G272" s="10" t="inlineStr">
        <is>
          <t>Monday</t>
        </is>
      </c>
    </row>
    <row r="273">
      <c r="A273" s="12" t="n">
        <v>46294</v>
      </c>
      <c r="B273" s="10" t="n">
        <v>2026</v>
      </c>
      <c r="C273" s="10" t="n">
        <v>9</v>
      </c>
      <c r="D273" s="10" t="inlineStr">
        <is>
          <t>Setembro</t>
        </is>
      </c>
      <c r="E273" s="10" t="inlineStr">
        <is>
          <t>2026-09</t>
        </is>
      </c>
      <c r="F273" s="10" t="inlineStr">
        <is>
          <t>T3</t>
        </is>
      </c>
      <c r="G273" s="10" t="inlineStr">
        <is>
          <t>Tuesday</t>
        </is>
      </c>
    </row>
    <row r="274">
      <c r="A274" s="12" t="n">
        <v>46295</v>
      </c>
      <c r="B274" s="10" t="n">
        <v>2026</v>
      </c>
      <c r="C274" s="10" t="n">
        <v>9</v>
      </c>
      <c r="D274" s="10" t="inlineStr">
        <is>
          <t>Setembro</t>
        </is>
      </c>
      <c r="E274" s="10" t="inlineStr">
        <is>
          <t>2026-09</t>
        </is>
      </c>
      <c r="F274" s="10" t="inlineStr">
        <is>
          <t>T3</t>
        </is>
      </c>
      <c r="G274" s="10" t="inlineStr">
        <is>
          <t>Wednesday</t>
        </is>
      </c>
    </row>
    <row r="275">
      <c r="A275" s="12" t="n">
        <v>46296</v>
      </c>
      <c r="B275" s="10" t="n">
        <v>2026</v>
      </c>
      <c r="C275" s="10" t="n">
        <v>10</v>
      </c>
      <c r="D275" s="10" t="inlineStr">
        <is>
          <t>Outubro</t>
        </is>
      </c>
      <c r="E275" s="10" t="inlineStr">
        <is>
          <t>2026-10</t>
        </is>
      </c>
      <c r="F275" s="10" t="inlineStr">
        <is>
          <t>T4</t>
        </is>
      </c>
      <c r="G275" s="10" t="inlineStr">
        <is>
          <t>Thursday</t>
        </is>
      </c>
    </row>
    <row r="276">
      <c r="A276" s="12" t="n">
        <v>46297</v>
      </c>
      <c r="B276" s="10" t="n">
        <v>2026</v>
      </c>
      <c r="C276" s="10" t="n">
        <v>10</v>
      </c>
      <c r="D276" s="10" t="inlineStr">
        <is>
          <t>Outubro</t>
        </is>
      </c>
      <c r="E276" s="10" t="inlineStr">
        <is>
          <t>2026-10</t>
        </is>
      </c>
      <c r="F276" s="10" t="inlineStr">
        <is>
          <t>T4</t>
        </is>
      </c>
      <c r="G276" s="10" t="inlineStr">
        <is>
          <t>Friday</t>
        </is>
      </c>
    </row>
    <row r="277">
      <c r="A277" s="12" t="n">
        <v>46298</v>
      </c>
      <c r="B277" s="10" t="n">
        <v>2026</v>
      </c>
      <c r="C277" s="10" t="n">
        <v>10</v>
      </c>
      <c r="D277" s="10" t="inlineStr">
        <is>
          <t>Outubro</t>
        </is>
      </c>
      <c r="E277" s="10" t="inlineStr">
        <is>
          <t>2026-10</t>
        </is>
      </c>
      <c r="F277" s="10" t="inlineStr">
        <is>
          <t>T4</t>
        </is>
      </c>
      <c r="G277" s="10" t="inlineStr">
        <is>
          <t>Saturday</t>
        </is>
      </c>
    </row>
    <row r="278">
      <c r="A278" s="12" t="n">
        <v>46299</v>
      </c>
      <c r="B278" s="10" t="n">
        <v>2026</v>
      </c>
      <c r="C278" s="10" t="n">
        <v>10</v>
      </c>
      <c r="D278" s="10" t="inlineStr">
        <is>
          <t>Outubro</t>
        </is>
      </c>
      <c r="E278" s="10" t="inlineStr">
        <is>
          <t>2026-10</t>
        </is>
      </c>
      <c r="F278" s="10" t="inlineStr">
        <is>
          <t>T4</t>
        </is>
      </c>
      <c r="G278" s="10" t="inlineStr">
        <is>
          <t>Sunday</t>
        </is>
      </c>
    </row>
    <row r="279">
      <c r="A279" s="12" t="n">
        <v>46300</v>
      </c>
      <c r="B279" s="10" t="n">
        <v>2026</v>
      </c>
      <c r="C279" s="10" t="n">
        <v>10</v>
      </c>
      <c r="D279" s="10" t="inlineStr">
        <is>
          <t>Outubro</t>
        </is>
      </c>
      <c r="E279" s="10" t="inlineStr">
        <is>
          <t>2026-10</t>
        </is>
      </c>
      <c r="F279" s="10" t="inlineStr">
        <is>
          <t>T4</t>
        </is>
      </c>
      <c r="G279" s="10" t="inlineStr">
        <is>
          <t>Monday</t>
        </is>
      </c>
    </row>
    <row r="280">
      <c r="A280" s="12" t="n">
        <v>46301</v>
      </c>
      <c r="B280" s="10" t="n">
        <v>2026</v>
      </c>
      <c r="C280" s="10" t="n">
        <v>10</v>
      </c>
      <c r="D280" s="10" t="inlineStr">
        <is>
          <t>Outubro</t>
        </is>
      </c>
      <c r="E280" s="10" t="inlineStr">
        <is>
          <t>2026-10</t>
        </is>
      </c>
      <c r="F280" s="10" t="inlineStr">
        <is>
          <t>T4</t>
        </is>
      </c>
      <c r="G280" s="10" t="inlineStr">
        <is>
          <t>Tuesday</t>
        </is>
      </c>
    </row>
    <row r="281">
      <c r="A281" s="12" t="n">
        <v>46302</v>
      </c>
      <c r="B281" s="10" t="n">
        <v>2026</v>
      </c>
      <c r="C281" s="10" t="n">
        <v>10</v>
      </c>
      <c r="D281" s="10" t="inlineStr">
        <is>
          <t>Outubro</t>
        </is>
      </c>
      <c r="E281" s="10" t="inlineStr">
        <is>
          <t>2026-10</t>
        </is>
      </c>
      <c r="F281" s="10" t="inlineStr">
        <is>
          <t>T4</t>
        </is>
      </c>
      <c r="G281" s="10" t="inlineStr">
        <is>
          <t>Wednesday</t>
        </is>
      </c>
    </row>
    <row r="282">
      <c r="A282" s="12" t="n">
        <v>46303</v>
      </c>
      <c r="B282" s="10" t="n">
        <v>2026</v>
      </c>
      <c r="C282" s="10" t="n">
        <v>10</v>
      </c>
      <c r="D282" s="10" t="inlineStr">
        <is>
          <t>Outubro</t>
        </is>
      </c>
      <c r="E282" s="10" t="inlineStr">
        <is>
          <t>2026-10</t>
        </is>
      </c>
      <c r="F282" s="10" t="inlineStr">
        <is>
          <t>T4</t>
        </is>
      </c>
      <c r="G282" s="10" t="inlineStr">
        <is>
          <t>Thursday</t>
        </is>
      </c>
    </row>
    <row r="283">
      <c r="A283" s="12" t="n">
        <v>46304</v>
      </c>
      <c r="B283" s="10" t="n">
        <v>2026</v>
      </c>
      <c r="C283" s="10" t="n">
        <v>10</v>
      </c>
      <c r="D283" s="10" t="inlineStr">
        <is>
          <t>Outubro</t>
        </is>
      </c>
      <c r="E283" s="10" t="inlineStr">
        <is>
          <t>2026-10</t>
        </is>
      </c>
      <c r="F283" s="10" t="inlineStr">
        <is>
          <t>T4</t>
        </is>
      </c>
      <c r="G283" s="10" t="inlineStr">
        <is>
          <t>Friday</t>
        </is>
      </c>
    </row>
    <row r="284">
      <c r="A284" s="12" t="n">
        <v>46305</v>
      </c>
      <c r="B284" s="10" t="n">
        <v>2026</v>
      </c>
      <c r="C284" s="10" t="n">
        <v>10</v>
      </c>
      <c r="D284" s="10" t="inlineStr">
        <is>
          <t>Outubro</t>
        </is>
      </c>
      <c r="E284" s="10" t="inlineStr">
        <is>
          <t>2026-10</t>
        </is>
      </c>
      <c r="F284" s="10" t="inlineStr">
        <is>
          <t>T4</t>
        </is>
      </c>
      <c r="G284" s="10" t="inlineStr">
        <is>
          <t>Saturday</t>
        </is>
      </c>
    </row>
    <row r="285">
      <c r="A285" s="12" t="n">
        <v>46306</v>
      </c>
      <c r="B285" s="10" t="n">
        <v>2026</v>
      </c>
      <c r="C285" s="10" t="n">
        <v>10</v>
      </c>
      <c r="D285" s="10" t="inlineStr">
        <is>
          <t>Outubro</t>
        </is>
      </c>
      <c r="E285" s="10" t="inlineStr">
        <is>
          <t>2026-10</t>
        </is>
      </c>
      <c r="F285" s="10" t="inlineStr">
        <is>
          <t>T4</t>
        </is>
      </c>
      <c r="G285" s="10" t="inlineStr">
        <is>
          <t>Sunday</t>
        </is>
      </c>
    </row>
    <row r="286">
      <c r="A286" s="12" t="n">
        <v>46307</v>
      </c>
      <c r="B286" s="10" t="n">
        <v>2026</v>
      </c>
      <c r="C286" s="10" t="n">
        <v>10</v>
      </c>
      <c r="D286" s="10" t="inlineStr">
        <is>
          <t>Outubro</t>
        </is>
      </c>
      <c r="E286" s="10" t="inlineStr">
        <is>
          <t>2026-10</t>
        </is>
      </c>
      <c r="F286" s="10" t="inlineStr">
        <is>
          <t>T4</t>
        </is>
      </c>
      <c r="G286" s="10" t="inlineStr">
        <is>
          <t>Monday</t>
        </is>
      </c>
    </row>
    <row r="287">
      <c r="A287" s="12" t="n">
        <v>46308</v>
      </c>
      <c r="B287" s="10" t="n">
        <v>2026</v>
      </c>
      <c r="C287" s="10" t="n">
        <v>10</v>
      </c>
      <c r="D287" s="10" t="inlineStr">
        <is>
          <t>Outubro</t>
        </is>
      </c>
      <c r="E287" s="10" t="inlineStr">
        <is>
          <t>2026-10</t>
        </is>
      </c>
      <c r="F287" s="10" t="inlineStr">
        <is>
          <t>T4</t>
        </is>
      </c>
      <c r="G287" s="10" t="inlineStr">
        <is>
          <t>Tuesday</t>
        </is>
      </c>
    </row>
    <row r="288">
      <c r="A288" s="12" t="n">
        <v>46309</v>
      </c>
      <c r="B288" s="10" t="n">
        <v>2026</v>
      </c>
      <c r="C288" s="10" t="n">
        <v>10</v>
      </c>
      <c r="D288" s="10" t="inlineStr">
        <is>
          <t>Outubro</t>
        </is>
      </c>
      <c r="E288" s="10" t="inlineStr">
        <is>
          <t>2026-10</t>
        </is>
      </c>
      <c r="F288" s="10" t="inlineStr">
        <is>
          <t>T4</t>
        </is>
      </c>
      <c r="G288" s="10" t="inlineStr">
        <is>
          <t>Wednesday</t>
        </is>
      </c>
    </row>
    <row r="289">
      <c r="A289" s="12" t="n">
        <v>46310</v>
      </c>
      <c r="B289" s="10" t="n">
        <v>2026</v>
      </c>
      <c r="C289" s="10" t="n">
        <v>10</v>
      </c>
      <c r="D289" s="10" t="inlineStr">
        <is>
          <t>Outubro</t>
        </is>
      </c>
      <c r="E289" s="10" t="inlineStr">
        <is>
          <t>2026-10</t>
        </is>
      </c>
      <c r="F289" s="10" t="inlineStr">
        <is>
          <t>T4</t>
        </is>
      </c>
      <c r="G289" s="10" t="inlineStr">
        <is>
          <t>Thursday</t>
        </is>
      </c>
    </row>
    <row r="290">
      <c r="A290" s="12" t="n">
        <v>46311</v>
      </c>
      <c r="B290" s="10" t="n">
        <v>2026</v>
      </c>
      <c r="C290" s="10" t="n">
        <v>10</v>
      </c>
      <c r="D290" s="10" t="inlineStr">
        <is>
          <t>Outubro</t>
        </is>
      </c>
      <c r="E290" s="10" t="inlineStr">
        <is>
          <t>2026-10</t>
        </is>
      </c>
      <c r="F290" s="10" t="inlineStr">
        <is>
          <t>T4</t>
        </is>
      </c>
      <c r="G290" s="10" t="inlineStr">
        <is>
          <t>Friday</t>
        </is>
      </c>
    </row>
    <row r="291">
      <c r="A291" s="12" t="n">
        <v>46312</v>
      </c>
      <c r="B291" s="10" t="n">
        <v>2026</v>
      </c>
      <c r="C291" s="10" t="n">
        <v>10</v>
      </c>
      <c r="D291" s="10" t="inlineStr">
        <is>
          <t>Outubro</t>
        </is>
      </c>
      <c r="E291" s="10" t="inlineStr">
        <is>
          <t>2026-10</t>
        </is>
      </c>
      <c r="F291" s="10" t="inlineStr">
        <is>
          <t>T4</t>
        </is>
      </c>
      <c r="G291" s="10" t="inlineStr">
        <is>
          <t>Saturday</t>
        </is>
      </c>
    </row>
    <row r="292">
      <c r="A292" s="12" t="n">
        <v>46313</v>
      </c>
      <c r="B292" s="10" t="n">
        <v>2026</v>
      </c>
      <c r="C292" s="10" t="n">
        <v>10</v>
      </c>
      <c r="D292" s="10" t="inlineStr">
        <is>
          <t>Outubro</t>
        </is>
      </c>
      <c r="E292" s="10" t="inlineStr">
        <is>
          <t>2026-10</t>
        </is>
      </c>
      <c r="F292" s="10" t="inlineStr">
        <is>
          <t>T4</t>
        </is>
      </c>
      <c r="G292" s="10" t="inlineStr">
        <is>
          <t>Sunday</t>
        </is>
      </c>
    </row>
    <row r="293">
      <c r="A293" s="12" t="n">
        <v>46314</v>
      </c>
      <c r="B293" s="10" t="n">
        <v>2026</v>
      </c>
      <c r="C293" s="10" t="n">
        <v>10</v>
      </c>
      <c r="D293" s="10" t="inlineStr">
        <is>
          <t>Outubro</t>
        </is>
      </c>
      <c r="E293" s="10" t="inlineStr">
        <is>
          <t>2026-10</t>
        </is>
      </c>
      <c r="F293" s="10" t="inlineStr">
        <is>
          <t>T4</t>
        </is>
      </c>
      <c r="G293" s="10" t="inlineStr">
        <is>
          <t>Monday</t>
        </is>
      </c>
    </row>
    <row r="294">
      <c r="A294" s="12" t="n">
        <v>46315</v>
      </c>
      <c r="B294" s="10" t="n">
        <v>2026</v>
      </c>
      <c r="C294" s="10" t="n">
        <v>10</v>
      </c>
      <c r="D294" s="10" t="inlineStr">
        <is>
          <t>Outubro</t>
        </is>
      </c>
      <c r="E294" s="10" t="inlineStr">
        <is>
          <t>2026-10</t>
        </is>
      </c>
      <c r="F294" s="10" t="inlineStr">
        <is>
          <t>T4</t>
        </is>
      </c>
      <c r="G294" s="10" t="inlineStr">
        <is>
          <t>Tuesday</t>
        </is>
      </c>
    </row>
    <row r="295">
      <c r="A295" s="12" t="n">
        <v>46316</v>
      </c>
      <c r="B295" s="10" t="n">
        <v>2026</v>
      </c>
      <c r="C295" s="10" t="n">
        <v>10</v>
      </c>
      <c r="D295" s="10" t="inlineStr">
        <is>
          <t>Outubro</t>
        </is>
      </c>
      <c r="E295" s="10" t="inlineStr">
        <is>
          <t>2026-10</t>
        </is>
      </c>
      <c r="F295" s="10" t="inlineStr">
        <is>
          <t>T4</t>
        </is>
      </c>
      <c r="G295" s="10" t="inlineStr">
        <is>
          <t>Wednesday</t>
        </is>
      </c>
    </row>
    <row r="296">
      <c r="A296" s="12" t="n">
        <v>46317</v>
      </c>
      <c r="B296" s="10" t="n">
        <v>2026</v>
      </c>
      <c r="C296" s="10" t="n">
        <v>10</v>
      </c>
      <c r="D296" s="10" t="inlineStr">
        <is>
          <t>Outubro</t>
        </is>
      </c>
      <c r="E296" s="10" t="inlineStr">
        <is>
          <t>2026-10</t>
        </is>
      </c>
      <c r="F296" s="10" t="inlineStr">
        <is>
          <t>T4</t>
        </is>
      </c>
      <c r="G296" s="10" t="inlineStr">
        <is>
          <t>Thursday</t>
        </is>
      </c>
    </row>
    <row r="297">
      <c r="A297" s="12" t="n">
        <v>46318</v>
      </c>
      <c r="B297" s="10" t="n">
        <v>2026</v>
      </c>
      <c r="C297" s="10" t="n">
        <v>10</v>
      </c>
      <c r="D297" s="10" t="inlineStr">
        <is>
          <t>Outubro</t>
        </is>
      </c>
      <c r="E297" s="10" t="inlineStr">
        <is>
          <t>2026-10</t>
        </is>
      </c>
      <c r="F297" s="10" t="inlineStr">
        <is>
          <t>T4</t>
        </is>
      </c>
      <c r="G297" s="10" t="inlineStr">
        <is>
          <t>Friday</t>
        </is>
      </c>
    </row>
    <row r="298">
      <c r="A298" s="12" t="n">
        <v>46319</v>
      </c>
      <c r="B298" s="10" t="n">
        <v>2026</v>
      </c>
      <c r="C298" s="10" t="n">
        <v>10</v>
      </c>
      <c r="D298" s="10" t="inlineStr">
        <is>
          <t>Outubro</t>
        </is>
      </c>
      <c r="E298" s="10" t="inlineStr">
        <is>
          <t>2026-10</t>
        </is>
      </c>
      <c r="F298" s="10" t="inlineStr">
        <is>
          <t>T4</t>
        </is>
      </c>
      <c r="G298" s="10" t="inlineStr">
        <is>
          <t>Saturday</t>
        </is>
      </c>
    </row>
    <row r="299">
      <c r="A299" s="12" t="n">
        <v>46320</v>
      </c>
      <c r="B299" s="10" t="n">
        <v>2026</v>
      </c>
      <c r="C299" s="10" t="n">
        <v>10</v>
      </c>
      <c r="D299" s="10" t="inlineStr">
        <is>
          <t>Outubro</t>
        </is>
      </c>
      <c r="E299" s="10" t="inlineStr">
        <is>
          <t>2026-10</t>
        </is>
      </c>
      <c r="F299" s="10" t="inlineStr">
        <is>
          <t>T4</t>
        </is>
      </c>
      <c r="G299" s="10" t="inlineStr">
        <is>
          <t>Sunday</t>
        </is>
      </c>
    </row>
    <row r="300">
      <c r="A300" s="12" t="n">
        <v>46321</v>
      </c>
      <c r="B300" s="10" t="n">
        <v>2026</v>
      </c>
      <c r="C300" s="10" t="n">
        <v>10</v>
      </c>
      <c r="D300" s="10" t="inlineStr">
        <is>
          <t>Outubro</t>
        </is>
      </c>
      <c r="E300" s="10" t="inlineStr">
        <is>
          <t>2026-10</t>
        </is>
      </c>
      <c r="F300" s="10" t="inlineStr">
        <is>
          <t>T4</t>
        </is>
      </c>
      <c r="G300" s="10" t="inlineStr">
        <is>
          <t>Monday</t>
        </is>
      </c>
    </row>
    <row r="301">
      <c r="A301" s="12" t="n">
        <v>46322</v>
      </c>
      <c r="B301" s="10" t="n">
        <v>2026</v>
      </c>
      <c r="C301" s="10" t="n">
        <v>10</v>
      </c>
      <c r="D301" s="10" t="inlineStr">
        <is>
          <t>Outubro</t>
        </is>
      </c>
      <c r="E301" s="10" t="inlineStr">
        <is>
          <t>2026-10</t>
        </is>
      </c>
      <c r="F301" s="10" t="inlineStr">
        <is>
          <t>T4</t>
        </is>
      </c>
      <c r="G301" s="10" t="inlineStr">
        <is>
          <t>Tuesday</t>
        </is>
      </c>
    </row>
    <row r="302">
      <c r="A302" s="12" t="n">
        <v>46323</v>
      </c>
      <c r="B302" s="10" t="n">
        <v>2026</v>
      </c>
      <c r="C302" s="10" t="n">
        <v>10</v>
      </c>
      <c r="D302" s="10" t="inlineStr">
        <is>
          <t>Outubro</t>
        </is>
      </c>
      <c r="E302" s="10" t="inlineStr">
        <is>
          <t>2026-10</t>
        </is>
      </c>
      <c r="F302" s="10" t="inlineStr">
        <is>
          <t>T4</t>
        </is>
      </c>
      <c r="G302" s="10" t="inlineStr">
        <is>
          <t>Wednesday</t>
        </is>
      </c>
    </row>
    <row r="303">
      <c r="A303" s="12" t="n">
        <v>46324</v>
      </c>
      <c r="B303" s="10" t="n">
        <v>2026</v>
      </c>
      <c r="C303" s="10" t="n">
        <v>10</v>
      </c>
      <c r="D303" s="10" t="inlineStr">
        <is>
          <t>Outubro</t>
        </is>
      </c>
      <c r="E303" s="10" t="inlineStr">
        <is>
          <t>2026-10</t>
        </is>
      </c>
      <c r="F303" s="10" t="inlineStr">
        <is>
          <t>T4</t>
        </is>
      </c>
      <c r="G303" s="10" t="inlineStr">
        <is>
          <t>Thursday</t>
        </is>
      </c>
    </row>
    <row r="304">
      <c r="A304" s="12" t="n">
        <v>46325</v>
      </c>
      <c r="B304" s="10" t="n">
        <v>2026</v>
      </c>
      <c r="C304" s="10" t="n">
        <v>10</v>
      </c>
      <c r="D304" s="10" t="inlineStr">
        <is>
          <t>Outubro</t>
        </is>
      </c>
      <c r="E304" s="10" t="inlineStr">
        <is>
          <t>2026-10</t>
        </is>
      </c>
      <c r="F304" s="10" t="inlineStr">
        <is>
          <t>T4</t>
        </is>
      </c>
      <c r="G304" s="10" t="inlineStr">
        <is>
          <t>Friday</t>
        </is>
      </c>
    </row>
    <row r="305">
      <c r="A305" s="12" t="n">
        <v>46326</v>
      </c>
      <c r="B305" s="10" t="n">
        <v>2026</v>
      </c>
      <c r="C305" s="10" t="n">
        <v>10</v>
      </c>
      <c r="D305" s="10" t="inlineStr">
        <is>
          <t>Outubro</t>
        </is>
      </c>
      <c r="E305" s="10" t="inlineStr">
        <is>
          <t>2026-10</t>
        </is>
      </c>
      <c r="F305" s="10" t="inlineStr">
        <is>
          <t>T4</t>
        </is>
      </c>
      <c r="G305" s="10" t="inlineStr">
        <is>
          <t>Saturday</t>
        </is>
      </c>
    </row>
    <row r="306">
      <c r="A306" s="12" t="n">
        <v>46327</v>
      </c>
      <c r="B306" s="10" t="n">
        <v>2026</v>
      </c>
      <c r="C306" s="10" t="n">
        <v>11</v>
      </c>
      <c r="D306" s="10" t="inlineStr">
        <is>
          <t>Novembro</t>
        </is>
      </c>
      <c r="E306" s="10" t="inlineStr">
        <is>
          <t>2026-11</t>
        </is>
      </c>
      <c r="F306" s="10" t="inlineStr">
        <is>
          <t>T4</t>
        </is>
      </c>
      <c r="G306" s="10" t="inlineStr">
        <is>
          <t>Sunday</t>
        </is>
      </c>
    </row>
    <row r="307">
      <c r="A307" s="12" t="n">
        <v>46328</v>
      </c>
      <c r="B307" s="10" t="n">
        <v>2026</v>
      </c>
      <c r="C307" s="10" t="n">
        <v>11</v>
      </c>
      <c r="D307" s="10" t="inlineStr">
        <is>
          <t>Novembro</t>
        </is>
      </c>
      <c r="E307" s="10" t="inlineStr">
        <is>
          <t>2026-11</t>
        </is>
      </c>
      <c r="F307" s="10" t="inlineStr">
        <is>
          <t>T4</t>
        </is>
      </c>
      <c r="G307" s="10" t="inlineStr">
        <is>
          <t>Monday</t>
        </is>
      </c>
    </row>
    <row r="308">
      <c r="A308" s="12" t="n">
        <v>46329</v>
      </c>
      <c r="B308" s="10" t="n">
        <v>2026</v>
      </c>
      <c r="C308" s="10" t="n">
        <v>11</v>
      </c>
      <c r="D308" s="10" t="inlineStr">
        <is>
          <t>Novembro</t>
        </is>
      </c>
      <c r="E308" s="10" t="inlineStr">
        <is>
          <t>2026-11</t>
        </is>
      </c>
      <c r="F308" s="10" t="inlineStr">
        <is>
          <t>T4</t>
        </is>
      </c>
      <c r="G308" s="10" t="inlineStr">
        <is>
          <t>Tuesday</t>
        </is>
      </c>
    </row>
    <row r="309">
      <c r="A309" s="12" t="n">
        <v>46330</v>
      </c>
      <c r="B309" s="10" t="n">
        <v>2026</v>
      </c>
      <c r="C309" s="10" t="n">
        <v>11</v>
      </c>
      <c r="D309" s="10" t="inlineStr">
        <is>
          <t>Novembro</t>
        </is>
      </c>
      <c r="E309" s="10" t="inlineStr">
        <is>
          <t>2026-11</t>
        </is>
      </c>
      <c r="F309" s="10" t="inlineStr">
        <is>
          <t>T4</t>
        </is>
      </c>
      <c r="G309" s="10" t="inlineStr">
        <is>
          <t>Wednesday</t>
        </is>
      </c>
    </row>
    <row r="310">
      <c r="A310" s="12" t="n">
        <v>46331</v>
      </c>
      <c r="B310" s="10" t="n">
        <v>2026</v>
      </c>
      <c r="C310" s="10" t="n">
        <v>11</v>
      </c>
      <c r="D310" s="10" t="inlineStr">
        <is>
          <t>Novembro</t>
        </is>
      </c>
      <c r="E310" s="10" t="inlineStr">
        <is>
          <t>2026-11</t>
        </is>
      </c>
      <c r="F310" s="10" t="inlineStr">
        <is>
          <t>T4</t>
        </is>
      </c>
      <c r="G310" s="10" t="inlineStr">
        <is>
          <t>Thursday</t>
        </is>
      </c>
    </row>
    <row r="311">
      <c r="A311" s="12" t="n">
        <v>46332</v>
      </c>
      <c r="B311" s="10" t="n">
        <v>2026</v>
      </c>
      <c r="C311" s="10" t="n">
        <v>11</v>
      </c>
      <c r="D311" s="10" t="inlineStr">
        <is>
          <t>Novembro</t>
        </is>
      </c>
      <c r="E311" s="10" t="inlineStr">
        <is>
          <t>2026-11</t>
        </is>
      </c>
      <c r="F311" s="10" t="inlineStr">
        <is>
          <t>T4</t>
        </is>
      </c>
      <c r="G311" s="10" t="inlineStr">
        <is>
          <t>Friday</t>
        </is>
      </c>
    </row>
    <row r="312">
      <c r="A312" s="12" t="n">
        <v>46333</v>
      </c>
      <c r="B312" s="10" t="n">
        <v>2026</v>
      </c>
      <c r="C312" s="10" t="n">
        <v>11</v>
      </c>
      <c r="D312" s="10" t="inlineStr">
        <is>
          <t>Novembro</t>
        </is>
      </c>
      <c r="E312" s="10" t="inlineStr">
        <is>
          <t>2026-11</t>
        </is>
      </c>
      <c r="F312" s="10" t="inlineStr">
        <is>
          <t>T4</t>
        </is>
      </c>
      <c r="G312" s="10" t="inlineStr">
        <is>
          <t>Saturday</t>
        </is>
      </c>
    </row>
    <row r="313">
      <c r="A313" s="12" t="n">
        <v>46334</v>
      </c>
      <c r="B313" s="10" t="n">
        <v>2026</v>
      </c>
      <c r="C313" s="10" t="n">
        <v>11</v>
      </c>
      <c r="D313" s="10" t="inlineStr">
        <is>
          <t>Novembro</t>
        </is>
      </c>
      <c r="E313" s="10" t="inlineStr">
        <is>
          <t>2026-11</t>
        </is>
      </c>
      <c r="F313" s="10" t="inlineStr">
        <is>
          <t>T4</t>
        </is>
      </c>
      <c r="G313" s="10" t="inlineStr">
        <is>
          <t>Sunday</t>
        </is>
      </c>
    </row>
    <row r="314">
      <c r="A314" s="12" t="n">
        <v>46335</v>
      </c>
      <c r="B314" s="10" t="n">
        <v>2026</v>
      </c>
      <c r="C314" s="10" t="n">
        <v>11</v>
      </c>
      <c r="D314" s="10" t="inlineStr">
        <is>
          <t>Novembro</t>
        </is>
      </c>
      <c r="E314" s="10" t="inlineStr">
        <is>
          <t>2026-11</t>
        </is>
      </c>
      <c r="F314" s="10" t="inlineStr">
        <is>
          <t>T4</t>
        </is>
      </c>
      <c r="G314" s="10" t="inlineStr">
        <is>
          <t>Monday</t>
        </is>
      </c>
    </row>
    <row r="315">
      <c r="A315" s="12" t="n">
        <v>46336</v>
      </c>
      <c r="B315" s="10" t="n">
        <v>2026</v>
      </c>
      <c r="C315" s="10" t="n">
        <v>11</v>
      </c>
      <c r="D315" s="10" t="inlineStr">
        <is>
          <t>Novembro</t>
        </is>
      </c>
      <c r="E315" s="10" t="inlineStr">
        <is>
          <t>2026-11</t>
        </is>
      </c>
      <c r="F315" s="10" t="inlineStr">
        <is>
          <t>T4</t>
        </is>
      </c>
      <c r="G315" s="10" t="inlineStr">
        <is>
          <t>Tuesday</t>
        </is>
      </c>
    </row>
    <row r="316">
      <c r="A316" s="12" t="n">
        <v>46337</v>
      </c>
      <c r="B316" s="10" t="n">
        <v>2026</v>
      </c>
      <c r="C316" s="10" t="n">
        <v>11</v>
      </c>
      <c r="D316" s="10" t="inlineStr">
        <is>
          <t>Novembro</t>
        </is>
      </c>
      <c r="E316" s="10" t="inlineStr">
        <is>
          <t>2026-11</t>
        </is>
      </c>
      <c r="F316" s="10" t="inlineStr">
        <is>
          <t>T4</t>
        </is>
      </c>
      <c r="G316" s="10" t="inlineStr">
        <is>
          <t>Wednesday</t>
        </is>
      </c>
    </row>
    <row r="317">
      <c r="A317" s="12" t="n">
        <v>46338</v>
      </c>
      <c r="B317" s="10" t="n">
        <v>2026</v>
      </c>
      <c r="C317" s="10" t="n">
        <v>11</v>
      </c>
      <c r="D317" s="10" t="inlineStr">
        <is>
          <t>Novembro</t>
        </is>
      </c>
      <c r="E317" s="10" t="inlineStr">
        <is>
          <t>2026-11</t>
        </is>
      </c>
      <c r="F317" s="10" t="inlineStr">
        <is>
          <t>T4</t>
        </is>
      </c>
      <c r="G317" s="10" t="inlineStr">
        <is>
          <t>Thursday</t>
        </is>
      </c>
    </row>
    <row r="318">
      <c r="A318" s="12" t="n">
        <v>46339</v>
      </c>
      <c r="B318" s="10" t="n">
        <v>2026</v>
      </c>
      <c r="C318" s="10" t="n">
        <v>11</v>
      </c>
      <c r="D318" s="10" t="inlineStr">
        <is>
          <t>Novembro</t>
        </is>
      </c>
      <c r="E318" s="10" t="inlineStr">
        <is>
          <t>2026-11</t>
        </is>
      </c>
      <c r="F318" s="10" t="inlineStr">
        <is>
          <t>T4</t>
        </is>
      </c>
      <c r="G318" s="10" t="inlineStr">
        <is>
          <t>Friday</t>
        </is>
      </c>
    </row>
    <row r="319">
      <c r="A319" s="12" t="n">
        <v>46340</v>
      </c>
      <c r="B319" s="10" t="n">
        <v>2026</v>
      </c>
      <c r="C319" s="10" t="n">
        <v>11</v>
      </c>
      <c r="D319" s="10" t="inlineStr">
        <is>
          <t>Novembro</t>
        </is>
      </c>
      <c r="E319" s="10" t="inlineStr">
        <is>
          <t>2026-11</t>
        </is>
      </c>
      <c r="F319" s="10" t="inlineStr">
        <is>
          <t>T4</t>
        </is>
      </c>
      <c r="G319" s="10" t="inlineStr">
        <is>
          <t>Saturday</t>
        </is>
      </c>
    </row>
    <row r="320">
      <c r="A320" s="12" t="n">
        <v>46341</v>
      </c>
      <c r="B320" s="10" t="n">
        <v>2026</v>
      </c>
      <c r="C320" s="10" t="n">
        <v>11</v>
      </c>
      <c r="D320" s="10" t="inlineStr">
        <is>
          <t>Novembro</t>
        </is>
      </c>
      <c r="E320" s="10" t="inlineStr">
        <is>
          <t>2026-11</t>
        </is>
      </c>
      <c r="F320" s="10" t="inlineStr">
        <is>
          <t>T4</t>
        </is>
      </c>
      <c r="G320" s="10" t="inlineStr">
        <is>
          <t>Sunday</t>
        </is>
      </c>
    </row>
    <row r="321">
      <c r="A321" s="12" t="n">
        <v>46342</v>
      </c>
      <c r="B321" s="10" t="n">
        <v>2026</v>
      </c>
      <c r="C321" s="10" t="n">
        <v>11</v>
      </c>
      <c r="D321" s="10" t="inlineStr">
        <is>
          <t>Novembro</t>
        </is>
      </c>
      <c r="E321" s="10" t="inlineStr">
        <is>
          <t>2026-11</t>
        </is>
      </c>
      <c r="F321" s="10" t="inlineStr">
        <is>
          <t>T4</t>
        </is>
      </c>
      <c r="G321" s="10" t="inlineStr">
        <is>
          <t>Monday</t>
        </is>
      </c>
    </row>
    <row r="322">
      <c r="A322" s="12" t="n">
        <v>46343</v>
      </c>
      <c r="B322" s="10" t="n">
        <v>2026</v>
      </c>
      <c r="C322" s="10" t="n">
        <v>11</v>
      </c>
      <c r="D322" s="10" t="inlineStr">
        <is>
          <t>Novembro</t>
        </is>
      </c>
      <c r="E322" s="10" t="inlineStr">
        <is>
          <t>2026-11</t>
        </is>
      </c>
      <c r="F322" s="10" t="inlineStr">
        <is>
          <t>T4</t>
        </is>
      </c>
      <c r="G322" s="10" t="inlineStr">
        <is>
          <t>Tuesday</t>
        </is>
      </c>
    </row>
    <row r="323">
      <c r="A323" s="12" t="n">
        <v>46344</v>
      </c>
      <c r="B323" s="10" t="n">
        <v>2026</v>
      </c>
      <c r="C323" s="10" t="n">
        <v>11</v>
      </c>
      <c r="D323" s="10" t="inlineStr">
        <is>
          <t>Novembro</t>
        </is>
      </c>
      <c r="E323" s="10" t="inlineStr">
        <is>
          <t>2026-11</t>
        </is>
      </c>
      <c r="F323" s="10" t="inlineStr">
        <is>
          <t>T4</t>
        </is>
      </c>
      <c r="G323" s="10" t="inlineStr">
        <is>
          <t>Wednesday</t>
        </is>
      </c>
    </row>
    <row r="324">
      <c r="A324" s="12" t="n">
        <v>46345</v>
      </c>
      <c r="B324" s="10" t="n">
        <v>2026</v>
      </c>
      <c r="C324" s="10" t="n">
        <v>11</v>
      </c>
      <c r="D324" s="10" t="inlineStr">
        <is>
          <t>Novembro</t>
        </is>
      </c>
      <c r="E324" s="10" t="inlineStr">
        <is>
          <t>2026-11</t>
        </is>
      </c>
      <c r="F324" s="10" t="inlineStr">
        <is>
          <t>T4</t>
        </is>
      </c>
      <c r="G324" s="10" t="inlineStr">
        <is>
          <t>Thursday</t>
        </is>
      </c>
    </row>
    <row r="325">
      <c r="A325" s="12" t="n">
        <v>46346</v>
      </c>
      <c r="B325" s="10" t="n">
        <v>2026</v>
      </c>
      <c r="C325" s="10" t="n">
        <v>11</v>
      </c>
      <c r="D325" s="10" t="inlineStr">
        <is>
          <t>Novembro</t>
        </is>
      </c>
      <c r="E325" s="10" t="inlineStr">
        <is>
          <t>2026-11</t>
        </is>
      </c>
      <c r="F325" s="10" t="inlineStr">
        <is>
          <t>T4</t>
        </is>
      </c>
      <c r="G325" s="10" t="inlineStr">
        <is>
          <t>Friday</t>
        </is>
      </c>
    </row>
    <row r="326">
      <c r="A326" s="12" t="n">
        <v>46347</v>
      </c>
      <c r="B326" s="10" t="n">
        <v>2026</v>
      </c>
      <c r="C326" s="10" t="n">
        <v>11</v>
      </c>
      <c r="D326" s="10" t="inlineStr">
        <is>
          <t>Novembro</t>
        </is>
      </c>
      <c r="E326" s="10" t="inlineStr">
        <is>
          <t>2026-11</t>
        </is>
      </c>
      <c r="F326" s="10" t="inlineStr">
        <is>
          <t>T4</t>
        </is>
      </c>
      <c r="G326" s="10" t="inlineStr">
        <is>
          <t>Saturday</t>
        </is>
      </c>
    </row>
    <row r="327">
      <c r="A327" s="12" t="n">
        <v>46348</v>
      </c>
      <c r="B327" s="10" t="n">
        <v>2026</v>
      </c>
      <c r="C327" s="10" t="n">
        <v>11</v>
      </c>
      <c r="D327" s="10" t="inlineStr">
        <is>
          <t>Novembro</t>
        </is>
      </c>
      <c r="E327" s="10" t="inlineStr">
        <is>
          <t>2026-11</t>
        </is>
      </c>
      <c r="F327" s="10" t="inlineStr">
        <is>
          <t>T4</t>
        </is>
      </c>
      <c r="G327" s="10" t="inlineStr">
        <is>
          <t>Sunday</t>
        </is>
      </c>
    </row>
    <row r="328">
      <c r="A328" s="12" t="n">
        <v>46349</v>
      </c>
      <c r="B328" s="10" t="n">
        <v>2026</v>
      </c>
      <c r="C328" s="10" t="n">
        <v>11</v>
      </c>
      <c r="D328" s="10" t="inlineStr">
        <is>
          <t>Novembro</t>
        </is>
      </c>
      <c r="E328" s="10" t="inlineStr">
        <is>
          <t>2026-11</t>
        </is>
      </c>
      <c r="F328" s="10" t="inlineStr">
        <is>
          <t>T4</t>
        </is>
      </c>
      <c r="G328" s="10" t="inlineStr">
        <is>
          <t>Monday</t>
        </is>
      </c>
    </row>
    <row r="329">
      <c r="A329" s="12" t="n">
        <v>46350</v>
      </c>
      <c r="B329" s="10" t="n">
        <v>2026</v>
      </c>
      <c r="C329" s="10" t="n">
        <v>11</v>
      </c>
      <c r="D329" s="10" t="inlineStr">
        <is>
          <t>Novembro</t>
        </is>
      </c>
      <c r="E329" s="10" t="inlineStr">
        <is>
          <t>2026-11</t>
        </is>
      </c>
      <c r="F329" s="10" t="inlineStr">
        <is>
          <t>T4</t>
        </is>
      </c>
      <c r="G329" s="10" t="inlineStr">
        <is>
          <t>Tuesday</t>
        </is>
      </c>
    </row>
    <row r="330">
      <c r="A330" s="12" t="n">
        <v>46351</v>
      </c>
      <c r="B330" s="10" t="n">
        <v>2026</v>
      </c>
      <c r="C330" s="10" t="n">
        <v>11</v>
      </c>
      <c r="D330" s="10" t="inlineStr">
        <is>
          <t>Novembro</t>
        </is>
      </c>
      <c r="E330" s="10" t="inlineStr">
        <is>
          <t>2026-11</t>
        </is>
      </c>
      <c r="F330" s="10" t="inlineStr">
        <is>
          <t>T4</t>
        </is>
      </c>
      <c r="G330" s="10" t="inlineStr">
        <is>
          <t>Wednesday</t>
        </is>
      </c>
    </row>
    <row r="331">
      <c r="A331" s="12" t="n">
        <v>46352</v>
      </c>
      <c r="B331" s="10" t="n">
        <v>2026</v>
      </c>
      <c r="C331" s="10" t="n">
        <v>11</v>
      </c>
      <c r="D331" s="10" t="inlineStr">
        <is>
          <t>Novembro</t>
        </is>
      </c>
      <c r="E331" s="10" t="inlineStr">
        <is>
          <t>2026-11</t>
        </is>
      </c>
      <c r="F331" s="10" t="inlineStr">
        <is>
          <t>T4</t>
        </is>
      </c>
      <c r="G331" s="10" t="inlineStr">
        <is>
          <t>Thursday</t>
        </is>
      </c>
    </row>
    <row r="332">
      <c r="A332" s="12" t="n">
        <v>46353</v>
      </c>
      <c r="B332" s="10" t="n">
        <v>2026</v>
      </c>
      <c r="C332" s="10" t="n">
        <v>11</v>
      </c>
      <c r="D332" s="10" t="inlineStr">
        <is>
          <t>Novembro</t>
        </is>
      </c>
      <c r="E332" s="10" t="inlineStr">
        <is>
          <t>2026-11</t>
        </is>
      </c>
      <c r="F332" s="10" t="inlineStr">
        <is>
          <t>T4</t>
        </is>
      </c>
      <c r="G332" s="10" t="inlineStr">
        <is>
          <t>Friday</t>
        </is>
      </c>
    </row>
    <row r="333">
      <c r="A333" s="12" t="n">
        <v>46354</v>
      </c>
      <c r="B333" s="10" t="n">
        <v>2026</v>
      </c>
      <c r="C333" s="10" t="n">
        <v>11</v>
      </c>
      <c r="D333" s="10" t="inlineStr">
        <is>
          <t>Novembro</t>
        </is>
      </c>
      <c r="E333" s="10" t="inlineStr">
        <is>
          <t>2026-11</t>
        </is>
      </c>
      <c r="F333" s="10" t="inlineStr">
        <is>
          <t>T4</t>
        </is>
      </c>
      <c r="G333" s="10" t="inlineStr">
        <is>
          <t>Saturday</t>
        </is>
      </c>
    </row>
    <row r="334">
      <c r="A334" s="12" t="n">
        <v>46355</v>
      </c>
      <c r="B334" s="10" t="n">
        <v>2026</v>
      </c>
      <c r="C334" s="10" t="n">
        <v>11</v>
      </c>
      <c r="D334" s="10" t="inlineStr">
        <is>
          <t>Novembro</t>
        </is>
      </c>
      <c r="E334" s="10" t="inlineStr">
        <is>
          <t>2026-11</t>
        </is>
      </c>
      <c r="F334" s="10" t="inlineStr">
        <is>
          <t>T4</t>
        </is>
      </c>
      <c r="G334" s="10" t="inlineStr">
        <is>
          <t>Sunday</t>
        </is>
      </c>
    </row>
    <row r="335">
      <c r="A335" s="12" t="n">
        <v>46356</v>
      </c>
      <c r="B335" s="10" t="n">
        <v>2026</v>
      </c>
      <c r="C335" s="10" t="n">
        <v>11</v>
      </c>
      <c r="D335" s="10" t="inlineStr">
        <is>
          <t>Novembro</t>
        </is>
      </c>
      <c r="E335" s="10" t="inlineStr">
        <is>
          <t>2026-11</t>
        </is>
      </c>
      <c r="F335" s="10" t="inlineStr">
        <is>
          <t>T4</t>
        </is>
      </c>
      <c r="G335" s="10" t="inlineStr">
        <is>
          <t>Monday</t>
        </is>
      </c>
    </row>
    <row r="336">
      <c r="A336" s="12" t="n">
        <v>46357</v>
      </c>
      <c r="B336" s="10" t="n">
        <v>2026</v>
      </c>
      <c r="C336" s="10" t="n">
        <v>12</v>
      </c>
      <c r="D336" s="10" t="inlineStr">
        <is>
          <t>Dezembro</t>
        </is>
      </c>
      <c r="E336" s="10" t="inlineStr">
        <is>
          <t>2026-12</t>
        </is>
      </c>
      <c r="F336" s="10" t="inlineStr">
        <is>
          <t>T4</t>
        </is>
      </c>
      <c r="G336" s="10" t="inlineStr">
        <is>
          <t>Tuesday</t>
        </is>
      </c>
    </row>
    <row r="337">
      <c r="A337" s="12" t="n">
        <v>46358</v>
      </c>
      <c r="B337" s="10" t="n">
        <v>2026</v>
      </c>
      <c r="C337" s="10" t="n">
        <v>12</v>
      </c>
      <c r="D337" s="10" t="inlineStr">
        <is>
          <t>Dezembro</t>
        </is>
      </c>
      <c r="E337" s="10" t="inlineStr">
        <is>
          <t>2026-12</t>
        </is>
      </c>
      <c r="F337" s="10" t="inlineStr">
        <is>
          <t>T4</t>
        </is>
      </c>
      <c r="G337" s="10" t="inlineStr">
        <is>
          <t>Wednesday</t>
        </is>
      </c>
    </row>
    <row r="338">
      <c r="A338" s="12" t="n">
        <v>46359</v>
      </c>
      <c r="B338" s="10" t="n">
        <v>2026</v>
      </c>
      <c r="C338" s="10" t="n">
        <v>12</v>
      </c>
      <c r="D338" s="10" t="inlineStr">
        <is>
          <t>Dezembro</t>
        </is>
      </c>
      <c r="E338" s="10" t="inlineStr">
        <is>
          <t>2026-12</t>
        </is>
      </c>
      <c r="F338" s="10" t="inlineStr">
        <is>
          <t>T4</t>
        </is>
      </c>
      <c r="G338" s="10" t="inlineStr">
        <is>
          <t>Thursday</t>
        </is>
      </c>
    </row>
    <row r="339">
      <c r="A339" s="12" t="n">
        <v>46360</v>
      </c>
      <c r="B339" s="10" t="n">
        <v>2026</v>
      </c>
      <c r="C339" s="10" t="n">
        <v>12</v>
      </c>
      <c r="D339" s="10" t="inlineStr">
        <is>
          <t>Dezembro</t>
        </is>
      </c>
      <c r="E339" s="10" t="inlineStr">
        <is>
          <t>2026-12</t>
        </is>
      </c>
      <c r="F339" s="10" t="inlineStr">
        <is>
          <t>T4</t>
        </is>
      </c>
      <c r="G339" s="10" t="inlineStr">
        <is>
          <t>Friday</t>
        </is>
      </c>
    </row>
    <row r="340">
      <c r="A340" s="12" t="n">
        <v>46361</v>
      </c>
      <c r="B340" s="10" t="n">
        <v>2026</v>
      </c>
      <c r="C340" s="10" t="n">
        <v>12</v>
      </c>
      <c r="D340" s="10" t="inlineStr">
        <is>
          <t>Dezembro</t>
        </is>
      </c>
      <c r="E340" s="10" t="inlineStr">
        <is>
          <t>2026-12</t>
        </is>
      </c>
      <c r="F340" s="10" t="inlineStr">
        <is>
          <t>T4</t>
        </is>
      </c>
      <c r="G340" s="10" t="inlineStr">
        <is>
          <t>Saturday</t>
        </is>
      </c>
    </row>
    <row r="341">
      <c r="A341" s="12" t="n">
        <v>46362</v>
      </c>
      <c r="B341" s="10" t="n">
        <v>2026</v>
      </c>
      <c r="C341" s="10" t="n">
        <v>12</v>
      </c>
      <c r="D341" s="10" t="inlineStr">
        <is>
          <t>Dezembro</t>
        </is>
      </c>
      <c r="E341" s="10" t="inlineStr">
        <is>
          <t>2026-12</t>
        </is>
      </c>
      <c r="F341" s="10" t="inlineStr">
        <is>
          <t>T4</t>
        </is>
      </c>
      <c r="G341" s="10" t="inlineStr">
        <is>
          <t>Sunday</t>
        </is>
      </c>
    </row>
    <row r="342">
      <c r="A342" s="12" t="n">
        <v>46363</v>
      </c>
      <c r="B342" s="10" t="n">
        <v>2026</v>
      </c>
      <c r="C342" s="10" t="n">
        <v>12</v>
      </c>
      <c r="D342" s="10" t="inlineStr">
        <is>
          <t>Dezembro</t>
        </is>
      </c>
      <c r="E342" s="10" t="inlineStr">
        <is>
          <t>2026-12</t>
        </is>
      </c>
      <c r="F342" s="10" t="inlineStr">
        <is>
          <t>T4</t>
        </is>
      </c>
      <c r="G342" s="10" t="inlineStr">
        <is>
          <t>Monday</t>
        </is>
      </c>
    </row>
    <row r="343">
      <c r="A343" s="12" t="n">
        <v>46364</v>
      </c>
      <c r="B343" s="10" t="n">
        <v>2026</v>
      </c>
      <c r="C343" s="10" t="n">
        <v>12</v>
      </c>
      <c r="D343" s="10" t="inlineStr">
        <is>
          <t>Dezembro</t>
        </is>
      </c>
      <c r="E343" s="10" t="inlineStr">
        <is>
          <t>2026-12</t>
        </is>
      </c>
      <c r="F343" s="10" t="inlineStr">
        <is>
          <t>T4</t>
        </is>
      </c>
      <c r="G343" s="10" t="inlineStr">
        <is>
          <t>Tuesday</t>
        </is>
      </c>
    </row>
    <row r="344">
      <c r="A344" s="12" t="n">
        <v>46365</v>
      </c>
      <c r="B344" s="10" t="n">
        <v>2026</v>
      </c>
      <c r="C344" s="10" t="n">
        <v>12</v>
      </c>
      <c r="D344" s="10" t="inlineStr">
        <is>
          <t>Dezembro</t>
        </is>
      </c>
      <c r="E344" s="10" t="inlineStr">
        <is>
          <t>2026-12</t>
        </is>
      </c>
      <c r="F344" s="10" t="inlineStr">
        <is>
          <t>T4</t>
        </is>
      </c>
      <c r="G344" s="10" t="inlineStr">
        <is>
          <t>Wednesday</t>
        </is>
      </c>
    </row>
    <row r="345">
      <c r="A345" s="12" t="n">
        <v>46366</v>
      </c>
      <c r="B345" s="10" t="n">
        <v>2026</v>
      </c>
      <c r="C345" s="10" t="n">
        <v>12</v>
      </c>
      <c r="D345" s="10" t="inlineStr">
        <is>
          <t>Dezembro</t>
        </is>
      </c>
      <c r="E345" s="10" t="inlineStr">
        <is>
          <t>2026-12</t>
        </is>
      </c>
      <c r="F345" s="10" t="inlineStr">
        <is>
          <t>T4</t>
        </is>
      </c>
      <c r="G345" s="10" t="inlineStr">
        <is>
          <t>Thursday</t>
        </is>
      </c>
    </row>
    <row r="346">
      <c r="A346" s="12" t="n">
        <v>46367</v>
      </c>
      <c r="B346" s="10" t="n">
        <v>2026</v>
      </c>
      <c r="C346" s="10" t="n">
        <v>12</v>
      </c>
      <c r="D346" s="10" t="inlineStr">
        <is>
          <t>Dezembro</t>
        </is>
      </c>
      <c r="E346" s="10" t="inlineStr">
        <is>
          <t>2026-12</t>
        </is>
      </c>
      <c r="F346" s="10" t="inlineStr">
        <is>
          <t>T4</t>
        </is>
      </c>
      <c r="G346" s="10" t="inlineStr">
        <is>
          <t>Friday</t>
        </is>
      </c>
    </row>
    <row r="347">
      <c r="A347" s="12" t="n">
        <v>46368</v>
      </c>
      <c r="B347" s="10" t="n">
        <v>2026</v>
      </c>
      <c r="C347" s="10" t="n">
        <v>12</v>
      </c>
      <c r="D347" s="10" t="inlineStr">
        <is>
          <t>Dezembro</t>
        </is>
      </c>
      <c r="E347" s="10" t="inlineStr">
        <is>
          <t>2026-12</t>
        </is>
      </c>
      <c r="F347" s="10" t="inlineStr">
        <is>
          <t>T4</t>
        </is>
      </c>
      <c r="G347" s="10" t="inlineStr">
        <is>
          <t>Saturday</t>
        </is>
      </c>
    </row>
    <row r="348">
      <c r="A348" s="12" t="n">
        <v>46369</v>
      </c>
      <c r="B348" s="10" t="n">
        <v>2026</v>
      </c>
      <c r="C348" s="10" t="n">
        <v>12</v>
      </c>
      <c r="D348" s="10" t="inlineStr">
        <is>
          <t>Dezembro</t>
        </is>
      </c>
      <c r="E348" s="10" t="inlineStr">
        <is>
          <t>2026-12</t>
        </is>
      </c>
      <c r="F348" s="10" t="inlineStr">
        <is>
          <t>T4</t>
        </is>
      </c>
      <c r="G348" s="10" t="inlineStr">
        <is>
          <t>Sunday</t>
        </is>
      </c>
    </row>
    <row r="349">
      <c r="A349" s="12" t="n">
        <v>46370</v>
      </c>
      <c r="B349" s="10" t="n">
        <v>2026</v>
      </c>
      <c r="C349" s="10" t="n">
        <v>12</v>
      </c>
      <c r="D349" s="10" t="inlineStr">
        <is>
          <t>Dezembro</t>
        </is>
      </c>
      <c r="E349" s="10" t="inlineStr">
        <is>
          <t>2026-12</t>
        </is>
      </c>
      <c r="F349" s="10" t="inlineStr">
        <is>
          <t>T4</t>
        </is>
      </c>
      <c r="G349" s="10" t="inlineStr">
        <is>
          <t>Monday</t>
        </is>
      </c>
    </row>
    <row r="350">
      <c r="A350" s="12" t="n">
        <v>46371</v>
      </c>
      <c r="B350" s="10" t="n">
        <v>2026</v>
      </c>
      <c r="C350" s="10" t="n">
        <v>12</v>
      </c>
      <c r="D350" s="10" t="inlineStr">
        <is>
          <t>Dezembro</t>
        </is>
      </c>
      <c r="E350" s="10" t="inlineStr">
        <is>
          <t>2026-12</t>
        </is>
      </c>
      <c r="F350" s="10" t="inlineStr">
        <is>
          <t>T4</t>
        </is>
      </c>
      <c r="G350" s="10" t="inlineStr">
        <is>
          <t>Tuesday</t>
        </is>
      </c>
    </row>
    <row r="351">
      <c r="A351" s="12" t="n">
        <v>46372</v>
      </c>
      <c r="B351" s="10" t="n">
        <v>2026</v>
      </c>
      <c r="C351" s="10" t="n">
        <v>12</v>
      </c>
      <c r="D351" s="10" t="inlineStr">
        <is>
          <t>Dezembro</t>
        </is>
      </c>
      <c r="E351" s="10" t="inlineStr">
        <is>
          <t>2026-12</t>
        </is>
      </c>
      <c r="F351" s="10" t="inlineStr">
        <is>
          <t>T4</t>
        </is>
      </c>
      <c r="G351" s="10" t="inlineStr">
        <is>
          <t>Wednesday</t>
        </is>
      </c>
    </row>
    <row r="352">
      <c r="A352" s="12" t="n">
        <v>46373</v>
      </c>
      <c r="B352" s="10" t="n">
        <v>2026</v>
      </c>
      <c r="C352" s="10" t="n">
        <v>12</v>
      </c>
      <c r="D352" s="10" t="inlineStr">
        <is>
          <t>Dezembro</t>
        </is>
      </c>
      <c r="E352" s="10" t="inlineStr">
        <is>
          <t>2026-12</t>
        </is>
      </c>
      <c r="F352" s="10" t="inlineStr">
        <is>
          <t>T4</t>
        </is>
      </c>
      <c r="G352" s="10" t="inlineStr">
        <is>
          <t>Thursday</t>
        </is>
      </c>
    </row>
    <row r="353">
      <c r="A353" s="12" t="n">
        <v>46374</v>
      </c>
      <c r="B353" s="10" t="n">
        <v>2026</v>
      </c>
      <c r="C353" s="10" t="n">
        <v>12</v>
      </c>
      <c r="D353" s="10" t="inlineStr">
        <is>
          <t>Dezembro</t>
        </is>
      </c>
      <c r="E353" s="10" t="inlineStr">
        <is>
          <t>2026-12</t>
        </is>
      </c>
      <c r="F353" s="10" t="inlineStr">
        <is>
          <t>T4</t>
        </is>
      </c>
      <c r="G353" s="10" t="inlineStr">
        <is>
          <t>Friday</t>
        </is>
      </c>
    </row>
    <row r="354">
      <c r="A354" s="12" t="n">
        <v>46375</v>
      </c>
      <c r="B354" s="10" t="n">
        <v>2026</v>
      </c>
      <c r="C354" s="10" t="n">
        <v>12</v>
      </c>
      <c r="D354" s="10" t="inlineStr">
        <is>
          <t>Dezembro</t>
        </is>
      </c>
      <c r="E354" s="10" t="inlineStr">
        <is>
          <t>2026-12</t>
        </is>
      </c>
      <c r="F354" s="10" t="inlineStr">
        <is>
          <t>T4</t>
        </is>
      </c>
      <c r="G354" s="10" t="inlineStr">
        <is>
          <t>Saturday</t>
        </is>
      </c>
    </row>
    <row r="355">
      <c r="A355" s="12" t="n">
        <v>46376</v>
      </c>
      <c r="B355" s="10" t="n">
        <v>2026</v>
      </c>
      <c r="C355" s="10" t="n">
        <v>12</v>
      </c>
      <c r="D355" s="10" t="inlineStr">
        <is>
          <t>Dezembro</t>
        </is>
      </c>
      <c r="E355" s="10" t="inlineStr">
        <is>
          <t>2026-12</t>
        </is>
      </c>
      <c r="F355" s="10" t="inlineStr">
        <is>
          <t>T4</t>
        </is>
      </c>
      <c r="G355" s="10" t="inlineStr">
        <is>
          <t>Sunday</t>
        </is>
      </c>
    </row>
    <row r="356">
      <c r="A356" s="12" t="n">
        <v>46377</v>
      </c>
      <c r="B356" s="10" t="n">
        <v>2026</v>
      </c>
      <c r="C356" s="10" t="n">
        <v>12</v>
      </c>
      <c r="D356" s="10" t="inlineStr">
        <is>
          <t>Dezembro</t>
        </is>
      </c>
      <c r="E356" s="10" t="inlineStr">
        <is>
          <t>2026-12</t>
        </is>
      </c>
      <c r="F356" s="10" t="inlineStr">
        <is>
          <t>T4</t>
        </is>
      </c>
      <c r="G356" s="10" t="inlineStr">
        <is>
          <t>Monday</t>
        </is>
      </c>
    </row>
    <row r="357">
      <c r="A357" s="12" t="n">
        <v>46378</v>
      </c>
      <c r="B357" s="10" t="n">
        <v>2026</v>
      </c>
      <c r="C357" s="10" t="n">
        <v>12</v>
      </c>
      <c r="D357" s="10" t="inlineStr">
        <is>
          <t>Dezembro</t>
        </is>
      </c>
      <c r="E357" s="10" t="inlineStr">
        <is>
          <t>2026-12</t>
        </is>
      </c>
      <c r="F357" s="10" t="inlineStr">
        <is>
          <t>T4</t>
        </is>
      </c>
      <c r="G357" s="10" t="inlineStr">
        <is>
          <t>Tuesday</t>
        </is>
      </c>
    </row>
    <row r="358">
      <c r="A358" s="12" t="n">
        <v>46379</v>
      </c>
      <c r="B358" s="10" t="n">
        <v>2026</v>
      </c>
      <c r="C358" s="10" t="n">
        <v>12</v>
      </c>
      <c r="D358" s="10" t="inlineStr">
        <is>
          <t>Dezembro</t>
        </is>
      </c>
      <c r="E358" s="10" t="inlineStr">
        <is>
          <t>2026-12</t>
        </is>
      </c>
      <c r="F358" s="10" t="inlineStr">
        <is>
          <t>T4</t>
        </is>
      </c>
      <c r="G358" s="10" t="inlineStr">
        <is>
          <t>Wednesday</t>
        </is>
      </c>
    </row>
    <row r="359">
      <c r="A359" s="12" t="n">
        <v>46380</v>
      </c>
      <c r="B359" s="10" t="n">
        <v>2026</v>
      </c>
      <c r="C359" s="10" t="n">
        <v>12</v>
      </c>
      <c r="D359" s="10" t="inlineStr">
        <is>
          <t>Dezembro</t>
        </is>
      </c>
      <c r="E359" s="10" t="inlineStr">
        <is>
          <t>2026-12</t>
        </is>
      </c>
      <c r="F359" s="10" t="inlineStr">
        <is>
          <t>T4</t>
        </is>
      </c>
      <c r="G359" s="10" t="inlineStr">
        <is>
          <t>Thursday</t>
        </is>
      </c>
    </row>
    <row r="360">
      <c r="A360" s="12" t="n">
        <v>46381</v>
      </c>
      <c r="B360" s="10" t="n">
        <v>2026</v>
      </c>
      <c r="C360" s="10" t="n">
        <v>12</v>
      </c>
      <c r="D360" s="10" t="inlineStr">
        <is>
          <t>Dezembro</t>
        </is>
      </c>
      <c r="E360" s="10" t="inlineStr">
        <is>
          <t>2026-12</t>
        </is>
      </c>
      <c r="F360" s="10" t="inlineStr">
        <is>
          <t>T4</t>
        </is>
      </c>
      <c r="G360" s="10" t="inlineStr">
        <is>
          <t>Friday</t>
        </is>
      </c>
    </row>
    <row r="361">
      <c r="A361" s="12" t="n">
        <v>46382</v>
      </c>
      <c r="B361" s="10" t="n">
        <v>2026</v>
      </c>
      <c r="C361" s="10" t="n">
        <v>12</v>
      </c>
      <c r="D361" s="10" t="inlineStr">
        <is>
          <t>Dezembro</t>
        </is>
      </c>
      <c r="E361" s="10" t="inlineStr">
        <is>
          <t>2026-12</t>
        </is>
      </c>
      <c r="F361" s="10" t="inlineStr">
        <is>
          <t>T4</t>
        </is>
      </c>
      <c r="G361" s="10" t="inlineStr">
        <is>
          <t>Saturday</t>
        </is>
      </c>
    </row>
    <row r="362">
      <c r="A362" s="12" t="n">
        <v>46383</v>
      </c>
      <c r="B362" s="10" t="n">
        <v>2026</v>
      </c>
      <c r="C362" s="10" t="n">
        <v>12</v>
      </c>
      <c r="D362" s="10" t="inlineStr">
        <is>
          <t>Dezembro</t>
        </is>
      </c>
      <c r="E362" s="10" t="inlineStr">
        <is>
          <t>2026-12</t>
        </is>
      </c>
      <c r="F362" s="10" t="inlineStr">
        <is>
          <t>T4</t>
        </is>
      </c>
      <c r="G362" s="10" t="inlineStr">
        <is>
          <t>Sunday</t>
        </is>
      </c>
    </row>
    <row r="363">
      <c r="A363" s="12" t="n">
        <v>46384</v>
      </c>
      <c r="B363" s="10" t="n">
        <v>2026</v>
      </c>
      <c r="C363" s="10" t="n">
        <v>12</v>
      </c>
      <c r="D363" s="10" t="inlineStr">
        <is>
          <t>Dezembro</t>
        </is>
      </c>
      <c r="E363" s="10" t="inlineStr">
        <is>
          <t>2026-12</t>
        </is>
      </c>
      <c r="F363" s="10" t="inlineStr">
        <is>
          <t>T4</t>
        </is>
      </c>
      <c r="G363" s="10" t="inlineStr">
        <is>
          <t>Monday</t>
        </is>
      </c>
    </row>
    <row r="364">
      <c r="A364" s="12" t="n">
        <v>46385</v>
      </c>
      <c r="B364" s="10" t="n">
        <v>2026</v>
      </c>
      <c r="C364" s="10" t="n">
        <v>12</v>
      </c>
      <c r="D364" s="10" t="inlineStr">
        <is>
          <t>Dezembro</t>
        </is>
      </c>
      <c r="E364" s="10" t="inlineStr">
        <is>
          <t>2026-12</t>
        </is>
      </c>
      <c r="F364" s="10" t="inlineStr">
        <is>
          <t>T4</t>
        </is>
      </c>
      <c r="G364" s="10" t="inlineStr">
        <is>
          <t>Tuesday</t>
        </is>
      </c>
    </row>
    <row r="365">
      <c r="A365" s="12" t="n">
        <v>46386</v>
      </c>
      <c r="B365" s="10" t="n">
        <v>2026</v>
      </c>
      <c r="C365" s="10" t="n">
        <v>12</v>
      </c>
      <c r="D365" s="10" t="inlineStr">
        <is>
          <t>Dezembro</t>
        </is>
      </c>
      <c r="E365" s="10" t="inlineStr">
        <is>
          <t>2026-12</t>
        </is>
      </c>
      <c r="F365" s="10" t="inlineStr">
        <is>
          <t>T4</t>
        </is>
      </c>
      <c r="G365" s="10" t="inlineStr">
        <is>
          <t>Wednesday</t>
        </is>
      </c>
    </row>
    <row r="366">
      <c r="A366" s="12" t="n">
        <v>46387</v>
      </c>
      <c r="B366" s="10" t="n">
        <v>2026</v>
      </c>
      <c r="C366" s="10" t="n">
        <v>12</v>
      </c>
      <c r="D366" s="10" t="inlineStr">
        <is>
          <t>Dezembro</t>
        </is>
      </c>
      <c r="E366" s="10" t="inlineStr">
        <is>
          <t>2026-12</t>
        </is>
      </c>
      <c r="F366" s="10" t="inlineStr">
        <is>
          <t>T4</t>
        </is>
      </c>
      <c r="G366" s="10" t="inlineStr">
        <is>
          <t>Thursday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F6F6B"/>
    <outlinePr summaryBelow="1" summaryRight="1"/>
    <pageSetUpPr/>
  </sheetPr>
  <dimension ref="A1:R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2" customWidth="1" min="2" max="2"/>
    <col width="9" customWidth="1" min="3" max="3"/>
    <col width="15" customWidth="1" min="4" max="4"/>
    <col width="13" customWidth="1" min="5" max="5"/>
    <col width="24" customWidth="1" min="6" max="6"/>
    <col width="22" customWidth="1" min="7" max="7"/>
    <col width="12" customWidth="1" min="8" max="8"/>
    <col width="42" customWidth="1" min="9" max="9"/>
    <col width="8" customWidth="1" min="10" max="10"/>
    <col width="11" customWidth="1" min="11" max="11"/>
    <col width="9" customWidth="1" min="12" max="12"/>
    <col width="10" customWidth="1" min="13" max="13"/>
    <col width="10" customWidth="1" min="14" max="14"/>
    <col width="12" customWidth="1" min="15" max="15"/>
    <col width="11" customWidth="1" min="16" max="16"/>
    <col width="11" customWidth="1" min="17" max="17"/>
    <col width="10" customWidth="1" min="18" max="18"/>
  </cols>
  <sheetData>
    <row r="1">
      <c r="A1" s="9" t="inlineStr">
        <is>
          <t>Data</t>
        </is>
      </c>
      <c r="B1" s="9" t="inlineStr">
        <is>
          <t>Data_Inicio</t>
        </is>
      </c>
      <c r="C1" s="9" t="inlineStr">
        <is>
          <t>RDO</t>
        </is>
      </c>
      <c r="D1" s="9" t="inlineStr">
        <is>
          <t>Contrato</t>
        </is>
      </c>
      <c r="E1" s="9" t="inlineStr">
        <is>
          <t>Distrito</t>
        </is>
      </c>
      <c r="F1" s="9" t="inlineStr">
        <is>
          <t>Equipe</t>
        </is>
      </c>
      <c r="G1" s="9" t="inlineStr">
        <is>
          <t>Colaborador</t>
        </is>
      </c>
      <c r="H1" s="9" t="inlineStr">
        <is>
          <t>Atividade_Codigo</t>
        </is>
      </c>
      <c r="I1" s="9" t="inlineStr">
        <is>
          <t>Atividade_Descricao</t>
        </is>
      </c>
      <c r="J1" s="9" t="inlineStr">
        <is>
          <t>Unidade</t>
        </is>
      </c>
      <c r="K1" s="9" t="inlineStr">
        <is>
          <t>Producao</t>
        </is>
      </c>
      <c r="L1" s="9" t="inlineStr">
        <is>
          <t>Mao_Obra_Direta</t>
        </is>
      </c>
      <c r="M1" s="9" t="inlineStr">
        <is>
          <t>PUS_Referencia</t>
        </is>
      </c>
      <c r="N1" s="9" t="inlineStr">
        <is>
          <t>PUS_Sistema</t>
        </is>
      </c>
      <c r="O1" s="9" t="inlineStr">
        <is>
          <t>Horas_Trabalhadas</t>
        </is>
      </c>
      <c r="P1" s="9" t="inlineStr">
        <is>
          <t>PUS_Calculado</t>
        </is>
      </c>
      <c r="Q1" s="9" t="inlineStr">
        <is>
          <t>Eficiencia_Calculada</t>
        </is>
      </c>
      <c r="R1" s="9" t="inlineStr">
        <is>
          <t>Homens_Hora</t>
        </is>
      </c>
    </row>
    <row r="2">
      <c r="A2" s="12" t="n">
        <v>46156</v>
      </c>
      <c r="B2" s="12" t="n">
        <v>46157</v>
      </c>
      <c r="C2" s="10" t="inlineStr">
        <is>
          <t>RDO285</t>
        </is>
      </c>
      <c r="D2" s="10" t="inlineStr">
        <is>
          <t>ENGECOM PARA</t>
        </is>
      </c>
      <c r="E2" s="10" t="inlineStr">
        <is>
          <t>Marabá</t>
        </is>
      </c>
      <c r="F2" s="10" t="inlineStr">
        <is>
          <t>Preventiva MARABA</t>
        </is>
      </c>
      <c r="G2" s="10" t="inlineStr">
        <is>
          <t>Jose Domingos Lopes</t>
        </is>
      </c>
      <c r="H2" s="10" t="inlineStr">
        <is>
          <t>2.2.1</t>
        </is>
      </c>
      <c r="I2" s="10" t="inlineStr">
        <is>
          <t>Roçada</t>
        </is>
      </c>
      <c r="J2" s="10" t="inlineStr">
        <is>
          <t>M2</t>
        </is>
      </c>
      <c r="K2" s="13" t="n">
        <v>102</v>
      </c>
      <c r="L2" s="10" t="n">
        <v>2</v>
      </c>
      <c r="M2" s="13" t="n">
        <v>50</v>
      </c>
      <c r="N2" s="13" t="n">
        <v>12.75</v>
      </c>
      <c r="O2" s="13">
        <f>IF(N2=0,0,K2/(L2*N2))</f>
        <v/>
      </c>
      <c r="P2" s="13">
        <f>IF(O2=0,0,K2/(L2*O2))</f>
        <v/>
      </c>
      <c r="Q2" s="14">
        <f>IF(M2=0,0,P2/M2)</f>
        <v/>
      </c>
      <c r="R2" s="13">
        <f>L2*O2</f>
        <v/>
      </c>
    </row>
    <row r="3">
      <c r="A3" s="12" t="n">
        <v>46156</v>
      </c>
      <c r="B3" s="12" t="n">
        <v>46156</v>
      </c>
      <c r="C3" s="10" t="inlineStr">
        <is>
          <t>RDO285</t>
        </is>
      </c>
      <c r="D3" s="10" t="inlineStr">
        <is>
          <t>ENGECOM PARA</t>
        </is>
      </c>
      <c r="E3" s="10" t="inlineStr">
        <is>
          <t>Marabá</t>
        </is>
      </c>
      <c r="F3" s="10" t="inlineStr">
        <is>
          <t>Preventiva MARABA</t>
        </is>
      </c>
      <c r="G3" s="10" t="inlineStr">
        <is>
          <t>Jose Domingos Lopes</t>
        </is>
      </c>
      <c r="H3" s="10" t="inlineStr">
        <is>
          <t>2.2.1</t>
        </is>
      </c>
      <c r="I3" s="10" t="inlineStr">
        <is>
          <t>Roçada</t>
        </is>
      </c>
      <c r="J3" s="10" t="inlineStr">
        <is>
          <t>M2</t>
        </is>
      </c>
      <c r="K3" s="13" t="n">
        <v>3840.3</v>
      </c>
      <c r="L3" s="10" t="n">
        <v>5</v>
      </c>
      <c r="M3" s="13" t="n">
        <v>50</v>
      </c>
      <c r="N3" s="13" t="n">
        <v>230.418</v>
      </c>
      <c r="O3" s="13">
        <f>IF(N3=0,0,K3/(L3*N3))</f>
        <v/>
      </c>
      <c r="P3" s="13">
        <f>IF(O3=0,0,K3/(L3*O3))</f>
        <v/>
      </c>
      <c r="Q3" s="14">
        <f>IF(M3=0,0,P3/M3)</f>
        <v/>
      </c>
      <c r="R3" s="13">
        <f>L3*O3</f>
        <v/>
      </c>
    </row>
    <row r="4">
      <c r="A4" s="12" t="n">
        <v>46164</v>
      </c>
      <c r="B4" s="12" t="n">
        <v>46164</v>
      </c>
      <c r="C4" s="10" t="inlineStr">
        <is>
          <t>RDO286</t>
        </is>
      </c>
      <c r="D4" s="10" t="inlineStr">
        <is>
          <t>ENGECOM PARA</t>
        </is>
      </c>
      <c r="E4" s="10" t="inlineStr">
        <is>
          <t>Marabá</t>
        </is>
      </c>
      <c r="F4" s="10" t="inlineStr">
        <is>
          <t>Preventiva MARABA</t>
        </is>
      </c>
      <c r="G4" s="10" t="inlineStr">
        <is>
          <t>Jose Domingos Lopes</t>
        </is>
      </c>
      <c r="H4" s="10" t="inlineStr">
        <is>
          <t>2.2.5</t>
        </is>
      </c>
      <c r="I4" s="10" t="inlineStr">
        <is>
          <t>Remoção De Solo</t>
        </is>
      </c>
      <c r="J4" s="10" t="inlineStr">
        <is>
          <t>M3</t>
        </is>
      </c>
      <c r="K4" s="13" t="n">
        <v>60</v>
      </c>
      <c r="L4" s="10" t="n">
        <v>1</v>
      </c>
      <c r="M4" s="13" t="n">
        <v>28</v>
      </c>
      <c r="N4" s="13" t="n">
        <v>45</v>
      </c>
      <c r="O4" s="13">
        <f>IF(N4=0,0,K4/(L4*N4))</f>
        <v/>
      </c>
      <c r="P4" s="13">
        <f>IF(O4=0,0,K4/(L4*O4))</f>
        <v/>
      </c>
      <c r="Q4" s="14">
        <f>IF(M4=0,0,P4/M4)</f>
        <v/>
      </c>
      <c r="R4" s="13">
        <f>L4*O4</f>
        <v/>
      </c>
    </row>
    <row r="5">
      <c r="A5" s="12" t="n">
        <v>46164</v>
      </c>
      <c r="B5" s="12" t="n">
        <v>46164</v>
      </c>
      <c r="C5" s="10" t="inlineStr">
        <is>
          <t>RDO286</t>
        </is>
      </c>
      <c r="D5" s="10" t="inlineStr">
        <is>
          <t>ENGECOM PARA</t>
        </is>
      </c>
      <c r="E5" s="10" t="inlineStr">
        <is>
          <t>Marabá</t>
        </is>
      </c>
      <c r="F5" s="10" t="inlineStr">
        <is>
          <t>Preventiva MARABA</t>
        </is>
      </c>
      <c r="G5" s="10" t="inlineStr">
        <is>
          <t>Jose Domingos Lopes</t>
        </is>
      </c>
      <c r="H5" s="10" t="inlineStr">
        <is>
          <t>2.2.5</t>
        </is>
      </c>
      <c r="I5" s="10" t="inlineStr">
        <is>
          <t>Remoção De Solo</t>
        </is>
      </c>
      <c r="J5" s="10" t="inlineStr">
        <is>
          <t>M3</t>
        </is>
      </c>
      <c r="K5" s="13" t="n">
        <v>20</v>
      </c>
      <c r="L5" s="10" t="n">
        <v>1</v>
      </c>
      <c r="M5" s="13" t="n">
        <v>28</v>
      </c>
      <c r="N5" s="13" t="n">
        <v>8</v>
      </c>
      <c r="O5" s="13">
        <f>IF(N5=0,0,K5/(L5*N5))</f>
        <v/>
      </c>
      <c r="P5" s="13">
        <f>IF(O5=0,0,K5/(L5*O5))</f>
        <v/>
      </c>
      <c r="Q5" s="14">
        <f>IF(M5=0,0,P5/M5)</f>
        <v/>
      </c>
      <c r="R5" s="13">
        <f>L5*O5</f>
        <v/>
      </c>
    </row>
    <row r="6">
      <c r="A6" s="12" t="n">
        <v>46164</v>
      </c>
      <c r="B6" s="12" t="n">
        <v>46164</v>
      </c>
      <c r="C6" s="10" t="inlineStr">
        <is>
          <t>RDO286</t>
        </is>
      </c>
      <c r="D6" s="10" t="inlineStr">
        <is>
          <t>ENGECOM PARA</t>
        </is>
      </c>
      <c r="E6" s="10" t="inlineStr">
        <is>
          <t>Marabá</t>
        </is>
      </c>
      <c r="F6" s="10" t="inlineStr">
        <is>
          <t>Preventiva MARABA</t>
        </is>
      </c>
      <c r="G6" s="10" t="inlineStr">
        <is>
          <t>Jose Domingos Lopes</t>
        </is>
      </c>
      <c r="H6" s="10" t="inlineStr">
        <is>
          <t>2.1.4</t>
        </is>
      </c>
      <c r="I6" s="10" t="inlineStr">
        <is>
          <t>Limpeza De Canaleta Em Corte E Aterro Com Seção Plena</t>
        </is>
      </c>
      <c r="J6" s="10" t="inlineStr">
        <is>
          <t>M</t>
        </is>
      </c>
      <c r="K6" s="13" t="n">
        <v>81</v>
      </c>
      <c r="L6" s="10" t="n">
        <v>8</v>
      </c>
      <c r="M6" s="13" t="n">
        <v>2.82</v>
      </c>
      <c r="N6" s="13" t="n">
        <v>3.57352941176471</v>
      </c>
      <c r="O6" s="13">
        <f>IF(N6=0,0,K6/(L6*N6))</f>
        <v/>
      </c>
      <c r="P6" s="13">
        <f>IF(O6=0,0,K6/(L6*O6))</f>
        <v/>
      </c>
      <c r="Q6" s="14">
        <f>IF(M6=0,0,P6/M6)</f>
        <v/>
      </c>
      <c r="R6" s="13">
        <f>L6*O6</f>
        <v/>
      </c>
    </row>
    <row r="7">
      <c r="A7" s="12" t="n">
        <v>46167</v>
      </c>
      <c r="B7" s="12" t="n">
        <v>46167</v>
      </c>
      <c r="C7" s="10" t="inlineStr">
        <is>
          <t>RDO320</t>
        </is>
      </c>
      <c r="D7" s="10" t="inlineStr">
        <is>
          <t>5900130281</t>
        </is>
      </c>
      <c r="E7" s="10" t="inlineStr">
        <is>
          <t>Canaã</t>
        </is>
      </c>
      <c r="F7" s="10" t="inlineStr">
        <is>
          <t>Preventiva CANNÃ DOS CARAJAS</t>
        </is>
      </c>
      <c r="G7" s="10" t="inlineStr">
        <is>
          <t>Gilvandro Borges Dos Santos</t>
        </is>
      </c>
      <c r="H7" s="10" t="inlineStr">
        <is>
          <t>2.2.1</t>
        </is>
      </c>
      <c r="I7" s="10" t="inlineStr">
        <is>
          <t>Roçada</t>
        </is>
      </c>
      <c r="J7" s="10" t="inlineStr">
        <is>
          <t>M2</t>
        </is>
      </c>
      <c r="K7" s="13" t="n">
        <v>375</v>
      </c>
      <c r="L7" s="10" t="n">
        <v>6</v>
      </c>
      <c r="M7" s="13" t="n">
        <v>50</v>
      </c>
      <c r="N7" s="13" t="n">
        <v>18.75</v>
      </c>
      <c r="O7" s="13">
        <f>IF(N7=0,0,K7/(L7*N7))</f>
        <v/>
      </c>
      <c r="P7" s="13">
        <f>IF(O7=0,0,K7/(L7*O7))</f>
        <v/>
      </c>
      <c r="Q7" s="14">
        <f>IF(M7=0,0,P7/M7)</f>
        <v/>
      </c>
      <c r="R7" s="13">
        <f>L7*O7</f>
        <v/>
      </c>
    </row>
    <row r="8">
      <c r="A8" s="12" t="n">
        <v>46167</v>
      </c>
      <c r="B8" s="12" t="n">
        <v>46167</v>
      </c>
      <c r="C8" s="10" t="inlineStr">
        <is>
          <t>RDO320</t>
        </is>
      </c>
      <c r="D8" s="10" t="inlineStr">
        <is>
          <t>5900130281</t>
        </is>
      </c>
      <c r="E8" s="10" t="inlineStr">
        <is>
          <t>Canaã</t>
        </is>
      </c>
      <c r="F8" s="10" t="inlineStr">
        <is>
          <t>Preventiva CANNÃ DOS CARAJAS</t>
        </is>
      </c>
      <c r="G8" s="10" t="inlineStr">
        <is>
          <t>Gilvandro Borges Dos Santos</t>
        </is>
      </c>
      <c r="H8" s="10" t="inlineStr">
        <is>
          <t>2.2.1</t>
        </is>
      </c>
      <c r="I8" s="10" t="inlineStr">
        <is>
          <t>Roçada</t>
        </is>
      </c>
      <c r="J8" s="10" t="inlineStr">
        <is>
          <t>M2</t>
        </is>
      </c>
      <c r="K8" s="13" t="n">
        <v>440</v>
      </c>
      <c r="L8" s="10" t="n">
        <v>6</v>
      </c>
      <c r="M8" s="13" t="n">
        <v>50</v>
      </c>
      <c r="N8" s="13" t="n">
        <v>22</v>
      </c>
      <c r="O8" s="13">
        <f>IF(N8=0,0,K8/(L8*N8))</f>
        <v/>
      </c>
      <c r="P8" s="13">
        <f>IF(O8=0,0,K8/(L8*O8))</f>
        <v/>
      </c>
      <c r="Q8" s="14">
        <f>IF(M8=0,0,P8/M8)</f>
        <v/>
      </c>
      <c r="R8" s="13">
        <f>L8*O8</f>
        <v/>
      </c>
    </row>
    <row r="9">
      <c r="A9" s="12" t="n">
        <v>46167</v>
      </c>
      <c r="B9" s="12" t="n">
        <v>46167</v>
      </c>
      <c r="C9" s="10" t="inlineStr">
        <is>
          <t>RDO320</t>
        </is>
      </c>
      <c r="D9" s="10" t="inlineStr">
        <is>
          <t>5900130281</t>
        </is>
      </c>
      <c r="E9" s="10" t="inlineStr">
        <is>
          <t>Canaã</t>
        </is>
      </c>
      <c r="F9" s="10" t="inlineStr">
        <is>
          <t>Preventiva CANNÃ DOS CARAJAS</t>
        </is>
      </c>
      <c r="G9" s="10" t="inlineStr">
        <is>
          <t>Gilvandro Borges Dos Santos</t>
        </is>
      </c>
      <c r="H9" s="10" t="inlineStr">
        <is>
          <t>2.1.3</t>
        </is>
      </c>
      <c r="I9" s="10" t="inlineStr">
        <is>
          <t>Limpeza De Canaleta Em Corte E Aterro Ate Meia Seção</t>
        </is>
      </c>
      <c r="J9" s="10" t="inlineStr">
        <is>
          <t>M</t>
        </is>
      </c>
      <c r="K9" s="13" t="n">
        <v>50</v>
      </c>
      <c r="L9" s="10" t="n">
        <v>6</v>
      </c>
      <c r="M9" s="13" t="n">
        <v>15</v>
      </c>
      <c r="N9" s="13" t="n">
        <v>2.5</v>
      </c>
      <c r="O9" s="13">
        <f>IF(N9=0,0,K9/(L9*N9))</f>
        <v/>
      </c>
      <c r="P9" s="13">
        <f>IF(O9=0,0,K9/(L9*O9))</f>
        <v/>
      </c>
      <c r="Q9" s="14">
        <f>IF(M9=0,0,P9/M9)</f>
        <v/>
      </c>
      <c r="R9" s="13">
        <f>L9*O9</f>
        <v/>
      </c>
    </row>
    <row r="10">
      <c r="A10" s="12" t="n">
        <v>46167</v>
      </c>
      <c r="B10" s="12" t="n">
        <v>46167</v>
      </c>
      <c r="C10" s="10" t="inlineStr">
        <is>
          <t>RDO320</t>
        </is>
      </c>
      <c r="D10" s="10" t="inlineStr">
        <is>
          <t>5900130281</t>
        </is>
      </c>
      <c r="E10" s="10" t="inlineStr">
        <is>
          <t>Canaã</t>
        </is>
      </c>
      <c r="F10" s="10" t="inlineStr">
        <is>
          <t>Preventiva CANNÃ DOS CARAJAS</t>
        </is>
      </c>
      <c r="G10" s="10" t="inlineStr">
        <is>
          <t>Gilvandro Borges Dos Santos</t>
        </is>
      </c>
      <c r="H10" s="10" t="inlineStr">
        <is>
          <t>2.2.1</t>
        </is>
      </c>
      <c r="I10" s="10" t="inlineStr">
        <is>
          <t>Roçada</t>
        </is>
      </c>
      <c r="J10" s="10" t="inlineStr">
        <is>
          <t>M2</t>
        </is>
      </c>
      <c r="K10" s="13" t="n">
        <v>420</v>
      </c>
      <c r="L10" s="10" t="n">
        <v>6</v>
      </c>
      <c r="M10" s="13" t="n">
        <v>50</v>
      </c>
      <c r="N10" s="13" t="n">
        <v>17.5</v>
      </c>
      <c r="O10" s="13">
        <f>IF(N10=0,0,K10/(L10*N10))</f>
        <v/>
      </c>
      <c r="P10" s="13">
        <f>IF(O10=0,0,K10/(L10*O10))</f>
        <v/>
      </c>
      <c r="Q10" s="14">
        <f>IF(M10=0,0,P10/M10)</f>
        <v/>
      </c>
      <c r="R10" s="13">
        <f>L10*O10</f>
        <v/>
      </c>
    </row>
    <row r="11">
      <c r="A11" s="12" t="n">
        <v>46167</v>
      </c>
      <c r="B11" s="12" t="n">
        <v>46167</v>
      </c>
      <c r="C11" s="10" t="inlineStr">
        <is>
          <t>RDO320</t>
        </is>
      </c>
      <c r="D11" s="10" t="inlineStr">
        <is>
          <t>5900130281</t>
        </is>
      </c>
      <c r="E11" s="10" t="inlineStr">
        <is>
          <t>Canaã</t>
        </is>
      </c>
      <c r="F11" s="10" t="inlineStr">
        <is>
          <t>Preventiva CANNÃ DOS CARAJAS</t>
        </is>
      </c>
      <c r="G11" s="10" t="inlineStr">
        <is>
          <t>Gilvandro Borges Dos Santos</t>
        </is>
      </c>
      <c r="H11" s="10" t="inlineStr">
        <is>
          <t>2.2.1</t>
        </is>
      </c>
      <c r="I11" s="10" t="inlineStr">
        <is>
          <t>Roçada</t>
        </is>
      </c>
      <c r="J11" s="10" t="inlineStr">
        <is>
          <t>M2</t>
        </is>
      </c>
      <c r="K11" s="13" t="n">
        <v>476</v>
      </c>
      <c r="L11" s="10" t="n">
        <v>6</v>
      </c>
      <c r="M11" s="13" t="n">
        <v>50</v>
      </c>
      <c r="N11" s="13" t="n">
        <v>19.8333333333333</v>
      </c>
      <c r="O11" s="13">
        <f>IF(N11=0,0,K11/(L11*N11))</f>
        <v/>
      </c>
      <c r="P11" s="13">
        <f>IF(O11=0,0,K11/(L11*O11))</f>
        <v/>
      </c>
      <c r="Q11" s="14">
        <f>IF(M11=0,0,P11/M11)</f>
        <v/>
      </c>
      <c r="R11" s="13">
        <f>L11*O11</f>
        <v/>
      </c>
    </row>
    <row r="12">
      <c r="A12" s="12" t="n">
        <v>46167</v>
      </c>
      <c r="B12" s="12" t="n">
        <v>46167</v>
      </c>
      <c r="C12" s="10" t="inlineStr">
        <is>
          <t>RDO307</t>
        </is>
      </c>
      <c r="D12" s="10" t="inlineStr">
        <is>
          <t>5900130281</t>
        </is>
      </c>
      <c r="E12" s="10" t="inlineStr">
        <is>
          <t>Marabá</t>
        </is>
      </c>
      <c r="F12" s="10" t="inlineStr">
        <is>
          <t>Preventiva MARABA</t>
        </is>
      </c>
      <c r="G12" s="10" t="inlineStr">
        <is>
          <t>Jose Domingos Lopes</t>
        </is>
      </c>
      <c r="H12" s="10" t="inlineStr">
        <is>
          <t>2.2.5</t>
        </is>
      </c>
      <c r="I12" s="10" t="inlineStr">
        <is>
          <t>Remoção De Solo</t>
        </is>
      </c>
      <c r="J12" s="10" t="inlineStr">
        <is>
          <t>M3</t>
        </is>
      </c>
      <c r="K12" s="13" t="n">
        <v>21.2</v>
      </c>
      <c r="L12" s="10" t="n">
        <v>8</v>
      </c>
      <c r="M12" s="13" t="n">
        <v>28</v>
      </c>
      <c r="N12" s="13" t="n">
        <v>0.6625</v>
      </c>
      <c r="O12" s="13">
        <f>IF(N12=0,0,K12/(L12*N12))</f>
        <v/>
      </c>
      <c r="P12" s="13">
        <f>IF(O12=0,0,K12/(L12*O12))</f>
        <v/>
      </c>
      <c r="Q12" s="14">
        <f>IF(M12=0,0,P12/M12)</f>
        <v/>
      </c>
      <c r="R12" s="13">
        <f>L12*O12</f>
        <v/>
      </c>
    </row>
    <row r="13">
      <c r="A13" s="12" t="n">
        <v>46167</v>
      </c>
      <c r="B13" s="12" t="n">
        <v>46167</v>
      </c>
      <c r="C13" s="10" t="inlineStr">
        <is>
          <t>RDO307</t>
        </is>
      </c>
      <c r="D13" s="10" t="inlineStr">
        <is>
          <t>5900130281</t>
        </is>
      </c>
      <c r="E13" s="10" t="inlineStr">
        <is>
          <t>Marabá</t>
        </is>
      </c>
      <c r="F13" s="10" t="inlineStr">
        <is>
          <t>Preventiva MARABA</t>
        </is>
      </c>
      <c r="G13" s="10" t="inlineStr">
        <is>
          <t>Jose Domingos Lopes</t>
        </is>
      </c>
      <c r="H13" s="10" t="inlineStr">
        <is>
          <t>2.2.5</t>
        </is>
      </c>
      <c r="I13" s="10" t="inlineStr">
        <is>
          <t>Remoção De Solo</t>
        </is>
      </c>
      <c r="J13" s="10" t="inlineStr">
        <is>
          <t>M3</t>
        </is>
      </c>
      <c r="K13" s="13" t="n">
        <v>20</v>
      </c>
      <c r="L13" s="10" t="n">
        <v>8</v>
      </c>
      <c r="M13" s="13" t="n">
        <v>28</v>
      </c>
      <c r="N13" s="13" t="n">
        <v>0.625</v>
      </c>
      <c r="O13" s="13">
        <f>IF(N13=0,0,K13/(L13*N13))</f>
        <v/>
      </c>
      <c r="P13" s="13">
        <f>IF(O13=0,0,K13/(L13*O13))</f>
        <v/>
      </c>
      <c r="Q13" s="14">
        <f>IF(M13=0,0,P13/M13)</f>
        <v/>
      </c>
      <c r="R13" s="13">
        <f>L13*O13</f>
        <v/>
      </c>
    </row>
    <row r="14">
      <c r="A14" s="12" t="n">
        <v>46167</v>
      </c>
      <c r="B14" s="12" t="n">
        <v>46167</v>
      </c>
      <c r="C14" s="10" t="inlineStr">
        <is>
          <t>RDO307</t>
        </is>
      </c>
      <c r="D14" s="10" t="inlineStr">
        <is>
          <t>5900130281</t>
        </is>
      </c>
      <c r="E14" s="10" t="inlineStr">
        <is>
          <t>Marabá</t>
        </is>
      </c>
      <c r="F14" s="10" t="inlineStr">
        <is>
          <t>Preventiva MARABA</t>
        </is>
      </c>
      <c r="G14" s="10" t="inlineStr">
        <is>
          <t>Jose Domingos Lopes</t>
        </is>
      </c>
      <c r="H14" s="10" t="inlineStr">
        <is>
          <t>2.1.4.1</t>
        </is>
      </c>
      <c r="I14" s="10" t="inlineStr">
        <is>
          <t>Limpeza De Canaleta Em Corte E Aterro Com Seção Plena - Mec</t>
        </is>
      </c>
      <c r="J14" s="10" t="inlineStr">
        <is>
          <t>M</t>
        </is>
      </c>
      <c r="K14" s="13" t="n">
        <v>63</v>
      </c>
      <c r="L14" s="10" t="n">
        <v>1</v>
      </c>
      <c r="M14" s="13" t="n">
        <v>18</v>
      </c>
      <c r="N14" s="13" t="n">
        <v>15.75</v>
      </c>
      <c r="O14" s="13">
        <f>IF(N14=0,0,K14/(L14*N14))</f>
        <v/>
      </c>
      <c r="P14" s="13">
        <f>IF(O14=0,0,K14/(L14*O14))</f>
        <v/>
      </c>
      <c r="Q14" s="14">
        <f>IF(M14=0,0,P14/M14)</f>
        <v/>
      </c>
      <c r="R14" s="13">
        <f>L14*O14</f>
        <v/>
      </c>
    </row>
    <row r="15">
      <c r="A15" s="12" t="n">
        <v>46167</v>
      </c>
      <c r="B15" s="12" t="n">
        <v>46167</v>
      </c>
      <c r="C15" s="10" t="inlineStr">
        <is>
          <t>RDO307</t>
        </is>
      </c>
      <c r="D15" s="10" t="inlineStr">
        <is>
          <t>5900130281</t>
        </is>
      </c>
      <c r="E15" s="10" t="inlineStr">
        <is>
          <t>Marabá</t>
        </is>
      </c>
      <c r="F15" s="10" t="inlineStr">
        <is>
          <t>Preventiva MARABA</t>
        </is>
      </c>
      <c r="G15" s="10" t="inlineStr">
        <is>
          <t>Jose Domingos Lopes</t>
        </is>
      </c>
      <c r="H15" s="10" t="inlineStr">
        <is>
          <t>2.1.4</t>
        </is>
      </c>
      <c r="I15" s="10" t="inlineStr">
        <is>
          <t>Limpeza De Canaleta Em Corte E Aterro Com Seção Plena</t>
        </is>
      </c>
      <c r="J15" s="10" t="inlineStr">
        <is>
          <t>M</t>
        </is>
      </c>
      <c r="K15" s="13" t="n">
        <v>8</v>
      </c>
      <c r="L15" s="10" t="n">
        <v>8</v>
      </c>
      <c r="M15" s="13" t="n">
        <v>2.82</v>
      </c>
      <c r="N15" s="13" t="n">
        <v>0.25</v>
      </c>
      <c r="O15" s="13">
        <f>IF(N15=0,0,K15/(L15*N15))</f>
        <v/>
      </c>
      <c r="P15" s="13">
        <f>IF(O15=0,0,K15/(L15*O15))</f>
        <v/>
      </c>
      <c r="Q15" s="14">
        <f>IF(M15=0,0,P15/M15)</f>
        <v/>
      </c>
      <c r="R15" s="13">
        <f>L15*O15</f>
        <v/>
      </c>
    </row>
    <row r="16">
      <c r="A16" s="12" t="n">
        <v>46167</v>
      </c>
      <c r="B16" s="12" t="n">
        <v>46167</v>
      </c>
      <c r="C16" s="10" t="inlineStr">
        <is>
          <t>RDO318</t>
        </is>
      </c>
      <c r="D16" s="10" t="inlineStr">
        <is>
          <t>5900130281</t>
        </is>
      </c>
      <c r="E16" s="10" t="inlineStr">
        <is>
          <t>Parauapebas</t>
        </is>
      </c>
      <c r="F16" s="10" t="inlineStr">
        <is>
          <t>Preventiva PARAUAPEBAS</t>
        </is>
      </c>
      <c r="G16" s="10" t="inlineStr">
        <is>
          <t>Leandro Soares Dias</t>
        </is>
      </c>
      <c r="H16" s="10" t="inlineStr">
        <is>
          <t>2.2.1</t>
        </is>
      </c>
      <c r="I16" s="10" t="inlineStr">
        <is>
          <t>Roçada</t>
        </is>
      </c>
      <c r="J16" s="10" t="inlineStr">
        <is>
          <t>M2</t>
        </is>
      </c>
      <c r="K16" s="13" t="n">
        <v>657.88</v>
      </c>
      <c r="L16" s="10" t="n">
        <v>10</v>
      </c>
      <c r="M16" s="13" t="n">
        <v>50</v>
      </c>
      <c r="N16" s="13" t="n">
        <v>32.894</v>
      </c>
      <c r="O16" s="13">
        <f>IF(N16=0,0,K16/(L16*N16))</f>
        <v/>
      </c>
      <c r="P16" s="13">
        <f>IF(O16=0,0,K16/(L16*O16))</f>
        <v/>
      </c>
      <c r="Q16" s="14">
        <f>IF(M16=0,0,P16/M16)</f>
        <v/>
      </c>
      <c r="R16" s="13">
        <f>L16*O16</f>
        <v/>
      </c>
    </row>
    <row r="17">
      <c r="A17" s="12" t="n">
        <v>46167</v>
      </c>
      <c r="B17" s="12" t="n">
        <v>46167</v>
      </c>
      <c r="C17" s="10" t="inlineStr">
        <is>
          <t>RDO318</t>
        </is>
      </c>
      <c r="D17" s="10" t="inlineStr">
        <is>
          <t>5900130281</t>
        </is>
      </c>
      <c r="E17" s="10" t="inlineStr">
        <is>
          <t>Parauapebas</t>
        </is>
      </c>
      <c r="F17" s="10" t="inlineStr">
        <is>
          <t>Preventiva PARAUAPEBAS</t>
        </is>
      </c>
      <c r="G17" s="10" t="inlineStr">
        <is>
          <t>Leandro Soares Dias</t>
        </is>
      </c>
      <c r="H17" s="10" t="inlineStr">
        <is>
          <t>2.2.1</t>
        </is>
      </c>
      <c r="I17" s="10" t="inlineStr">
        <is>
          <t>Roçada</t>
        </is>
      </c>
      <c r="J17" s="10" t="inlineStr">
        <is>
          <t>M2</t>
        </is>
      </c>
      <c r="K17" s="13" t="n">
        <v>508.8</v>
      </c>
      <c r="L17" s="10" t="n">
        <v>10</v>
      </c>
      <c r="M17" s="13" t="n">
        <v>50</v>
      </c>
      <c r="N17" s="13" t="n">
        <v>50.88</v>
      </c>
      <c r="O17" s="13">
        <f>IF(N17=0,0,K17/(L17*N17))</f>
        <v/>
      </c>
      <c r="P17" s="13">
        <f>IF(O17=0,0,K17/(L17*O17))</f>
        <v/>
      </c>
      <c r="Q17" s="14">
        <f>IF(M17=0,0,P17/M17)</f>
        <v/>
      </c>
      <c r="R17" s="13">
        <f>L17*O17</f>
        <v/>
      </c>
    </row>
    <row r="18">
      <c r="A18" s="12" t="n">
        <v>46167</v>
      </c>
      <c r="B18" s="12" t="n">
        <v>46167</v>
      </c>
      <c r="C18" s="10" t="inlineStr">
        <is>
          <t>RDO318</t>
        </is>
      </c>
      <c r="D18" s="10" t="inlineStr">
        <is>
          <t>5900130281</t>
        </is>
      </c>
      <c r="E18" s="10" t="inlineStr">
        <is>
          <t>Parauapebas</t>
        </is>
      </c>
      <c r="F18" s="10" t="inlineStr">
        <is>
          <t>Preventiva PARAUAPEBAS</t>
        </is>
      </c>
      <c r="G18" s="10" t="inlineStr">
        <is>
          <t>Leandro Soares Dias</t>
        </is>
      </c>
      <c r="H18" s="10" t="inlineStr">
        <is>
          <t>2.2.1</t>
        </is>
      </c>
      <c r="I18" s="10" t="inlineStr">
        <is>
          <t>Roçada</t>
        </is>
      </c>
      <c r="J18" s="10" t="inlineStr">
        <is>
          <t>M2</t>
        </is>
      </c>
      <c r="K18" s="13" t="n">
        <v>233.16</v>
      </c>
      <c r="L18" s="10" t="n">
        <v>10</v>
      </c>
      <c r="M18" s="13" t="n">
        <v>50</v>
      </c>
      <c r="N18" s="13" t="n">
        <v>23.316</v>
      </c>
      <c r="O18" s="13">
        <f>IF(N18=0,0,K18/(L18*N18))</f>
        <v/>
      </c>
      <c r="P18" s="13">
        <f>IF(O18=0,0,K18/(L18*O18))</f>
        <v/>
      </c>
      <c r="Q18" s="14">
        <f>IF(M18=0,0,P18/M18)</f>
        <v/>
      </c>
      <c r="R18" s="13">
        <f>L18*O18</f>
        <v/>
      </c>
    </row>
    <row r="19">
      <c r="A19" s="12" t="n">
        <v>46167</v>
      </c>
      <c r="B19" s="12" t="n">
        <v>46167</v>
      </c>
      <c r="C19" s="10" t="inlineStr">
        <is>
          <t>RDO318</t>
        </is>
      </c>
      <c r="D19" s="10" t="inlineStr">
        <is>
          <t>5900130281</t>
        </is>
      </c>
      <c r="E19" s="10" t="inlineStr">
        <is>
          <t>Parauapebas</t>
        </is>
      </c>
      <c r="F19" s="10" t="inlineStr">
        <is>
          <t>Preventiva PARAUAPEBAS</t>
        </is>
      </c>
      <c r="G19" s="10" t="inlineStr">
        <is>
          <t>Leandro Soares Dias</t>
        </is>
      </c>
      <c r="H19" s="10" t="inlineStr">
        <is>
          <t>2.2.1</t>
        </is>
      </c>
      <c r="I19" s="10" t="inlineStr">
        <is>
          <t>Roçada</t>
        </is>
      </c>
      <c r="J19" s="10" t="inlineStr">
        <is>
          <t>M2</t>
        </is>
      </c>
      <c r="K19" s="13" t="n">
        <v>1578.15</v>
      </c>
      <c r="L19" s="10" t="n">
        <v>10</v>
      </c>
      <c r="M19" s="13" t="n">
        <v>50</v>
      </c>
      <c r="N19" s="13" t="n">
        <v>52.605</v>
      </c>
      <c r="O19" s="13">
        <f>IF(N19=0,0,K19/(L19*N19))</f>
        <v/>
      </c>
      <c r="P19" s="13">
        <f>IF(O19=0,0,K19/(L19*O19))</f>
        <v/>
      </c>
      <c r="Q19" s="14">
        <f>IF(M19=0,0,P19/M19)</f>
        <v/>
      </c>
      <c r="R19" s="13">
        <f>L19*O19</f>
        <v/>
      </c>
    </row>
    <row r="20">
      <c r="A20" s="12" t="n">
        <v>46167</v>
      </c>
      <c r="B20" s="12" t="n">
        <v>46167</v>
      </c>
      <c r="C20" s="10" t="inlineStr">
        <is>
          <t>RDO318</t>
        </is>
      </c>
      <c r="D20" s="10" t="inlineStr">
        <is>
          <t>5900130281</t>
        </is>
      </c>
      <c r="E20" s="10" t="inlineStr">
        <is>
          <t>Parauapebas</t>
        </is>
      </c>
      <c r="F20" s="10" t="inlineStr">
        <is>
          <t>Preventiva PARAUAPEBAS</t>
        </is>
      </c>
      <c r="G20" s="10" t="inlineStr">
        <is>
          <t>Leandro Soares Dias</t>
        </is>
      </c>
      <c r="H20" s="10" t="inlineStr">
        <is>
          <t>2.1.5</t>
        </is>
      </c>
      <c r="I20" s="10" t="inlineStr">
        <is>
          <t>Limpeza De Valeta, Sarjetas E Meio Fio</t>
        </is>
      </c>
      <c r="J20" s="10" t="inlineStr">
        <is>
          <t>M</t>
        </is>
      </c>
      <c r="K20" s="13" t="n">
        <v>69.5</v>
      </c>
      <c r="L20" s="10" t="n">
        <v>10</v>
      </c>
      <c r="M20" s="13" t="n">
        <v>9</v>
      </c>
      <c r="N20" s="13" t="n">
        <v>6.95</v>
      </c>
      <c r="O20" s="13">
        <f>IF(N20=0,0,K20/(L20*N20))</f>
        <v/>
      </c>
      <c r="P20" s="13">
        <f>IF(O20=0,0,K20/(L20*O20))</f>
        <v/>
      </c>
      <c r="Q20" s="14">
        <f>IF(M20=0,0,P20/M20)</f>
        <v/>
      </c>
      <c r="R20" s="13">
        <f>L20*O20</f>
        <v/>
      </c>
    </row>
    <row r="21">
      <c r="A21" s="12" t="n">
        <v>46168</v>
      </c>
      <c r="B21" s="12" t="n">
        <v>46168</v>
      </c>
      <c r="C21" s="10" t="inlineStr">
        <is>
          <t>RDO321</t>
        </is>
      </c>
      <c r="D21" s="10" t="inlineStr">
        <is>
          <t>5900130281</t>
        </is>
      </c>
      <c r="E21" s="10" t="inlineStr">
        <is>
          <t>Canaã</t>
        </is>
      </c>
      <c r="F21" s="10" t="inlineStr">
        <is>
          <t>Preventiva CANNÃ DOS CARAJAS</t>
        </is>
      </c>
      <c r="G21" s="10" t="inlineStr">
        <is>
          <t>Gilvandro Borges Dos Santos</t>
        </is>
      </c>
      <c r="H21" s="10" t="inlineStr">
        <is>
          <t>2.2.1</t>
        </is>
      </c>
      <c r="I21" s="10" t="inlineStr">
        <is>
          <t>Roçada</t>
        </is>
      </c>
      <c r="J21" s="10" t="inlineStr">
        <is>
          <t>M2</t>
        </is>
      </c>
      <c r="K21" s="13" t="n">
        <v>312</v>
      </c>
      <c r="L21" s="10" t="n">
        <v>6</v>
      </c>
      <c r="M21" s="13" t="n">
        <v>50</v>
      </c>
      <c r="N21" s="13" t="n">
        <v>18.3529411764706</v>
      </c>
      <c r="O21" s="13">
        <f>IF(N21=0,0,K21/(L21*N21))</f>
        <v/>
      </c>
      <c r="P21" s="13">
        <f>IF(O21=0,0,K21/(L21*O21))</f>
        <v/>
      </c>
      <c r="Q21" s="14">
        <f>IF(M21=0,0,P21/M21)</f>
        <v/>
      </c>
      <c r="R21" s="13">
        <f>L21*O21</f>
        <v/>
      </c>
    </row>
    <row r="22">
      <c r="A22" s="12" t="n">
        <v>46168</v>
      </c>
      <c r="B22" s="12" t="n">
        <v>46168</v>
      </c>
      <c r="C22" s="10" t="inlineStr">
        <is>
          <t>RDO321</t>
        </is>
      </c>
      <c r="D22" s="10" t="inlineStr">
        <is>
          <t>5900130281</t>
        </is>
      </c>
      <c r="E22" s="10" t="inlineStr">
        <is>
          <t>Canaã</t>
        </is>
      </c>
      <c r="F22" s="10" t="inlineStr">
        <is>
          <t>Preventiva CANNÃ DOS CARAJAS</t>
        </is>
      </c>
      <c r="G22" s="10" t="inlineStr">
        <is>
          <t>Gilvandro Borges Dos Santos</t>
        </is>
      </c>
      <c r="H22" s="10" t="inlineStr">
        <is>
          <t>2.2.1</t>
        </is>
      </c>
      <c r="I22" s="10" t="inlineStr">
        <is>
          <t>Roçada</t>
        </is>
      </c>
      <c r="J22" s="10" t="inlineStr">
        <is>
          <t>M2</t>
        </is>
      </c>
      <c r="K22" s="13" t="n">
        <v>302</v>
      </c>
      <c r="L22" s="10" t="n">
        <v>6</v>
      </c>
      <c r="M22" s="13" t="n">
        <v>50</v>
      </c>
      <c r="N22" s="13" t="n">
        <v>17.7647058823529</v>
      </c>
      <c r="O22" s="13">
        <f>IF(N22=0,0,K22/(L22*N22))</f>
        <v/>
      </c>
      <c r="P22" s="13">
        <f>IF(O22=0,0,K22/(L22*O22))</f>
        <v/>
      </c>
      <c r="Q22" s="14">
        <f>IF(M22=0,0,P22/M22)</f>
        <v/>
      </c>
      <c r="R22" s="13">
        <f>L22*O22</f>
        <v/>
      </c>
    </row>
    <row r="23">
      <c r="A23" s="12" t="n">
        <v>46168</v>
      </c>
      <c r="B23" s="12" t="n">
        <v>46168</v>
      </c>
      <c r="C23" s="10" t="inlineStr">
        <is>
          <t>RDO321</t>
        </is>
      </c>
      <c r="D23" s="10" t="inlineStr">
        <is>
          <t>5900130281</t>
        </is>
      </c>
      <c r="E23" s="10" t="inlineStr">
        <is>
          <t>Canaã</t>
        </is>
      </c>
      <c r="F23" s="10" t="inlineStr">
        <is>
          <t>Preventiva CANNÃ DOS CARAJAS</t>
        </is>
      </c>
      <c r="G23" s="10" t="inlineStr">
        <is>
          <t>Gilvandro Borges Dos Santos</t>
        </is>
      </c>
      <c r="H23" s="10" t="inlineStr">
        <is>
          <t>2.1.3</t>
        </is>
      </c>
      <c r="I23" s="10" t="inlineStr">
        <is>
          <t>Limpeza De Canaleta Em Corte E Aterro Ate Meia Seção</t>
        </is>
      </c>
      <c r="J23" s="10" t="inlineStr">
        <is>
          <t>M</t>
        </is>
      </c>
      <c r="K23" s="13" t="n">
        <v>70</v>
      </c>
      <c r="L23" s="10" t="n">
        <v>6</v>
      </c>
      <c r="M23" s="13" t="n">
        <v>15</v>
      </c>
      <c r="N23" s="13" t="n">
        <v>4.11764705882353</v>
      </c>
      <c r="O23" s="13">
        <f>IF(N23=0,0,K23/(L23*N23))</f>
        <v/>
      </c>
      <c r="P23" s="13">
        <f>IF(O23=0,0,K23/(L23*O23))</f>
        <v/>
      </c>
      <c r="Q23" s="14">
        <f>IF(M23=0,0,P23/M23)</f>
        <v/>
      </c>
      <c r="R23" s="13">
        <f>L23*O23</f>
        <v/>
      </c>
    </row>
    <row r="24">
      <c r="A24" s="12" t="n">
        <v>46168</v>
      </c>
      <c r="B24" s="12" t="n">
        <v>46168</v>
      </c>
      <c r="C24" s="10" t="inlineStr">
        <is>
          <t>RDO321</t>
        </is>
      </c>
      <c r="D24" s="10" t="inlineStr">
        <is>
          <t>5900130281</t>
        </is>
      </c>
      <c r="E24" s="10" t="inlineStr">
        <is>
          <t>Canaã</t>
        </is>
      </c>
      <c r="F24" s="10" t="inlineStr">
        <is>
          <t>Preventiva CANNÃ DOS CARAJAS</t>
        </is>
      </c>
      <c r="G24" s="10" t="inlineStr">
        <is>
          <t>Gilvandro Borges Dos Santos</t>
        </is>
      </c>
      <c r="H24" s="10" t="inlineStr">
        <is>
          <t>2.1.3</t>
        </is>
      </c>
      <c r="I24" s="10" t="inlineStr">
        <is>
          <t>Limpeza De Canaleta Em Corte E Aterro Ate Meia Seção</t>
        </is>
      </c>
      <c r="J24" s="10" t="inlineStr">
        <is>
          <t>M</t>
        </is>
      </c>
      <c r="K24" s="13" t="n">
        <v>100</v>
      </c>
      <c r="L24" s="10" t="n">
        <v>6</v>
      </c>
      <c r="M24" s="13" t="n">
        <v>15</v>
      </c>
      <c r="N24" s="13" t="n">
        <v>4.16666666666667</v>
      </c>
      <c r="O24" s="13">
        <f>IF(N24=0,0,K24/(L24*N24))</f>
        <v/>
      </c>
      <c r="P24" s="13">
        <f>IF(O24=0,0,K24/(L24*O24))</f>
        <v/>
      </c>
      <c r="Q24" s="14">
        <f>IF(M24=0,0,P24/M24)</f>
        <v/>
      </c>
      <c r="R24" s="13">
        <f>L24*O24</f>
        <v/>
      </c>
    </row>
    <row r="25">
      <c r="A25" s="12" t="n">
        <v>46168</v>
      </c>
      <c r="B25" s="12" t="n">
        <v>46168</v>
      </c>
      <c r="C25" s="10" t="inlineStr">
        <is>
          <t>RDO321</t>
        </is>
      </c>
      <c r="D25" s="10" t="inlineStr">
        <is>
          <t>5900130281</t>
        </is>
      </c>
      <c r="E25" s="10" t="inlineStr">
        <is>
          <t>Canaã</t>
        </is>
      </c>
      <c r="F25" s="10" t="inlineStr">
        <is>
          <t>Preventiva CANNÃ DOS CARAJAS</t>
        </is>
      </c>
      <c r="G25" s="10" t="inlineStr">
        <is>
          <t>Gilvandro Borges Dos Santos</t>
        </is>
      </c>
      <c r="H25" s="10" t="inlineStr">
        <is>
          <t>2.2.1</t>
        </is>
      </c>
      <c r="I25" s="10" t="inlineStr">
        <is>
          <t>Roçada</t>
        </is>
      </c>
      <c r="J25" s="10" t="inlineStr">
        <is>
          <t>M2</t>
        </is>
      </c>
      <c r="K25" s="13" t="n">
        <v>184.5</v>
      </c>
      <c r="L25" s="10" t="n">
        <v>6</v>
      </c>
      <c r="M25" s="13" t="n">
        <v>50</v>
      </c>
      <c r="N25" s="13" t="n">
        <v>7.6875</v>
      </c>
      <c r="O25" s="13">
        <f>IF(N25=0,0,K25/(L25*N25))</f>
        <v/>
      </c>
      <c r="P25" s="13">
        <f>IF(O25=0,0,K25/(L25*O25))</f>
        <v/>
      </c>
      <c r="Q25" s="14">
        <f>IF(M25=0,0,P25/M25)</f>
        <v/>
      </c>
      <c r="R25" s="13">
        <f>L25*O25</f>
        <v/>
      </c>
    </row>
    <row r="26">
      <c r="A26" s="12" t="n">
        <v>46168</v>
      </c>
      <c r="B26" s="12" t="n">
        <v>46168</v>
      </c>
      <c r="C26" s="10" t="inlineStr">
        <is>
          <t>RDO308</t>
        </is>
      </c>
      <c r="D26" s="10" t="inlineStr">
        <is>
          <t>5900130281</t>
        </is>
      </c>
      <c r="E26" s="10" t="inlineStr">
        <is>
          <t>Marabá</t>
        </is>
      </c>
      <c r="F26" s="10" t="inlineStr">
        <is>
          <t>Preventiva MARABA</t>
        </is>
      </c>
      <c r="G26" s="10" t="inlineStr">
        <is>
          <t>Jose Domingos Lopes</t>
        </is>
      </c>
      <c r="H26" s="10" t="inlineStr">
        <is>
          <t>2.2.1</t>
        </is>
      </c>
      <c r="I26" s="10" t="inlineStr">
        <is>
          <t>Roçada</t>
        </is>
      </c>
      <c r="J26" s="10" t="inlineStr">
        <is>
          <t>M2</t>
        </is>
      </c>
      <c r="K26" s="13" t="n">
        <v>1301.85</v>
      </c>
      <c r="L26" s="10" t="n">
        <v>10</v>
      </c>
      <c r="M26" s="13" t="n">
        <v>50</v>
      </c>
      <c r="N26" s="13" t="n">
        <v>43.395</v>
      </c>
      <c r="O26" s="13">
        <f>IF(N26=0,0,K26/(L26*N26))</f>
        <v/>
      </c>
      <c r="P26" s="13">
        <f>IF(O26=0,0,K26/(L26*O26))</f>
        <v/>
      </c>
      <c r="Q26" s="14">
        <f>IF(M26=0,0,P26/M26)</f>
        <v/>
      </c>
      <c r="R26" s="13">
        <f>L26*O26</f>
        <v/>
      </c>
    </row>
    <row r="27">
      <c r="A27" s="12" t="n">
        <v>46168</v>
      </c>
      <c r="B27" s="12" t="n">
        <v>46168</v>
      </c>
      <c r="C27" s="10" t="inlineStr">
        <is>
          <t>RDO308</t>
        </is>
      </c>
      <c r="D27" s="10" t="inlineStr">
        <is>
          <t>5900130281</t>
        </is>
      </c>
      <c r="E27" s="10" t="inlineStr">
        <is>
          <t>Marabá</t>
        </is>
      </c>
      <c r="F27" s="10" t="inlineStr">
        <is>
          <t>Preventiva MARABA</t>
        </is>
      </c>
      <c r="G27" s="10" t="inlineStr">
        <is>
          <t>Jose Domingos Lopes</t>
        </is>
      </c>
      <c r="H27" s="10" t="inlineStr">
        <is>
          <t>2.2.1</t>
        </is>
      </c>
      <c r="I27" s="10" t="inlineStr">
        <is>
          <t>Roçada</t>
        </is>
      </c>
      <c r="J27" s="10" t="inlineStr">
        <is>
          <t>M2</t>
        </is>
      </c>
      <c r="K27" s="13" t="n">
        <v>16.5</v>
      </c>
      <c r="L27" s="10" t="n">
        <v>1</v>
      </c>
      <c r="M27" s="13" t="n">
        <v>50</v>
      </c>
      <c r="N27" s="13" t="n">
        <v>39.6</v>
      </c>
      <c r="O27" s="13">
        <f>IF(N27=0,0,K27/(L27*N27))</f>
        <v/>
      </c>
      <c r="P27" s="13">
        <f>IF(O27=0,0,K27/(L27*O27))</f>
        <v/>
      </c>
      <c r="Q27" s="14">
        <f>IF(M27=0,0,P27/M27)</f>
        <v/>
      </c>
      <c r="R27" s="13">
        <f>L27*O27</f>
        <v/>
      </c>
    </row>
    <row r="28">
      <c r="A28" s="12" t="n">
        <v>46168</v>
      </c>
      <c r="B28" s="12" t="n">
        <v>46168</v>
      </c>
      <c r="C28" s="10" t="inlineStr">
        <is>
          <t>RDO308</t>
        </is>
      </c>
      <c r="D28" s="10" t="inlineStr">
        <is>
          <t>5900130281</t>
        </is>
      </c>
      <c r="E28" s="10" t="inlineStr">
        <is>
          <t>Marabá</t>
        </is>
      </c>
      <c r="F28" s="10" t="inlineStr">
        <is>
          <t>Preventiva MARABA</t>
        </is>
      </c>
      <c r="G28" s="10" t="inlineStr">
        <is>
          <t>Jose Domingos Lopes</t>
        </is>
      </c>
      <c r="H28" s="10" t="inlineStr">
        <is>
          <t>2.2.1</t>
        </is>
      </c>
      <c r="I28" s="10" t="inlineStr">
        <is>
          <t>Roçada</t>
        </is>
      </c>
      <c r="J28" s="10" t="inlineStr">
        <is>
          <t>M2</t>
        </is>
      </c>
      <c r="K28" s="13" t="n">
        <v>52.9</v>
      </c>
      <c r="L28" s="10" t="n">
        <v>1</v>
      </c>
      <c r="M28" s="13" t="n">
        <v>50</v>
      </c>
      <c r="N28" s="13" t="n">
        <v>35.2666666666667</v>
      </c>
      <c r="O28" s="13">
        <f>IF(N28=0,0,K28/(L28*N28))</f>
        <v/>
      </c>
      <c r="P28" s="13">
        <f>IF(O28=0,0,K28/(L28*O28))</f>
        <v/>
      </c>
      <c r="Q28" s="14">
        <f>IF(M28=0,0,P28/M28)</f>
        <v/>
      </c>
      <c r="R28" s="13">
        <f>L28*O28</f>
        <v/>
      </c>
    </row>
    <row r="29">
      <c r="A29" s="12" t="n">
        <v>46168</v>
      </c>
      <c r="B29" s="12" t="n">
        <v>46168</v>
      </c>
      <c r="C29" s="10" t="inlineStr">
        <is>
          <t>RDO308</t>
        </is>
      </c>
      <c r="D29" s="10" t="inlineStr">
        <is>
          <t>5900130281</t>
        </is>
      </c>
      <c r="E29" s="10" t="inlineStr">
        <is>
          <t>Marabá</t>
        </is>
      </c>
      <c r="F29" s="10" t="inlineStr">
        <is>
          <t>Preventiva MARABA</t>
        </is>
      </c>
      <c r="G29" s="10" t="inlineStr">
        <is>
          <t>Jose Domingos Lopes</t>
        </is>
      </c>
      <c r="H29" s="10" t="inlineStr">
        <is>
          <t>2.1.3</t>
        </is>
      </c>
      <c r="I29" s="10" t="inlineStr">
        <is>
          <t>Limpeza De Canaleta Em Corte E Aterro Ate Meia Seção</t>
        </is>
      </c>
      <c r="J29" s="10" t="inlineStr">
        <is>
          <t>M</t>
        </is>
      </c>
      <c r="K29" s="13" t="n">
        <v>392</v>
      </c>
      <c r="L29" s="10" t="n">
        <v>10</v>
      </c>
      <c r="M29" s="13" t="n">
        <v>15</v>
      </c>
      <c r="N29" s="13" t="n">
        <v>13.0666666666667</v>
      </c>
      <c r="O29" s="13">
        <f>IF(N29=0,0,K29/(L29*N29))</f>
        <v/>
      </c>
      <c r="P29" s="13">
        <f>IF(O29=0,0,K29/(L29*O29))</f>
        <v/>
      </c>
      <c r="Q29" s="14">
        <f>IF(M29=0,0,P29/M29)</f>
        <v/>
      </c>
      <c r="R29" s="13">
        <f>L29*O29</f>
        <v/>
      </c>
    </row>
    <row r="30">
      <c r="A30" s="12" t="n">
        <v>46168</v>
      </c>
      <c r="B30" s="12" t="n">
        <v>46168</v>
      </c>
      <c r="C30" s="10" t="inlineStr">
        <is>
          <t>RDO309</t>
        </is>
      </c>
      <c r="D30" s="10" t="inlineStr">
        <is>
          <t>5900130281</t>
        </is>
      </c>
      <c r="E30" s="10" t="inlineStr">
        <is>
          <t>Marabá</t>
        </is>
      </c>
      <c r="F30" s="10" t="inlineStr">
        <is>
          <t>Preventiva MARABA</t>
        </is>
      </c>
      <c r="G30" s="10" t="inlineStr">
        <is>
          <t>Jose Domingos Lopes</t>
        </is>
      </c>
      <c r="H30" s="10" t="inlineStr">
        <is>
          <t>2.2.1</t>
        </is>
      </c>
      <c r="I30" s="10" t="inlineStr">
        <is>
          <t>Roçada</t>
        </is>
      </c>
      <c r="J30" s="10" t="inlineStr">
        <is>
          <t>M2</t>
        </is>
      </c>
      <c r="K30" s="13" t="n">
        <v>450</v>
      </c>
      <c r="L30" s="10" t="n">
        <v>10</v>
      </c>
      <c r="M30" s="13" t="n">
        <v>50</v>
      </c>
      <c r="N30" s="13" t="n">
        <v>11.25</v>
      </c>
      <c r="O30" s="13">
        <f>IF(N30=0,0,K30/(L30*N30))</f>
        <v/>
      </c>
      <c r="P30" s="13">
        <f>IF(O30=0,0,K30/(L30*O30))</f>
        <v/>
      </c>
      <c r="Q30" s="14">
        <f>IF(M30=0,0,P30/M30)</f>
        <v/>
      </c>
      <c r="R30" s="13">
        <f>L30*O30</f>
        <v/>
      </c>
    </row>
    <row r="31">
      <c r="A31" s="12" t="n">
        <v>46168</v>
      </c>
      <c r="B31" s="12" t="n">
        <v>46168</v>
      </c>
      <c r="C31" s="10" t="inlineStr">
        <is>
          <t>RDO309</t>
        </is>
      </c>
      <c r="D31" s="10" t="inlineStr">
        <is>
          <t>5900130281</t>
        </is>
      </c>
      <c r="E31" s="10" t="inlineStr">
        <is>
          <t>Marabá</t>
        </is>
      </c>
      <c r="F31" s="10" t="inlineStr">
        <is>
          <t>Preventiva MARABA</t>
        </is>
      </c>
      <c r="G31" s="10" t="inlineStr">
        <is>
          <t>Jose Domingos Lopes</t>
        </is>
      </c>
      <c r="H31" s="10" t="inlineStr">
        <is>
          <t>2.2.1</t>
        </is>
      </c>
      <c r="I31" s="10" t="inlineStr">
        <is>
          <t>Roçada</t>
        </is>
      </c>
      <c r="J31" s="10" t="inlineStr">
        <is>
          <t>M2</t>
        </is>
      </c>
      <c r="K31" s="13" t="n">
        <v>510</v>
      </c>
      <c r="L31" s="10" t="n">
        <v>10</v>
      </c>
      <c r="M31" s="13" t="n">
        <v>50</v>
      </c>
      <c r="N31" s="13" t="n">
        <v>12.75</v>
      </c>
      <c r="O31" s="13">
        <f>IF(N31=0,0,K31/(L31*N31))</f>
        <v/>
      </c>
      <c r="P31" s="13">
        <f>IF(O31=0,0,K31/(L31*O31))</f>
        <v/>
      </c>
      <c r="Q31" s="14">
        <f>IF(M31=0,0,P31/M31)</f>
        <v/>
      </c>
      <c r="R31" s="13">
        <f>L31*O31</f>
        <v/>
      </c>
    </row>
    <row r="32">
      <c r="A32" s="12" t="n">
        <v>46168</v>
      </c>
      <c r="B32" s="12" t="n">
        <v>46168</v>
      </c>
      <c r="C32" s="10" t="inlineStr">
        <is>
          <t>RDO309</t>
        </is>
      </c>
      <c r="D32" s="10" t="inlineStr">
        <is>
          <t>5900130281</t>
        </is>
      </c>
      <c r="E32" s="10" t="inlineStr">
        <is>
          <t>Marabá</t>
        </is>
      </c>
      <c r="F32" s="10" t="inlineStr">
        <is>
          <t>Preventiva MARABA</t>
        </is>
      </c>
      <c r="G32" s="10" t="inlineStr">
        <is>
          <t>Jose Domingos Lopes</t>
        </is>
      </c>
      <c r="H32" s="10" t="inlineStr">
        <is>
          <t>2.2.1</t>
        </is>
      </c>
      <c r="I32" s="10" t="inlineStr">
        <is>
          <t>Roçada</t>
        </is>
      </c>
      <c r="J32" s="10" t="inlineStr">
        <is>
          <t>M2</t>
        </is>
      </c>
      <c r="K32" s="13" t="n">
        <v>938</v>
      </c>
      <c r="L32" s="10" t="n">
        <v>10</v>
      </c>
      <c r="M32" s="13" t="n">
        <v>50</v>
      </c>
      <c r="N32" s="13" t="n">
        <v>23.45</v>
      </c>
      <c r="O32" s="13">
        <f>IF(N32=0,0,K32/(L32*N32))</f>
        <v/>
      </c>
      <c r="P32" s="13">
        <f>IF(O32=0,0,K32/(L32*O32))</f>
        <v/>
      </c>
      <c r="Q32" s="14">
        <f>IF(M32=0,0,P32/M32)</f>
        <v/>
      </c>
      <c r="R32" s="13">
        <f>L32*O32</f>
        <v/>
      </c>
    </row>
    <row r="33">
      <c r="A33" s="12" t="n">
        <v>46168</v>
      </c>
      <c r="B33" s="12" t="n">
        <v>46168</v>
      </c>
      <c r="C33" s="10" t="inlineStr">
        <is>
          <t>RDO309</t>
        </is>
      </c>
      <c r="D33" s="10" t="inlineStr">
        <is>
          <t>5900130281</t>
        </is>
      </c>
      <c r="E33" s="10" t="inlineStr">
        <is>
          <t>Marabá</t>
        </is>
      </c>
      <c r="F33" s="10" t="inlineStr">
        <is>
          <t>Preventiva MARABA</t>
        </is>
      </c>
      <c r="G33" s="10" t="inlineStr">
        <is>
          <t>Jose Domingos Lopes</t>
        </is>
      </c>
      <c r="H33" s="10" t="inlineStr">
        <is>
          <t>2.2.1</t>
        </is>
      </c>
      <c r="I33" s="10" t="inlineStr">
        <is>
          <t>Roçada</t>
        </is>
      </c>
      <c r="J33" s="10" t="inlineStr">
        <is>
          <t>M2</t>
        </is>
      </c>
      <c r="K33" s="13" t="n">
        <v>309.7</v>
      </c>
      <c r="L33" s="10" t="n">
        <v>10</v>
      </c>
      <c r="M33" s="13" t="n">
        <v>50</v>
      </c>
      <c r="N33" s="13" t="n">
        <v>7.7425</v>
      </c>
      <c r="O33" s="13">
        <f>IF(N33=0,0,K33/(L33*N33))</f>
        <v/>
      </c>
      <c r="P33" s="13">
        <f>IF(O33=0,0,K33/(L33*O33))</f>
        <v/>
      </c>
      <c r="Q33" s="14">
        <f>IF(M33=0,0,P33/M33)</f>
        <v/>
      </c>
      <c r="R33" s="13">
        <f>L33*O33</f>
        <v/>
      </c>
    </row>
    <row r="34">
      <c r="A34" s="12" t="n">
        <v>46168</v>
      </c>
      <c r="B34" s="12" t="n">
        <v>46168</v>
      </c>
      <c r="C34" s="10" t="inlineStr">
        <is>
          <t>RDO309</t>
        </is>
      </c>
      <c r="D34" s="10" t="inlineStr">
        <is>
          <t>5900130281</t>
        </is>
      </c>
      <c r="E34" s="10" t="inlineStr">
        <is>
          <t>Marabá</t>
        </is>
      </c>
      <c r="F34" s="10" t="inlineStr">
        <is>
          <t>Preventiva MARABA</t>
        </is>
      </c>
      <c r="G34" s="10" t="inlineStr">
        <is>
          <t>Jose Domingos Lopes</t>
        </is>
      </c>
      <c r="H34" s="10" t="inlineStr">
        <is>
          <t>2.2.1</t>
        </is>
      </c>
      <c r="I34" s="10" t="inlineStr">
        <is>
          <t>Roçada</t>
        </is>
      </c>
      <c r="J34" s="10" t="inlineStr">
        <is>
          <t>M2</t>
        </is>
      </c>
      <c r="K34" s="13" t="n">
        <v>115.5</v>
      </c>
      <c r="L34" s="10" t="n">
        <v>10</v>
      </c>
      <c r="M34" s="13" t="n">
        <v>50</v>
      </c>
      <c r="N34" s="13" t="n">
        <v>2.8875</v>
      </c>
      <c r="O34" s="13">
        <f>IF(N34=0,0,K34/(L34*N34))</f>
        <v/>
      </c>
      <c r="P34" s="13">
        <f>IF(O34=0,0,K34/(L34*O34))</f>
        <v/>
      </c>
      <c r="Q34" s="14">
        <f>IF(M34=0,0,P34/M34)</f>
        <v/>
      </c>
      <c r="R34" s="13">
        <f>L34*O34</f>
        <v/>
      </c>
    </row>
    <row r="35">
      <c r="A35" s="12" t="n">
        <v>46168</v>
      </c>
      <c r="B35" s="12" t="n">
        <v>46168</v>
      </c>
      <c r="C35" s="10" t="inlineStr">
        <is>
          <t>RDO291</t>
        </is>
      </c>
      <c r="D35" s="10" t="inlineStr">
        <is>
          <t>ENGECOM PARA</t>
        </is>
      </c>
      <c r="E35" s="10" t="inlineStr">
        <is>
          <t>Parauapebas</t>
        </is>
      </c>
      <c r="F35" s="10" t="inlineStr">
        <is>
          <t>Preventiva PARAUAPEBAS</t>
        </is>
      </c>
      <c r="G35" s="10" t="inlineStr">
        <is>
          <t>Leandro Soares Dias</t>
        </is>
      </c>
      <c r="H35" s="10" t="inlineStr">
        <is>
          <t>2.2.1</t>
        </is>
      </c>
      <c r="I35" s="10" t="inlineStr">
        <is>
          <t>Roçada</t>
        </is>
      </c>
      <c r="J35" s="10" t="inlineStr">
        <is>
          <t>M2</t>
        </is>
      </c>
      <c r="K35" s="13" t="n">
        <v>1537.24</v>
      </c>
      <c r="L35" s="10" t="n">
        <v>11</v>
      </c>
      <c r="M35" s="13" t="n">
        <v>50</v>
      </c>
      <c r="N35" s="13" t="n">
        <v>33.5397818181818</v>
      </c>
      <c r="O35" s="13">
        <f>IF(N35=0,0,K35/(L35*N35))</f>
        <v/>
      </c>
      <c r="P35" s="13">
        <f>IF(O35=0,0,K35/(L35*O35))</f>
        <v/>
      </c>
      <c r="Q35" s="14">
        <f>IF(M35=0,0,P35/M35)</f>
        <v/>
      </c>
      <c r="R35" s="13">
        <f>L35*O35</f>
        <v/>
      </c>
    </row>
    <row r="36">
      <c r="A36" s="12" t="n">
        <v>46168</v>
      </c>
      <c r="B36" s="12" t="n">
        <v>46168</v>
      </c>
      <c r="C36" s="10" t="inlineStr">
        <is>
          <t>RDO291</t>
        </is>
      </c>
      <c r="D36" s="10" t="inlineStr">
        <is>
          <t>ENGECOM PARA</t>
        </is>
      </c>
      <c r="E36" s="10" t="inlineStr">
        <is>
          <t>Parauapebas</t>
        </is>
      </c>
      <c r="F36" s="10" t="inlineStr">
        <is>
          <t>Preventiva PARAUAPEBAS</t>
        </is>
      </c>
      <c r="G36" s="10" t="inlineStr">
        <is>
          <t>Leandro Soares Dias</t>
        </is>
      </c>
      <c r="H36" s="10" t="inlineStr">
        <is>
          <t>2.1.5</t>
        </is>
      </c>
      <c r="I36" s="10" t="inlineStr">
        <is>
          <t>Limpeza De Valeta, Sarjetas E Meio Fio</t>
        </is>
      </c>
      <c r="J36" s="10" t="inlineStr">
        <is>
          <t>M</t>
        </is>
      </c>
      <c r="K36" s="13" t="n">
        <v>700.6</v>
      </c>
      <c r="L36" s="10" t="n">
        <v>11</v>
      </c>
      <c r="M36" s="13" t="n">
        <v>9</v>
      </c>
      <c r="N36" s="13" t="n">
        <v>18.1974025974026</v>
      </c>
      <c r="O36" s="13">
        <f>IF(N36=0,0,K36/(L36*N36))</f>
        <v/>
      </c>
      <c r="P36" s="13">
        <f>IF(O36=0,0,K36/(L36*O36))</f>
        <v/>
      </c>
      <c r="Q36" s="14">
        <f>IF(M36=0,0,P36/M36)</f>
        <v/>
      </c>
      <c r="R36" s="13">
        <f>L36*O36</f>
        <v/>
      </c>
    </row>
    <row r="37">
      <c r="A37" s="12" t="n">
        <v>46169</v>
      </c>
      <c r="B37" s="12" t="n">
        <v>46169</v>
      </c>
      <c r="C37" s="10" t="inlineStr">
        <is>
          <t>RDO322</t>
        </is>
      </c>
      <c r="D37" s="10" t="inlineStr">
        <is>
          <t>5900130281</t>
        </is>
      </c>
      <c r="E37" s="10" t="inlineStr">
        <is>
          <t>Canaã</t>
        </is>
      </c>
      <c r="F37" s="10" t="inlineStr">
        <is>
          <t>Preventiva CANNÃ DOS CARAJAS</t>
        </is>
      </c>
      <c r="G37" s="10" t="inlineStr">
        <is>
          <t>Gilvandro Borges Dos Santos</t>
        </is>
      </c>
      <c r="H37" s="10" t="inlineStr">
        <is>
          <t>2.2.1</t>
        </is>
      </c>
      <c r="I37" s="10" t="inlineStr">
        <is>
          <t>Roçada</t>
        </is>
      </c>
      <c r="J37" s="10" t="inlineStr">
        <is>
          <t>M2</t>
        </is>
      </c>
      <c r="K37" s="13" t="n">
        <v>920</v>
      </c>
      <c r="L37" s="10" t="n">
        <v>6</v>
      </c>
      <c r="M37" s="13" t="n">
        <v>50</v>
      </c>
      <c r="N37" s="13" t="n">
        <v>40</v>
      </c>
      <c r="O37" s="13">
        <f>IF(N37=0,0,K37/(L37*N37))</f>
        <v/>
      </c>
      <c r="P37" s="13">
        <f>IF(O37=0,0,K37/(L37*O37))</f>
        <v/>
      </c>
      <c r="Q37" s="14">
        <f>IF(M37=0,0,P37/M37)</f>
        <v/>
      </c>
      <c r="R37" s="13">
        <f>L37*O37</f>
        <v/>
      </c>
    </row>
    <row r="38">
      <c r="A38" s="12" t="n">
        <v>46169</v>
      </c>
      <c r="B38" s="12" t="n">
        <v>46169</v>
      </c>
      <c r="C38" s="10" t="inlineStr">
        <is>
          <t>RDO322</t>
        </is>
      </c>
      <c r="D38" s="10" t="inlineStr">
        <is>
          <t>5900130281</t>
        </is>
      </c>
      <c r="E38" s="10" t="inlineStr">
        <is>
          <t>Canaã</t>
        </is>
      </c>
      <c r="F38" s="10" t="inlineStr">
        <is>
          <t>Preventiva CANNÃ DOS CARAJAS</t>
        </is>
      </c>
      <c r="G38" s="10" t="inlineStr">
        <is>
          <t>Gilvandro Borges Dos Santos</t>
        </is>
      </c>
      <c r="H38" s="10" t="inlineStr">
        <is>
          <t>2.2.1</t>
        </is>
      </c>
      <c r="I38" s="10" t="inlineStr">
        <is>
          <t>Roçada</t>
        </is>
      </c>
      <c r="J38" s="10" t="inlineStr">
        <is>
          <t>M2</t>
        </is>
      </c>
      <c r="K38" s="13" t="n">
        <v>300</v>
      </c>
      <c r="L38" s="10" t="n">
        <v>6</v>
      </c>
      <c r="M38" s="13" t="n">
        <v>50</v>
      </c>
      <c r="N38" s="13" t="n">
        <v>13.0434782608696</v>
      </c>
      <c r="O38" s="13">
        <f>IF(N38=0,0,K38/(L38*N38))</f>
        <v/>
      </c>
      <c r="P38" s="13">
        <f>IF(O38=0,0,K38/(L38*O38))</f>
        <v/>
      </c>
      <c r="Q38" s="14">
        <f>IF(M38=0,0,P38/M38)</f>
        <v/>
      </c>
      <c r="R38" s="13">
        <f>L38*O38</f>
        <v/>
      </c>
    </row>
    <row r="39">
      <c r="A39" s="12" t="n">
        <v>46169</v>
      </c>
      <c r="B39" s="12" t="n">
        <v>46169</v>
      </c>
      <c r="C39" s="10" t="inlineStr">
        <is>
          <t>RDO322</t>
        </is>
      </c>
      <c r="D39" s="10" t="inlineStr">
        <is>
          <t>5900130281</t>
        </is>
      </c>
      <c r="E39" s="10" t="inlineStr">
        <is>
          <t>Canaã</t>
        </is>
      </c>
      <c r="F39" s="10" t="inlineStr">
        <is>
          <t>Preventiva CANNÃ DOS CARAJAS</t>
        </is>
      </c>
      <c r="G39" s="10" t="inlineStr">
        <is>
          <t>Gilvandro Borges Dos Santos</t>
        </is>
      </c>
      <c r="H39" s="10" t="inlineStr">
        <is>
          <t>2.1.3</t>
        </is>
      </c>
      <c r="I39" s="10" t="inlineStr">
        <is>
          <t>Limpeza De Canaleta Em Corte E Aterro Ate Meia Seção</t>
        </is>
      </c>
      <c r="J39" s="10" t="inlineStr">
        <is>
          <t>M</t>
        </is>
      </c>
      <c r="K39" s="13" t="n">
        <v>100</v>
      </c>
      <c r="L39" s="10" t="n">
        <v>6</v>
      </c>
      <c r="M39" s="13" t="n">
        <v>15</v>
      </c>
      <c r="N39" s="13" t="n">
        <v>4.16666666666667</v>
      </c>
      <c r="O39" s="13">
        <f>IF(N39=0,0,K39/(L39*N39))</f>
        <v/>
      </c>
      <c r="P39" s="13">
        <f>IF(O39=0,0,K39/(L39*O39))</f>
        <v/>
      </c>
      <c r="Q39" s="14">
        <f>IF(M39=0,0,P39/M39)</f>
        <v/>
      </c>
      <c r="R39" s="13">
        <f>L39*O39</f>
        <v/>
      </c>
    </row>
    <row r="40">
      <c r="A40" s="12" t="n">
        <v>46169</v>
      </c>
      <c r="B40" s="12" t="n">
        <v>46169</v>
      </c>
      <c r="C40" s="10" t="inlineStr">
        <is>
          <t>RDO310</t>
        </is>
      </c>
      <c r="D40" s="10" t="inlineStr">
        <is>
          <t>5900130281</t>
        </is>
      </c>
      <c r="E40" s="10" t="inlineStr">
        <is>
          <t>Marabá</t>
        </is>
      </c>
      <c r="F40" s="10" t="inlineStr">
        <is>
          <t>Preventiva MARABA</t>
        </is>
      </c>
      <c r="G40" s="10" t="inlineStr">
        <is>
          <t>Jose Domingos Lopes</t>
        </is>
      </c>
      <c r="H40" s="10" t="inlineStr">
        <is>
          <t>2.2.1</t>
        </is>
      </c>
      <c r="I40" s="10" t="inlineStr">
        <is>
          <t>Roçada</t>
        </is>
      </c>
      <c r="J40" s="10" t="inlineStr">
        <is>
          <t>M2</t>
        </is>
      </c>
      <c r="K40" s="13" t="n">
        <v>100</v>
      </c>
      <c r="L40" s="10" t="n">
        <v>10</v>
      </c>
      <c r="M40" s="13" t="n">
        <v>50</v>
      </c>
      <c r="N40" s="13" t="n">
        <v>3.33333333333333</v>
      </c>
      <c r="O40" s="13">
        <f>IF(N40=0,0,K40/(L40*N40))</f>
        <v/>
      </c>
      <c r="P40" s="13">
        <f>IF(O40=0,0,K40/(L40*O40))</f>
        <v/>
      </c>
      <c r="Q40" s="14">
        <f>IF(M40=0,0,P40/M40)</f>
        <v/>
      </c>
      <c r="R40" s="13">
        <f>L40*O40</f>
        <v/>
      </c>
    </row>
    <row r="41">
      <c r="A41" s="12" t="n">
        <v>46169</v>
      </c>
      <c r="B41" s="12" t="n">
        <v>46169</v>
      </c>
      <c r="C41" s="10" t="inlineStr">
        <is>
          <t>RDO310</t>
        </is>
      </c>
      <c r="D41" s="10" t="inlineStr">
        <is>
          <t>5900130281</t>
        </is>
      </c>
      <c r="E41" s="10" t="inlineStr">
        <is>
          <t>Marabá</t>
        </is>
      </c>
      <c r="F41" s="10" t="inlineStr">
        <is>
          <t>Preventiva MARABA</t>
        </is>
      </c>
      <c r="G41" s="10" t="inlineStr">
        <is>
          <t>Jose Domingos Lopes</t>
        </is>
      </c>
      <c r="H41" s="10" t="inlineStr">
        <is>
          <t>2.2.1</t>
        </is>
      </c>
      <c r="I41" s="10" t="inlineStr">
        <is>
          <t>Roçada</t>
        </is>
      </c>
      <c r="J41" s="10" t="inlineStr">
        <is>
          <t>M2</t>
        </is>
      </c>
      <c r="K41" s="13" t="n">
        <v>330</v>
      </c>
      <c r="L41" s="10" t="n">
        <v>10</v>
      </c>
      <c r="M41" s="13" t="n">
        <v>50</v>
      </c>
      <c r="N41" s="13" t="n">
        <v>11</v>
      </c>
      <c r="O41" s="13">
        <f>IF(N41=0,0,K41/(L41*N41))</f>
        <v/>
      </c>
      <c r="P41" s="13">
        <f>IF(O41=0,0,K41/(L41*O41))</f>
        <v/>
      </c>
      <c r="Q41" s="14">
        <f>IF(M41=0,0,P41/M41)</f>
        <v/>
      </c>
      <c r="R41" s="13">
        <f>L41*O41</f>
        <v/>
      </c>
    </row>
    <row r="42">
      <c r="A42" s="12" t="n">
        <v>46169</v>
      </c>
      <c r="B42" s="12" t="n">
        <v>46169</v>
      </c>
      <c r="C42" s="10" t="inlineStr">
        <is>
          <t>RDO310</t>
        </is>
      </c>
      <c r="D42" s="10" t="inlineStr">
        <is>
          <t>5900130281</t>
        </is>
      </c>
      <c r="E42" s="10" t="inlineStr">
        <is>
          <t>Marabá</t>
        </is>
      </c>
      <c r="F42" s="10" t="inlineStr">
        <is>
          <t>Preventiva MARABA</t>
        </is>
      </c>
      <c r="G42" s="10" t="inlineStr">
        <is>
          <t>Jose Domingos Lopes</t>
        </is>
      </c>
      <c r="H42" s="10" t="inlineStr">
        <is>
          <t>2.1.4.1</t>
        </is>
      </c>
      <c r="I42" s="10" t="inlineStr">
        <is>
          <t>Limpeza De Canaleta Em Corte E Aterro Com Seção Plena - Mec</t>
        </is>
      </c>
      <c r="J42" s="10" t="inlineStr">
        <is>
          <t>M</t>
        </is>
      </c>
      <c r="K42" s="13" t="n">
        <v>184</v>
      </c>
      <c r="L42" s="10" t="n">
        <v>1</v>
      </c>
      <c r="M42" s="13" t="n">
        <v>18</v>
      </c>
      <c r="N42" s="13" t="n">
        <v>30.6666666666667</v>
      </c>
      <c r="O42" s="13">
        <f>IF(N42=0,0,K42/(L42*N42))</f>
        <v/>
      </c>
      <c r="P42" s="13">
        <f>IF(O42=0,0,K42/(L42*O42))</f>
        <v/>
      </c>
      <c r="Q42" s="14">
        <f>IF(M42=0,0,P42/M42)</f>
        <v/>
      </c>
      <c r="R42" s="13">
        <f>L42*O42</f>
        <v/>
      </c>
    </row>
    <row r="43">
      <c r="A43" s="12" t="n">
        <v>46169</v>
      </c>
      <c r="B43" s="12" t="n">
        <v>46169</v>
      </c>
      <c r="C43" s="10" t="inlineStr">
        <is>
          <t>RDO310</t>
        </is>
      </c>
      <c r="D43" s="10" t="inlineStr">
        <is>
          <t>5900130281</t>
        </is>
      </c>
      <c r="E43" s="10" t="inlineStr">
        <is>
          <t>Marabá</t>
        </is>
      </c>
      <c r="F43" s="10" t="inlineStr">
        <is>
          <t>Preventiva MARABA</t>
        </is>
      </c>
      <c r="G43" s="10" t="inlineStr">
        <is>
          <t>Jose Domingos Lopes</t>
        </is>
      </c>
      <c r="H43" s="10" t="inlineStr">
        <is>
          <t>2.2.2</t>
        </is>
      </c>
      <c r="I43" s="10" t="inlineStr">
        <is>
          <t>Capina</t>
        </is>
      </c>
      <c r="J43" s="10" t="inlineStr">
        <is>
          <t>M2</t>
        </is>
      </c>
      <c r="K43" s="13" t="n">
        <v>78.40000000000001</v>
      </c>
      <c r="L43" s="10" t="n">
        <v>10</v>
      </c>
      <c r="M43" s="13" t="n">
        <v>4</v>
      </c>
      <c r="N43" s="13" t="n">
        <v>3.92</v>
      </c>
      <c r="O43" s="13">
        <f>IF(N43=0,0,K43/(L43*N43))</f>
        <v/>
      </c>
      <c r="P43" s="13">
        <f>IF(O43=0,0,K43/(L43*O43))</f>
        <v/>
      </c>
      <c r="Q43" s="14">
        <f>IF(M43=0,0,P43/M43)</f>
        <v/>
      </c>
      <c r="R43" s="13">
        <f>L43*O43</f>
        <v/>
      </c>
    </row>
    <row r="44">
      <c r="A44" s="12" t="n">
        <v>46169</v>
      </c>
      <c r="B44" s="12" t="n">
        <v>46169</v>
      </c>
      <c r="C44" s="10" t="inlineStr">
        <is>
          <t>RDO310</t>
        </is>
      </c>
      <c r="D44" s="10" t="inlineStr">
        <is>
          <t>5900130281</t>
        </is>
      </c>
      <c r="E44" s="10" t="inlineStr">
        <is>
          <t>Marabá</t>
        </is>
      </c>
      <c r="F44" s="10" t="inlineStr">
        <is>
          <t>Preventiva MARABA</t>
        </is>
      </c>
      <c r="G44" s="10" t="inlineStr">
        <is>
          <t>Jose Domingos Lopes</t>
        </is>
      </c>
      <c r="H44" s="10" t="inlineStr">
        <is>
          <t>2.2.1</t>
        </is>
      </c>
      <c r="I44" s="10" t="inlineStr">
        <is>
          <t>Roçada</t>
        </is>
      </c>
      <c r="J44" s="10" t="inlineStr">
        <is>
          <t>M2</t>
        </is>
      </c>
      <c r="K44" s="13" t="n">
        <v>461.25</v>
      </c>
      <c r="L44" s="10" t="n">
        <v>10</v>
      </c>
      <c r="M44" s="13" t="n">
        <v>50</v>
      </c>
      <c r="N44" s="13" t="n">
        <v>15.375</v>
      </c>
      <c r="O44" s="13">
        <f>IF(N44=0,0,K44/(L44*N44))</f>
        <v/>
      </c>
      <c r="P44" s="13">
        <f>IF(O44=0,0,K44/(L44*O44))</f>
        <v/>
      </c>
      <c r="Q44" s="14">
        <f>IF(M44=0,0,P44/M44)</f>
        <v/>
      </c>
      <c r="R44" s="13">
        <f>L44*O44</f>
        <v/>
      </c>
    </row>
    <row r="45">
      <c r="A45" s="12" t="n">
        <v>46169</v>
      </c>
      <c r="B45" s="12" t="n">
        <v>46169</v>
      </c>
      <c r="C45" s="10" t="inlineStr">
        <is>
          <t>RDO310</t>
        </is>
      </c>
      <c r="D45" s="10" t="inlineStr">
        <is>
          <t>5900130281</t>
        </is>
      </c>
      <c r="E45" s="10" t="inlineStr">
        <is>
          <t>Marabá</t>
        </is>
      </c>
      <c r="F45" s="10" t="inlineStr">
        <is>
          <t>Preventiva MARABA</t>
        </is>
      </c>
      <c r="G45" s="10" t="inlineStr">
        <is>
          <t>Jose Domingos Lopes</t>
        </is>
      </c>
      <c r="H45" s="10" t="inlineStr">
        <is>
          <t>2.2.1.1</t>
        </is>
      </c>
      <c r="I45" s="10" t="inlineStr">
        <is>
          <t>Roçada - Mec</t>
        </is>
      </c>
      <c r="J45" s="10" t="inlineStr">
        <is>
          <t>M2</t>
        </is>
      </c>
      <c r="K45" s="13" t="n">
        <v>66.5</v>
      </c>
      <c r="L45" s="10" t="n">
        <v>3</v>
      </c>
      <c r="M45" s="13" t="n">
        <v>9</v>
      </c>
      <c r="N45" s="13" t="n">
        <v>5.54166666666667</v>
      </c>
      <c r="O45" s="13">
        <f>IF(N45=0,0,K45/(L45*N45))</f>
        <v/>
      </c>
      <c r="P45" s="13">
        <f>IF(O45=0,0,K45/(L45*O45))</f>
        <v/>
      </c>
      <c r="Q45" s="14">
        <f>IF(M45=0,0,P45/M45)</f>
        <v/>
      </c>
      <c r="R45" s="13">
        <f>L45*O45</f>
        <v/>
      </c>
    </row>
    <row r="46">
      <c r="A46" s="12" t="n">
        <v>46169</v>
      </c>
      <c r="B46" s="12" t="n">
        <v>46169</v>
      </c>
      <c r="C46" s="10" t="inlineStr">
        <is>
          <t>RDO310</t>
        </is>
      </c>
      <c r="D46" s="10" t="inlineStr">
        <is>
          <t>5900130281</t>
        </is>
      </c>
      <c r="E46" s="10" t="inlineStr">
        <is>
          <t>Marabá</t>
        </is>
      </c>
      <c r="F46" s="10" t="inlineStr">
        <is>
          <t>Preventiva MARABA</t>
        </is>
      </c>
      <c r="G46" s="10" t="inlineStr">
        <is>
          <t>Jose Domingos Lopes</t>
        </is>
      </c>
      <c r="H46" s="10" t="inlineStr">
        <is>
          <t>2.2.1.1</t>
        </is>
      </c>
      <c r="I46" s="10" t="inlineStr">
        <is>
          <t>Roçada - Mec</t>
        </is>
      </c>
      <c r="J46" s="10" t="inlineStr">
        <is>
          <t>M2</t>
        </is>
      </c>
      <c r="K46" s="13" t="n">
        <v>17.5</v>
      </c>
      <c r="L46" s="10" t="n">
        <v>3</v>
      </c>
      <c r="M46" s="13" t="n">
        <v>9</v>
      </c>
      <c r="N46" s="13" t="n">
        <v>1.45833333333333</v>
      </c>
      <c r="O46" s="13">
        <f>IF(N46=0,0,K46/(L46*N46))</f>
        <v/>
      </c>
      <c r="P46" s="13">
        <f>IF(O46=0,0,K46/(L46*O46))</f>
        <v/>
      </c>
      <c r="Q46" s="14">
        <f>IF(M46=0,0,P46/M46)</f>
        <v/>
      </c>
      <c r="R46" s="13">
        <f>L46*O46</f>
        <v/>
      </c>
    </row>
    <row r="47">
      <c r="A47" s="12" t="n">
        <v>46169</v>
      </c>
      <c r="B47" s="12" t="n">
        <v>46169</v>
      </c>
      <c r="C47" s="10" t="inlineStr">
        <is>
          <t>RDO310</t>
        </is>
      </c>
      <c r="D47" s="10" t="inlineStr">
        <is>
          <t>5900130281</t>
        </is>
      </c>
      <c r="E47" s="10" t="inlineStr">
        <is>
          <t>Marabá</t>
        </is>
      </c>
      <c r="F47" s="10" t="inlineStr">
        <is>
          <t>Preventiva MARABA</t>
        </is>
      </c>
      <c r="G47" s="10" t="inlineStr">
        <is>
          <t>Jose Domingos Lopes</t>
        </is>
      </c>
      <c r="H47" s="10" t="inlineStr">
        <is>
          <t>2.2.1.1</t>
        </is>
      </c>
      <c r="I47" s="10" t="inlineStr">
        <is>
          <t>Roçada - Mec</t>
        </is>
      </c>
      <c r="J47" s="10" t="inlineStr">
        <is>
          <t>M2</t>
        </is>
      </c>
      <c r="K47" s="13" t="n">
        <v>50</v>
      </c>
      <c r="L47" s="10" t="n">
        <v>3</v>
      </c>
      <c r="M47" s="13" t="n">
        <v>9</v>
      </c>
      <c r="N47" s="13" t="n">
        <v>4.16666666666667</v>
      </c>
      <c r="O47" s="13">
        <f>IF(N47=0,0,K47/(L47*N47))</f>
        <v/>
      </c>
      <c r="P47" s="13">
        <f>IF(O47=0,0,K47/(L47*O47))</f>
        <v/>
      </c>
      <c r="Q47" s="14">
        <f>IF(M47=0,0,P47/M47)</f>
        <v/>
      </c>
      <c r="R47" s="13">
        <f>L47*O47</f>
        <v/>
      </c>
    </row>
    <row r="48">
      <c r="A48" s="12" t="n">
        <v>46169</v>
      </c>
      <c r="B48" s="12" t="n">
        <v>46169</v>
      </c>
      <c r="C48" s="10" t="inlineStr">
        <is>
          <t>RDO310</t>
        </is>
      </c>
      <c r="D48" s="10" t="inlineStr">
        <is>
          <t>5900130281</t>
        </is>
      </c>
      <c r="E48" s="10" t="inlineStr">
        <is>
          <t>Marabá</t>
        </is>
      </c>
      <c r="F48" s="10" t="inlineStr">
        <is>
          <t>Preventiva MARABA</t>
        </is>
      </c>
      <c r="G48" s="10" t="inlineStr">
        <is>
          <t>Jose Domingos Lopes</t>
        </is>
      </c>
      <c r="H48" s="10" t="inlineStr">
        <is>
          <t>2.2.1.1</t>
        </is>
      </c>
      <c r="I48" s="10" t="inlineStr">
        <is>
          <t>Roçada - Mec</t>
        </is>
      </c>
      <c r="J48" s="10" t="inlineStr">
        <is>
          <t>M2</t>
        </is>
      </c>
      <c r="K48" s="13" t="n">
        <v>68</v>
      </c>
      <c r="L48" s="10" t="n">
        <v>3</v>
      </c>
      <c r="M48" s="13" t="n">
        <v>9</v>
      </c>
      <c r="N48" s="13" t="n">
        <v>5.66666666666667</v>
      </c>
      <c r="O48" s="13">
        <f>IF(N48=0,0,K48/(L48*N48))</f>
        <v/>
      </c>
      <c r="P48" s="13">
        <f>IF(O48=0,0,K48/(L48*O48))</f>
        <v/>
      </c>
      <c r="Q48" s="14">
        <f>IF(M48=0,0,P48/M48)</f>
        <v/>
      </c>
      <c r="R48" s="13">
        <f>L48*O48</f>
        <v/>
      </c>
    </row>
    <row r="49">
      <c r="A49" s="12" t="n">
        <v>46169</v>
      </c>
      <c r="B49" s="12" t="n">
        <v>46169</v>
      </c>
      <c r="C49" s="10" t="inlineStr">
        <is>
          <t>RDO310</t>
        </is>
      </c>
      <c r="D49" s="10" t="inlineStr">
        <is>
          <t>5900130281</t>
        </is>
      </c>
      <c r="E49" s="10" t="inlineStr">
        <is>
          <t>Marabá</t>
        </is>
      </c>
      <c r="F49" s="10" t="inlineStr">
        <is>
          <t>Preventiva MARABA</t>
        </is>
      </c>
      <c r="G49" s="10" t="inlineStr">
        <is>
          <t>Jose Domingos Lopes</t>
        </is>
      </c>
      <c r="H49" s="10" t="inlineStr">
        <is>
          <t>2.2.1.1</t>
        </is>
      </c>
      <c r="I49" s="10" t="inlineStr">
        <is>
          <t>Roçada - Mec</t>
        </is>
      </c>
      <c r="J49" s="10" t="inlineStr">
        <is>
          <t>M2</t>
        </is>
      </c>
      <c r="K49" s="13" t="n">
        <v>259</v>
      </c>
      <c r="L49" s="10" t="n">
        <v>3</v>
      </c>
      <c r="M49" s="13" t="n">
        <v>9</v>
      </c>
      <c r="N49" s="13" t="n">
        <v>21.5833333333333</v>
      </c>
      <c r="O49" s="13">
        <f>IF(N49=0,0,K49/(L49*N49))</f>
        <v/>
      </c>
      <c r="P49" s="13">
        <f>IF(O49=0,0,K49/(L49*O49))</f>
        <v/>
      </c>
      <c r="Q49" s="14">
        <f>IF(M49=0,0,P49/M49)</f>
        <v/>
      </c>
      <c r="R49" s="13">
        <f>L49*O49</f>
        <v/>
      </c>
    </row>
    <row r="50">
      <c r="A50" s="12" t="n">
        <v>46169</v>
      </c>
      <c r="B50" s="12" t="n">
        <v>46169</v>
      </c>
      <c r="C50" s="10" t="inlineStr">
        <is>
          <t>RDO310</t>
        </is>
      </c>
      <c r="D50" s="10" t="inlineStr">
        <is>
          <t>5900130281</t>
        </is>
      </c>
      <c r="E50" s="10" t="inlineStr">
        <is>
          <t>Marabá</t>
        </is>
      </c>
      <c r="F50" s="10" t="inlineStr">
        <is>
          <t>Preventiva MARABA</t>
        </is>
      </c>
      <c r="G50" s="10" t="inlineStr">
        <is>
          <t>Jose Domingos Lopes</t>
        </is>
      </c>
      <c r="H50" s="10" t="inlineStr">
        <is>
          <t>2.2.1.1</t>
        </is>
      </c>
      <c r="I50" s="10" t="inlineStr">
        <is>
          <t>Roçada - Mec</t>
        </is>
      </c>
      <c r="J50" s="10" t="inlineStr">
        <is>
          <t>M2</t>
        </is>
      </c>
      <c r="K50" s="13" t="n">
        <v>165</v>
      </c>
      <c r="L50" s="10" t="n">
        <v>3</v>
      </c>
      <c r="M50" s="13" t="n">
        <v>9</v>
      </c>
      <c r="N50" s="13" t="n">
        <v>13.75</v>
      </c>
      <c r="O50" s="13">
        <f>IF(N50=0,0,K50/(L50*N50))</f>
        <v/>
      </c>
      <c r="P50" s="13">
        <f>IF(O50=0,0,K50/(L50*O50))</f>
        <v/>
      </c>
      <c r="Q50" s="14">
        <f>IF(M50=0,0,P50/M50)</f>
        <v/>
      </c>
      <c r="R50" s="13">
        <f>L50*O50</f>
        <v/>
      </c>
    </row>
    <row r="51">
      <c r="A51" s="12" t="n">
        <v>46169</v>
      </c>
      <c r="B51" s="12" t="n">
        <v>46169</v>
      </c>
      <c r="C51" s="10" t="inlineStr">
        <is>
          <t>RDO312</t>
        </is>
      </c>
      <c r="D51" s="10" t="inlineStr">
        <is>
          <t>5900130281</t>
        </is>
      </c>
      <c r="E51" s="10" t="inlineStr">
        <is>
          <t>Marabá</t>
        </is>
      </c>
      <c r="F51" s="10" t="inlineStr">
        <is>
          <t>Preventiva MARABA</t>
        </is>
      </c>
      <c r="G51" s="10" t="inlineStr">
        <is>
          <t>Jose Domingos Lopes</t>
        </is>
      </c>
      <c r="H51" s="10" t="inlineStr">
        <is>
          <t>2.2.2.1</t>
        </is>
      </c>
      <c r="I51" s="10" t="inlineStr">
        <is>
          <t>Capina  - Mec</t>
        </is>
      </c>
      <c r="J51" s="10" t="inlineStr">
        <is>
          <t>M2</t>
        </is>
      </c>
      <c r="K51" s="13" t="n">
        <v>698.5</v>
      </c>
      <c r="L51" s="10" t="n">
        <v>1</v>
      </c>
      <c r="M51" s="13" t="n">
        <v>150</v>
      </c>
      <c r="N51" s="13" t="n">
        <v>174.625</v>
      </c>
      <c r="O51" s="13">
        <f>IF(N51=0,0,K51/(L51*N51))</f>
        <v/>
      </c>
      <c r="P51" s="13">
        <f>IF(O51=0,0,K51/(L51*O51))</f>
        <v/>
      </c>
      <c r="Q51" s="14">
        <f>IF(M51=0,0,P51/M51)</f>
        <v/>
      </c>
      <c r="R51" s="13">
        <f>L51*O51</f>
        <v/>
      </c>
    </row>
    <row r="52">
      <c r="A52" s="12" t="n">
        <v>46169</v>
      </c>
      <c r="B52" s="12" t="n">
        <v>46169</v>
      </c>
      <c r="C52" s="10" t="inlineStr">
        <is>
          <t>RDO312</t>
        </is>
      </c>
      <c r="D52" s="10" t="inlineStr">
        <is>
          <t>5900130281</t>
        </is>
      </c>
      <c r="E52" s="10" t="inlineStr">
        <is>
          <t>Marabá</t>
        </is>
      </c>
      <c r="F52" s="10" t="inlineStr">
        <is>
          <t>Preventiva MARABA</t>
        </is>
      </c>
      <c r="G52" s="10" t="inlineStr">
        <is>
          <t>Jose Domingos Lopes</t>
        </is>
      </c>
      <c r="H52" s="10" t="inlineStr">
        <is>
          <t>2.1.7</t>
        </is>
      </c>
      <c r="I52" s="10" t="inlineStr">
        <is>
          <t>Recuperação De Drenagem Tipo Canaleta/Valeta Em Taludes, Limitando-Se A 100M De Extensão</t>
        </is>
      </c>
      <c r="J52" s="10" t="inlineStr">
        <is>
          <t>M</t>
        </is>
      </c>
      <c r="K52" s="13" t="n">
        <v>30.41</v>
      </c>
      <c r="L52" s="10" t="n">
        <v>10</v>
      </c>
      <c r="M52" s="13" t="n">
        <v>1</v>
      </c>
      <c r="N52" s="13" t="n">
        <v>1.01366666666667</v>
      </c>
      <c r="O52" s="13">
        <f>IF(N52=0,0,K52/(L52*N52))</f>
        <v/>
      </c>
      <c r="P52" s="13">
        <f>IF(O52=0,0,K52/(L52*O52))</f>
        <v/>
      </c>
      <c r="Q52" s="14">
        <f>IF(M52=0,0,P52/M52)</f>
        <v/>
      </c>
      <c r="R52" s="13">
        <f>L52*O52</f>
        <v/>
      </c>
    </row>
    <row r="53">
      <c r="A53" s="12" t="n">
        <v>46169</v>
      </c>
      <c r="B53" s="12" t="n">
        <v>46169</v>
      </c>
      <c r="C53" s="10" t="inlineStr">
        <is>
          <t>RDO319</t>
        </is>
      </c>
      <c r="D53" s="10" t="inlineStr">
        <is>
          <t>5900130281</t>
        </is>
      </c>
      <c r="E53" s="10" t="inlineStr">
        <is>
          <t>Parauapebas</t>
        </is>
      </c>
      <c r="F53" s="10" t="inlineStr">
        <is>
          <t>Preventiva PARAUAPEBAS</t>
        </is>
      </c>
      <c r="G53" s="10" t="inlineStr">
        <is>
          <t>Leandro Soares Dias</t>
        </is>
      </c>
      <c r="H53" s="10" t="inlineStr">
        <is>
          <t>2.1.5</t>
        </is>
      </c>
      <c r="I53" s="10" t="inlineStr">
        <is>
          <t>Limpeza De Valeta, Sarjetas E Meio Fio</t>
        </is>
      </c>
      <c r="J53" s="10" t="inlineStr">
        <is>
          <t>M</t>
        </is>
      </c>
      <c r="K53" s="13" t="n">
        <v>131.5</v>
      </c>
      <c r="L53" s="10" t="n">
        <v>10</v>
      </c>
      <c r="M53" s="13" t="n">
        <v>9</v>
      </c>
      <c r="N53" s="13" t="n">
        <v>13.15</v>
      </c>
      <c r="O53" s="13">
        <f>IF(N53=0,0,K53/(L53*N53))</f>
        <v/>
      </c>
      <c r="P53" s="13">
        <f>IF(O53=0,0,K53/(L53*O53))</f>
        <v/>
      </c>
      <c r="Q53" s="14">
        <f>IF(M53=0,0,P53/M53)</f>
        <v/>
      </c>
      <c r="R53" s="13">
        <f>L53*O53</f>
        <v/>
      </c>
    </row>
    <row r="54">
      <c r="A54" s="12" t="n">
        <v>46169</v>
      </c>
      <c r="B54" s="12" t="n">
        <v>46169</v>
      </c>
      <c r="C54" s="10" t="inlineStr">
        <is>
          <t>RDO319</t>
        </is>
      </c>
      <c r="D54" s="10" t="inlineStr">
        <is>
          <t>5900130281</t>
        </is>
      </c>
      <c r="E54" s="10" t="inlineStr">
        <is>
          <t>Parauapebas</t>
        </is>
      </c>
      <c r="F54" s="10" t="inlineStr">
        <is>
          <t>Preventiva PARAUAPEBAS</t>
        </is>
      </c>
      <c r="G54" s="10" t="inlineStr">
        <is>
          <t>Leandro Soares Dias</t>
        </is>
      </c>
      <c r="H54" s="10" t="inlineStr">
        <is>
          <t>2.1.5</t>
        </is>
      </c>
      <c r="I54" s="10" t="inlineStr">
        <is>
          <t>Limpeza De Valeta, Sarjetas E Meio Fio</t>
        </is>
      </c>
      <c r="J54" s="10" t="inlineStr">
        <is>
          <t>M</t>
        </is>
      </c>
      <c r="K54" s="13" t="n">
        <v>193.7</v>
      </c>
      <c r="L54" s="10" t="n">
        <v>10</v>
      </c>
      <c r="M54" s="13" t="n">
        <v>9</v>
      </c>
      <c r="N54" s="13" t="n">
        <v>12.9133333333333</v>
      </c>
      <c r="O54" s="13">
        <f>IF(N54=0,0,K54/(L54*N54))</f>
        <v/>
      </c>
      <c r="P54" s="13">
        <f>IF(O54=0,0,K54/(L54*O54))</f>
        <v/>
      </c>
      <c r="Q54" s="14">
        <f>IF(M54=0,0,P54/M54)</f>
        <v/>
      </c>
      <c r="R54" s="13">
        <f>L54*O54</f>
        <v/>
      </c>
    </row>
    <row r="55">
      <c r="A55" s="12" t="n">
        <v>46169</v>
      </c>
      <c r="B55" s="12" t="n">
        <v>46169</v>
      </c>
      <c r="C55" s="10" t="inlineStr">
        <is>
          <t>RDO319</t>
        </is>
      </c>
      <c r="D55" s="10" t="inlineStr">
        <is>
          <t>5900130281</t>
        </is>
      </c>
      <c r="E55" s="10" t="inlineStr">
        <is>
          <t>Parauapebas</t>
        </is>
      </c>
      <c r="F55" s="10" t="inlineStr">
        <is>
          <t>Preventiva PARAUAPEBAS</t>
        </is>
      </c>
      <c r="G55" s="10" t="inlineStr">
        <is>
          <t>Leandro Soares Dias</t>
        </is>
      </c>
      <c r="H55" s="10" t="inlineStr">
        <is>
          <t>2.2.1</t>
        </is>
      </c>
      <c r="I55" s="10" t="inlineStr">
        <is>
          <t>Roçada</t>
        </is>
      </c>
      <c r="J55" s="10" t="inlineStr">
        <is>
          <t>M2</t>
        </is>
      </c>
      <c r="K55" s="13" t="n">
        <v>2245.11</v>
      </c>
      <c r="L55" s="10" t="n">
        <v>10</v>
      </c>
      <c r="M55" s="13" t="n">
        <v>50</v>
      </c>
      <c r="N55" s="13" t="n">
        <v>224.511</v>
      </c>
      <c r="O55" s="13">
        <f>IF(N55=0,0,K55/(L55*N55))</f>
        <v/>
      </c>
      <c r="P55" s="13">
        <f>IF(O55=0,0,K55/(L55*O55))</f>
        <v/>
      </c>
      <c r="Q55" s="14">
        <f>IF(M55=0,0,P55/M55)</f>
        <v/>
      </c>
      <c r="R55" s="13">
        <f>L55*O55</f>
        <v/>
      </c>
    </row>
    <row r="56">
      <c r="A56" s="12" t="n">
        <v>46169</v>
      </c>
      <c r="B56" s="12" t="n">
        <v>46169</v>
      </c>
      <c r="C56" s="10" t="inlineStr">
        <is>
          <t>RDO319</t>
        </is>
      </c>
      <c r="D56" s="10" t="inlineStr">
        <is>
          <t>5900130281</t>
        </is>
      </c>
      <c r="E56" s="10" t="inlineStr">
        <is>
          <t>Parauapebas</t>
        </is>
      </c>
      <c r="F56" s="10" t="inlineStr">
        <is>
          <t>Preventiva PARAUAPEBAS</t>
        </is>
      </c>
      <c r="G56" s="10" t="inlineStr">
        <is>
          <t>Leandro Soares Dias</t>
        </is>
      </c>
      <c r="H56" s="10" t="inlineStr">
        <is>
          <t>2.2.1</t>
        </is>
      </c>
      <c r="I56" s="10" t="inlineStr">
        <is>
          <t>Roçada</t>
        </is>
      </c>
      <c r="J56" s="10" t="inlineStr">
        <is>
          <t>M2</t>
        </is>
      </c>
      <c r="K56" s="13" t="n">
        <v>3297.41</v>
      </c>
      <c r="L56" s="10" t="n">
        <v>10</v>
      </c>
      <c r="M56" s="13" t="n">
        <v>50</v>
      </c>
      <c r="N56" s="13" t="n">
        <v>329.741</v>
      </c>
      <c r="O56" s="13">
        <f>IF(N56=0,0,K56/(L56*N56))</f>
        <v/>
      </c>
      <c r="P56" s="13">
        <f>IF(O56=0,0,K56/(L56*O56))</f>
        <v/>
      </c>
      <c r="Q56" s="14">
        <f>IF(M56=0,0,P56/M56)</f>
        <v/>
      </c>
      <c r="R56" s="13">
        <f>L56*O56</f>
        <v/>
      </c>
    </row>
    <row r="57">
      <c r="A57" s="12" t="n">
        <v>46169</v>
      </c>
      <c r="B57" s="12" t="n">
        <v>46169</v>
      </c>
      <c r="C57" s="10" t="inlineStr">
        <is>
          <t>RDO319</t>
        </is>
      </c>
      <c r="D57" s="10" t="inlineStr">
        <is>
          <t>5900130281</t>
        </is>
      </c>
      <c r="E57" s="10" t="inlineStr">
        <is>
          <t>Parauapebas</t>
        </is>
      </c>
      <c r="F57" s="10" t="inlineStr">
        <is>
          <t>Preventiva PARAUAPEBAS</t>
        </is>
      </c>
      <c r="G57" s="10" t="inlineStr">
        <is>
          <t>Leandro Soares Dias</t>
        </is>
      </c>
      <c r="H57" s="10" t="inlineStr">
        <is>
          <t>2.2.1</t>
        </is>
      </c>
      <c r="I57" s="10" t="inlineStr">
        <is>
          <t>Roçada</t>
        </is>
      </c>
      <c r="J57" s="10" t="inlineStr">
        <is>
          <t>M2</t>
        </is>
      </c>
      <c r="K57" s="13" t="n">
        <v>247.76</v>
      </c>
      <c r="L57" s="10" t="n">
        <v>10</v>
      </c>
      <c r="M57" s="13" t="n">
        <v>50</v>
      </c>
      <c r="N57" s="13" t="n">
        <v>24.776</v>
      </c>
      <c r="O57" s="13">
        <f>IF(N57=0,0,K57/(L57*N57))</f>
        <v/>
      </c>
      <c r="P57" s="13">
        <f>IF(O57=0,0,K57/(L57*O57))</f>
        <v/>
      </c>
      <c r="Q57" s="14">
        <f>IF(M57=0,0,P57/M57)</f>
        <v/>
      </c>
      <c r="R57" s="13">
        <f>L57*O57</f>
        <v/>
      </c>
    </row>
    <row r="58">
      <c r="A58" s="12" t="n">
        <v>46169</v>
      </c>
      <c r="B58" s="12" t="n">
        <v>46169</v>
      </c>
      <c r="C58" s="10" t="inlineStr">
        <is>
          <t>RDO319</t>
        </is>
      </c>
      <c r="D58" s="10" t="inlineStr">
        <is>
          <t>5900130281</t>
        </is>
      </c>
      <c r="E58" s="10" t="inlineStr">
        <is>
          <t>Parauapebas</t>
        </is>
      </c>
      <c r="F58" s="10" t="inlineStr">
        <is>
          <t>Preventiva PARAUAPEBAS</t>
        </is>
      </c>
      <c r="G58" s="10" t="inlineStr">
        <is>
          <t>Leandro Soares Dias</t>
        </is>
      </c>
      <c r="H58" s="10" t="inlineStr">
        <is>
          <t>2.2.1</t>
        </is>
      </c>
      <c r="I58" s="10" t="inlineStr">
        <is>
          <t>Roçada</t>
        </is>
      </c>
      <c r="J58" s="10" t="inlineStr">
        <is>
          <t>M2</t>
        </is>
      </c>
      <c r="K58" s="13" t="n">
        <v>194.82</v>
      </c>
      <c r="L58" s="10" t="n">
        <v>10</v>
      </c>
      <c r="M58" s="13" t="n">
        <v>50</v>
      </c>
      <c r="N58" s="13" t="n">
        <v>19.482</v>
      </c>
      <c r="O58" s="13">
        <f>IF(N58=0,0,K58/(L58*N58))</f>
        <v/>
      </c>
      <c r="P58" s="13">
        <f>IF(O58=0,0,K58/(L58*O58))</f>
        <v/>
      </c>
      <c r="Q58" s="14">
        <f>IF(M58=0,0,P58/M58)</f>
        <v/>
      </c>
      <c r="R58" s="13">
        <f>L58*O58</f>
        <v/>
      </c>
    </row>
    <row r="59">
      <c r="A59" s="12" t="n">
        <v>46169</v>
      </c>
      <c r="B59" s="12" t="n">
        <v>46169</v>
      </c>
      <c r="C59" s="10" t="inlineStr">
        <is>
          <t>RDO319</t>
        </is>
      </c>
      <c r="D59" s="10" t="inlineStr">
        <is>
          <t>5900130281</t>
        </is>
      </c>
      <c r="E59" s="10" t="inlineStr">
        <is>
          <t>Parauapebas</t>
        </is>
      </c>
      <c r="F59" s="10" t="inlineStr">
        <is>
          <t>Preventiva PARAUAPEBAS</t>
        </is>
      </c>
      <c r="G59" s="10" t="inlineStr">
        <is>
          <t>Leandro Soares Dias</t>
        </is>
      </c>
      <c r="H59" s="10" t="inlineStr">
        <is>
          <t>2.2.1</t>
        </is>
      </c>
      <c r="I59" s="10" t="inlineStr">
        <is>
          <t>Roçada</t>
        </is>
      </c>
      <c r="J59" s="10" t="inlineStr">
        <is>
          <t>M2</t>
        </is>
      </c>
      <c r="K59" s="13" t="n">
        <v>126.73</v>
      </c>
      <c r="L59" s="10" t="n">
        <v>10</v>
      </c>
      <c r="M59" s="13" t="n">
        <v>50</v>
      </c>
      <c r="N59" s="13" t="n">
        <v>12.673</v>
      </c>
      <c r="O59" s="13">
        <f>IF(N59=0,0,K59/(L59*N59))</f>
        <v/>
      </c>
      <c r="P59" s="13">
        <f>IF(O59=0,0,K59/(L59*O59))</f>
        <v/>
      </c>
      <c r="Q59" s="14">
        <f>IF(M59=0,0,P59/M59)</f>
        <v/>
      </c>
      <c r="R59" s="13">
        <f>L59*O59</f>
        <v/>
      </c>
    </row>
    <row r="60">
      <c r="A60" s="12" t="n">
        <v>46170</v>
      </c>
      <c r="B60" s="12" t="n">
        <v>46170</v>
      </c>
      <c r="C60" s="10" t="inlineStr">
        <is>
          <t>RDO323</t>
        </is>
      </c>
      <c r="D60" s="10" t="inlineStr">
        <is>
          <t>5900130281</t>
        </is>
      </c>
      <c r="E60" s="10" t="inlineStr">
        <is>
          <t>Canaã</t>
        </is>
      </c>
      <c r="F60" s="10" t="inlineStr">
        <is>
          <t>Preventiva CANNÃ DOS CARAJAS</t>
        </is>
      </c>
      <c r="G60" s="10" t="inlineStr">
        <is>
          <t>Gilvandro Borges Dos Santos</t>
        </is>
      </c>
      <c r="H60" s="10" t="inlineStr">
        <is>
          <t>2.1.3</t>
        </is>
      </c>
      <c r="I60" s="10" t="inlineStr">
        <is>
          <t>Limpeza De Canaleta Em Corte E Aterro Ate Meia Seção</t>
        </is>
      </c>
      <c r="J60" s="10" t="inlineStr">
        <is>
          <t>M</t>
        </is>
      </c>
      <c r="K60" s="13" t="n">
        <v>170</v>
      </c>
      <c r="L60" s="10" t="n">
        <v>7</v>
      </c>
      <c r="M60" s="13" t="n">
        <v>15</v>
      </c>
      <c r="N60" s="13" t="n">
        <v>6.93877551020408</v>
      </c>
      <c r="O60" s="13">
        <f>IF(N60=0,0,K60/(L60*N60))</f>
        <v/>
      </c>
      <c r="P60" s="13">
        <f>IF(O60=0,0,K60/(L60*O60))</f>
        <v/>
      </c>
      <c r="Q60" s="14">
        <f>IF(M60=0,0,P60/M60)</f>
        <v/>
      </c>
      <c r="R60" s="13">
        <f>L60*O60</f>
        <v/>
      </c>
    </row>
    <row r="61">
      <c r="A61" s="12" t="n">
        <v>46170</v>
      </c>
      <c r="B61" s="12" t="n">
        <v>46170</v>
      </c>
      <c r="C61" s="10" t="inlineStr">
        <is>
          <t>RDO323</t>
        </is>
      </c>
      <c r="D61" s="10" t="inlineStr">
        <is>
          <t>5900130281</t>
        </is>
      </c>
      <c r="E61" s="10" t="inlineStr">
        <is>
          <t>Canaã</t>
        </is>
      </c>
      <c r="F61" s="10" t="inlineStr">
        <is>
          <t>Preventiva CANNÃ DOS CARAJAS</t>
        </is>
      </c>
      <c r="G61" s="10" t="inlineStr">
        <is>
          <t>Gilvandro Borges Dos Santos</t>
        </is>
      </c>
      <c r="H61" s="10" t="inlineStr">
        <is>
          <t>2.1.3</t>
        </is>
      </c>
      <c r="I61" s="10" t="inlineStr">
        <is>
          <t>Limpeza De Canaleta Em Corte E Aterro Ate Meia Seção</t>
        </is>
      </c>
      <c r="J61" s="10" t="inlineStr">
        <is>
          <t>M</t>
        </is>
      </c>
      <c r="K61" s="13" t="n">
        <v>210</v>
      </c>
      <c r="L61" s="10" t="n">
        <v>7</v>
      </c>
      <c r="M61" s="13" t="n">
        <v>15</v>
      </c>
      <c r="N61" s="13" t="n">
        <v>7.82608695652174</v>
      </c>
      <c r="O61" s="13">
        <f>IF(N61=0,0,K61/(L61*N61))</f>
        <v/>
      </c>
      <c r="P61" s="13">
        <f>IF(O61=0,0,K61/(L61*O61))</f>
        <v/>
      </c>
      <c r="Q61" s="14">
        <f>IF(M61=0,0,P61/M61)</f>
        <v/>
      </c>
      <c r="R61" s="13">
        <f>L61*O61</f>
        <v/>
      </c>
    </row>
    <row r="62">
      <c r="A62" s="12" t="n">
        <v>46170</v>
      </c>
      <c r="B62" s="12" t="n">
        <v>46170</v>
      </c>
      <c r="C62" s="10" t="inlineStr">
        <is>
          <t>RDO323</t>
        </is>
      </c>
      <c r="D62" s="10" t="inlineStr">
        <is>
          <t>5900130281</t>
        </is>
      </c>
      <c r="E62" s="10" t="inlineStr">
        <is>
          <t>Canaã</t>
        </is>
      </c>
      <c r="F62" s="10" t="inlineStr">
        <is>
          <t>Preventiva CANNÃ DOS CARAJAS</t>
        </is>
      </c>
      <c r="G62" s="10" t="inlineStr">
        <is>
          <t>Gilvandro Borges Dos Santos</t>
        </is>
      </c>
      <c r="H62" s="10" t="inlineStr">
        <is>
          <t>2.1.3</t>
        </is>
      </c>
      <c r="I62" s="10" t="inlineStr">
        <is>
          <t>Limpeza De Canaleta Em Corte E Aterro Ate Meia Seção</t>
        </is>
      </c>
      <c r="J62" s="10" t="inlineStr">
        <is>
          <t>M</t>
        </is>
      </c>
      <c r="K62" s="13" t="n">
        <v>238</v>
      </c>
      <c r="L62" s="10" t="n">
        <v>7</v>
      </c>
      <c r="M62" s="13" t="n">
        <v>15</v>
      </c>
      <c r="N62" s="13" t="n">
        <v>8.869565217391299</v>
      </c>
      <c r="O62" s="13">
        <f>IF(N62=0,0,K62/(L62*N62))</f>
        <v/>
      </c>
      <c r="P62" s="13">
        <f>IF(O62=0,0,K62/(L62*O62))</f>
        <v/>
      </c>
      <c r="Q62" s="14">
        <f>IF(M62=0,0,P62/M62)</f>
        <v/>
      </c>
      <c r="R62" s="13">
        <f>L62*O62</f>
        <v/>
      </c>
    </row>
    <row r="63">
      <c r="A63" s="12" t="n">
        <v>46170</v>
      </c>
      <c r="B63" s="12" t="n">
        <v>46170</v>
      </c>
      <c r="C63" s="10" t="inlineStr">
        <is>
          <t>RDO324</t>
        </is>
      </c>
      <c r="D63" s="10" t="inlineStr">
        <is>
          <t>5900130281</t>
        </is>
      </c>
      <c r="E63" s="10" t="inlineStr">
        <is>
          <t>Canaã</t>
        </is>
      </c>
      <c r="F63" s="10" t="inlineStr">
        <is>
          <t>Preventiva CANNÃ DOS CARAJAS</t>
        </is>
      </c>
      <c r="G63" s="10" t="inlineStr">
        <is>
          <t>Gilvandro Borges Dos Santos</t>
        </is>
      </c>
      <c r="H63" s="10" t="inlineStr">
        <is>
          <t>2.2.1</t>
        </is>
      </c>
      <c r="I63" s="10" t="inlineStr">
        <is>
          <t>Roçada</t>
        </is>
      </c>
      <c r="J63" s="10" t="inlineStr">
        <is>
          <t>M2</t>
        </is>
      </c>
      <c r="K63" s="13" t="n">
        <v>113</v>
      </c>
      <c r="L63" s="10" t="n">
        <v>7</v>
      </c>
      <c r="M63" s="13" t="n">
        <v>50</v>
      </c>
      <c r="N63" s="13" t="n">
        <v>4.03571428571429</v>
      </c>
      <c r="O63" s="13">
        <f>IF(N63=0,0,K63/(L63*N63))</f>
        <v/>
      </c>
      <c r="P63" s="13">
        <f>IF(O63=0,0,K63/(L63*O63))</f>
        <v/>
      </c>
      <c r="Q63" s="14">
        <f>IF(M63=0,0,P63/M63)</f>
        <v/>
      </c>
      <c r="R63" s="13">
        <f>L63*O63</f>
        <v/>
      </c>
    </row>
    <row r="64">
      <c r="A64" s="12" t="n">
        <v>46170</v>
      </c>
      <c r="B64" s="12" t="n">
        <v>46170</v>
      </c>
      <c r="C64" s="10" t="inlineStr">
        <is>
          <t>RDO324</t>
        </is>
      </c>
      <c r="D64" s="10" t="inlineStr">
        <is>
          <t>5900130281</t>
        </is>
      </c>
      <c r="E64" s="10" t="inlineStr">
        <is>
          <t>Canaã</t>
        </is>
      </c>
      <c r="F64" s="10" t="inlineStr">
        <is>
          <t>Preventiva CANNÃ DOS CARAJAS</t>
        </is>
      </c>
      <c r="G64" s="10" t="inlineStr">
        <is>
          <t>Gilvandro Borges Dos Santos</t>
        </is>
      </c>
      <c r="H64" s="10" t="inlineStr">
        <is>
          <t>2.2.1</t>
        </is>
      </c>
      <c r="I64" s="10" t="inlineStr">
        <is>
          <t>Roçada</t>
        </is>
      </c>
      <c r="J64" s="10" t="inlineStr">
        <is>
          <t>M2</t>
        </is>
      </c>
      <c r="K64" s="13" t="n">
        <v>70</v>
      </c>
      <c r="L64" s="10" t="n">
        <v>7</v>
      </c>
      <c r="M64" s="13" t="n">
        <v>50</v>
      </c>
      <c r="N64" s="13" t="n">
        <v>2.5</v>
      </c>
      <c r="O64" s="13">
        <f>IF(N64=0,0,K64/(L64*N64))</f>
        <v/>
      </c>
      <c r="P64" s="13">
        <f>IF(O64=0,0,K64/(L64*O64))</f>
        <v/>
      </c>
      <c r="Q64" s="14">
        <f>IF(M64=0,0,P64/M64)</f>
        <v/>
      </c>
      <c r="R64" s="13">
        <f>L64*O64</f>
        <v/>
      </c>
    </row>
    <row r="65">
      <c r="A65" s="12" t="n">
        <v>46170</v>
      </c>
      <c r="B65" s="12" t="n">
        <v>46170</v>
      </c>
      <c r="C65" s="10" t="inlineStr">
        <is>
          <t>RDO324</t>
        </is>
      </c>
      <c r="D65" s="10" t="inlineStr">
        <is>
          <t>5900130281</t>
        </is>
      </c>
      <c r="E65" s="10" t="inlineStr">
        <is>
          <t>Canaã</t>
        </is>
      </c>
      <c r="F65" s="10" t="inlineStr">
        <is>
          <t>Preventiva CANNÃ DOS CARAJAS</t>
        </is>
      </c>
      <c r="G65" s="10" t="inlineStr">
        <is>
          <t>Gilvandro Borges Dos Santos</t>
        </is>
      </c>
      <c r="H65" s="10" t="inlineStr">
        <is>
          <t>2.2.1</t>
        </is>
      </c>
      <c r="I65" s="10" t="inlineStr">
        <is>
          <t>Roçada</t>
        </is>
      </c>
      <c r="J65" s="10" t="inlineStr">
        <is>
          <t>M2</t>
        </is>
      </c>
      <c r="K65" s="13" t="n">
        <v>62.5</v>
      </c>
      <c r="L65" s="10" t="n">
        <v>7</v>
      </c>
      <c r="M65" s="13" t="n">
        <v>50</v>
      </c>
      <c r="N65" s="13" t="n">
        <v>2.23214285714286</v>
      </c>
      <c r="O65" s="13">
        <f>IF(N65=0,0,K65/(L65*N65))</f>
        <v/>
      </c>
      <c r="P65" s="13">
        <f>IF(O65=0,0,K65/(L65*O65))</f>
        <v/>
      </c>
      <c r="Q65" s="14">
        <f>IF(M65=0,0,P65/M65)</f>
        <v/>
      </c>
      <c r="R65" s="13">
        <f>L65*O65</f>
        <v/>
      </c>
    </row>
    <row r="66">
      <c r="A66" s="12" t="n">
        <v>46170</v>
      </c>
      <c r="B66" s="12" t="n">
        <v>46170</v>
      </c>
      <c r="C66" s="10" t="inlineStr">
        <is>
          <t>RDO324</t>
        </is>
      </c>
      <c r="D66" s="10" t="inlineStr">
        <is>
          <t>5900130281</t>
        </is>
      </c>
      <c r="E66" s="10" t="inlineStr">
        <is>
          <t>Canaã</t>
        </is>
      </c>
      <c r="F66" s="10" t="inlineStr">
        <is>
          <t>Preventiva CANNÃ DOS CARAJAS</t>
        </is>
      </c>
      <c r="G66" s="10" t="inlineStr">
        <is>
          <t>Gilvandro Borges Dos Santos</t>
        </is>
      </c>
      <c r="H66" s="10" t="inlineStr">
        <is>
          <t>2.2.1</t>
        </is>
      </c>
      <c r="I66" s="10" t="inlineStr">
        <is>
          <t>Roçada</t>
        </is>
      </c>
      <c r="J66" s="10" t="inlineStr">
        <is>
          <t>M2</t>
        </is>
      </c>
      <c r="K66" s="13" t="n">
        <v>354</v>
      </c>
      <c r="L66" s="10" t="n">
        <v>7</v>
      </c>
      <c r="M66" s="13" t="n">
        <v>50</v>
      </c>
      <c r="N66" s="13" t="n">
        <v>12.6428571428571</v>
      </c>
      <c r="O66" s="13">
        <f>IF(N66=0,0,K66/(L66*N66))</f>
        <v/>
      </c>
      <c r="P66" s="13">
        <f>IF(O66=0,0,K66/(L66*O66))</f>
        <v/>
      </c>
      <c r="Q66" s="14">
        <f>IF(M66=0,0,P66/M66)</f>
        <v/>
      </c>
      <c r="R66" s="13">
        <f>L66*O66</f>
        <v/>
      </c>
    </row>
    <row r="67">
      <c r="A67" s="12" t="n">
        <v>46170</v>
      </c>
      <c r="B67" s="12" t="n">
        <v>46170</v>
      </c>
      <c r="C67" s="10" t="inlineStr">
        <is>
          <t>RDO324</t>
        </is>
      </c>
      <c r="D67" s="10" t="inlineStr">
        <is>
          <t>5900130281</t>
        </is>
      </c>
      <c r="E67" s="10" t="inlineStr">
        <is>
          <t>Canaã</t>
        </is>
      </c>
      <c r="F67" s="10" t="inlineStr">
        <is>
          <t>Preventiva CANNÃ DOS CARAJAS</t>
        </is>
      </c>
      <c r="G67" s="10" t="inlineStr">
        <is>
          <t>Gilvandro Borges Dos Santos</t>
        </is>
      </c>
      <c r="H67" s="10" t="inlineStr">
        <is>
          <t>2.2.1</t>
        </is>
      </c>
      <c r="I67" s="10" t="inlineStr">
        <is>
          <t>Roçada</t>
        </is>
      </c>
      <c r="J67" s="10" t="inlineStr">
        <is>
          <t>M2</t>
        </is>
      </c>
      <c r="K67" s="13" t="n">
        <v>686.8</v>
      </c>
      <c r="L67" s="10" t="n">
        <v>7</v>
      </c>
      <c r="M67" s="13" t="n">
        <v>50</v>
      </c>
      <c r="N67" s="13" t="n">
        <v>24.5285714285714</v>
      </c>
      <c r="O67" s="13">
        <f>IF(N67=0,0,K67/(L67*N67))</f>
        <v/>
      </c>
      <c r="P67" s="13">
        <f>IF(O67=0,0,K67/(L67*O67))</f>
        <v/>
      </c>
      <c r="Q67" s="14">
        <f>IF(M67=0,0,P67/M67)</f>
        <v/>
      </c>
      <c r="R67" s="13">
        <f>L67*O67</f>
        <v/>
      </c>
    </row>
    <row r="68">
      <c r="A68" s="12" t="n">
        <v>46170</v>
      </c>
      <c r="B68" s="12" t="n">
        <v>46170</v>
      </c>
      <c r="C68" s="10" t="inlineStr">
        <is>
          <t>RDO313</t>
        </is>
      </c>
      <c r="D68" s="10" t="inlineStr">
        <is>
          <t>5900130281</t>
        </is>
      </c>
      <c r="E68" s="10" t="inlineStr">
        <is>
          <t>Marabá</t>
        </is>
      </c>
      <c r="F68" s="10" t="inlineStr">
        <is>
          <t>Preventiva MARABA</t>
        </is>
      </c>
      <c r="G68" s="10" t="inlineStr">
        <is>
          <t>Jose Domingos Lopes</t>
        </is>
      </c>
      <c r="H68" s="10" t="inlineStr">
        <is>
          <t>2.1.7</t>
        </is>
      </c>
      <c r="I68" s="10" t="inlineStr">
        <is>
          <t>Recuperação De Drenagem Tipo Canaleta/Valeta Em Taludes, Limitando-Se A 100M De Extensão</t>
        </is>
      </c>
      <c r="J68" s="10" t="inlineStr">
        <is>
          <t>M</t>
        </is>
      </c>
      <c r="K68" s="13" t="n">
        <v>20.25</v>
      </c>
      <c r="L68" s="10" t="n">
        <v>10</v>
      </c>
      <c r="M68" s="13" t="n">
        <v>1</v>
      </c>
      <c r="N68" s="13" t="n">
        <v>0.675</v>
      </c>
      <c r="O68" s="13">
        <f>IF(N68=0,0,K68/(L68*N68))</f>
        <v/>
      </c>
      <c r="P68" s="13">
        <f>IF(O68=0,0,K68/(L68*O68))</f>
        <v/>
      </c>
      <c r="Q68" s="14">
        <f>IF(M68=0,0,P68/M68)</f>
        <v/>
      </c>
      <c r="R68" s="13">
        <f>L68*O68</f>
        <v/>
      </c>
    </row>
    <row r="69">
      <c r="A69" s="12" t="n">
        <v>46170</v>
      </c>
      <c r="B69" s="12" t="n">
        <v>46170</v>
      </c>
      <c r="C69" s="10" t="inlineStr">
        <is>
          <t>RDO314</t>
        </is>
      </c>
      <c r="D69" s="10" t="inlineStr">
        <is>
          <t>5900130281</t>
        </is>
      </c>
      <c r="E69" s="10" t="inlineStr">
        <is>
          <t>Marabá</t>
        </is>
      </c>
      <c r="F69" s="10" t="inlineStr">
        <is>
          <t>Preventiva MARABA</t>
        </is>
      </c>
      <c r="G69" s="10" t="inlineStr">
        <is>
          <t>Jose Domingos Lopes</t>
        </is>
      </c>
      <c r="H69" s="10" t="inlineStr">
        <is>
          <t>2.2.1</t>
        </is>
      </c>
      <c r="I69" s="10" t="inlineStr">
        <is>
          <t>Roçada</t>
        </is>
      </c>
      <c r="J69" s="10" t="inlineStr">
        <is>
          <t>M2</t>
        </is>
      </c>
      <c r="K69" s="13" t="n">
        <v>57.2</v>
      </c>
      <c r="L69" s="10" t="n">
        <v>5</v>
      </c>
      <c r="M69" s="13" t="n">
        <v>50</v>
      </c>
      <c r="N69" s="13" t="n">
        <v>2.86</v>
      </c>
      <c r="O69" s="13">
        <f>IF(N69=0,0,K69/(L69*N69))</f>
        <v/>
      </c>
      <c r="P69" s="13">
        <f>IF(O69=0,0,K69/(L69*O69))</f>
        <v/>
      </c>
      <c r="Q69" s="14">
        <f>IF(M69=0,0,P69/M69)</f>
        <v/>
      </c>
      <c r="R69" s="13">
        <f>L69*O69</f>
        <v/>
      </c>
    </row>
    <row r="70">
      <c r="A70" s="12" t="n">
        <v>46170</v>
      </c>
      <c r="B70" s="12" t="n">
        <v>46170</v>
      </c>
      <c r="C70" s="10" t="inlineStr">
        <is>
          <t>RDO314</t>
        </is>
      </c>
      <c r="D70" s="10" t="inlineStr">
        <is>
          <t>5900130281</t>
        </is>
      </c>
      <c r="E70" s="10" t="inlineStr">
        <is>
          <t>Marabá</t>
        </is>
      </c>
      <c r="F70" s="10" t="inlineStr">
        <is>
          <t>Preventiva MARABA</t>
        </is>
      </c>
      <c r="G70" s="10" t="inlineStr">
        <is>
          <t>Jose Domingos Lopes</t>
        </is>
      </c>
      <c r="H70" s="10" t="inlineStr">
        <is>
          <t>2.2.1</t>
        </is>
      </c>
      <c r="I70" s="10" t="inlineStr">
        <is>
          <t>Roçada</t>
        </is>
      </c>
      <c r="J70" s="10" t="inlineStr">
        <is>
          <t>M2</t>
        </is>
      </c>
      <c r="K70" s="13" t="n">
        <v>166</v>
      </c>
      <c r="L70" s="10" t="n">
        <v>5</v>
      </c>
      <c r="M70" s="13" t="n">
        <v>50</v>
      </c>
      <c r="N70" s="13" t="n">
        <v>8.300000000000001</v>
      </c>
      <c r="O70" s="13">
        <f>IF(N70=0,0,K70/(L70*N70))</f>
        <v/>
      </c>
      <c r="P70" s="13">
        <f>IF(O70=0,0,K70/(L70*O70))</f>
        <v/>
      </c>
      <c r="Q70" s="14">
        <f>IF(M70=0,0,P70/M70)</f>
        <v/>
      </c>
      <c r="R70" s="13">
        <f>L70*O70</f>
        <v/>
      </c>
    </row>
    <row r="71">
      <c r="A71" s="12" t="n">
        <v>46170</v>
      </c>
      <c r="B71" s="12" t="n">
        <v>46170</v>
      </c>
      <c r="C71" s="10" t="inlineStr">
        <is>
          <t>RDO314</t>
        </is>
      </c>
      <c r="D71" s="10" t="inlineStr">
        <is>
          <t>5900130281</t>
        </is>
      </c>
      <c r="E71" s="10" t="inlineStr">
        <is>
          <t>Marabá</t>
        </is>
      </c>
      <c r="F71" s="10" t="inlineStr">
        <is>
          <t>Preventiva MARABA</t>
        </is>
      </c>
      <c r="G71" s="10" t="inlineStr">
        <is>
          <t>Jose Domingos Lopes</t>
        </is>
      </c>
      <c r="H71" s="10" t="inlineStr">
        <is>
          <t>2.2.1</t>
        </is>
      </c>
      <c r="I71" s="10" t="inlineStr">
        <is>
          <t>Roçada</t>
        </is>
      </c>
      <c r="J71" s="10" t="inlineStr">
        <is>
          <t>M2</t>
        </is>
      </c>
      <c r="K71" s="13" t="n">
        <v>242.5</v>
      </c>
      <c r="L71" s="10" t="n">
        <v>5</v>
      </c>
      <c r="M71" s="13" t="n">
        <v>50</v>
      </c>
      <c r="N71" s="13" t="n">
        <v>12.125</v>
      </c>
      <c r="O71" s="13">
        <f>IF(N71=0,0,K71/(L71*N71))</f>
        <v/>
      </c>
      <c r="P71" s="13">
        <f>IF(O71=0,0,K71/(L71*O71))</f>
        <v/>
      </c>
      <c r="Q71" s="14">
        <f>IF(M71=0,0,P71/M71)</f>
        <v/>
      </c>
      <c r="R71" s="13">
        <f>L71*O71</f>
        <v/>
      </c>
    </row>
    <row r="72">
      <c r="A72" s="12" t="n">
        <v>46170</v>
      </c>
      <c r="B72" s="12" t="n">
        <v>46170</v>
      </c>
      <c r="C72" s="10" t="inlineStr">
        <is>
          <t>RDO314</t>
        </is>
      </c>
      <c r="D72" s="10" t="inlineStr">
        <is>
          <t>5900130281</t>
        </is>
      </c>
      <c r="E72" s="10" t="inlineStr">
        <is>
          <t>Marabá</t>
        </is>
      </c>
      <c r="F72" s="10" t="inlineStr">
        <is>
          <t>Preventiva MARABA</t>
        </is>
      </c>
      <c r="G72" s="10" t="inlineStr">
        <is>
          <t>Jose Domingos Lopes</t>
        </is>
      </c>
      <c r="H72" s="10" t="inlineStr">
        <is>
          <t>2.2.1</t>
        </is>
      </c>
      <c r="I72" s="10" t="inlineStr">
        <is>
          <t>Roçada</t>
        </is>
      </c>
      <c r="J72" s="10" t="inlineStr">
        <is>
          <t>M2</t>
        </is>
      </c>
      <c r="K72" s="13" t="n">
        <v>150</v>
      </c>
      <c r="L72" s="10" t="n">
        <v>5</v>
      </c>
      <c r="M72" s="13" t="n">
        <v>50</v>
      </c>
      <c r="N72" s="13" t="n">
        <v>7.5</v>
      </c>
      <c r="O72" s="13">
        <f>IF(N72=0,0,K72/(L72*N72))</f>
        <v/>
      </c>
      <c r="P72" s="13">
        <f>IF(O72=0,0,K72/(L72*O72))</f>
        <v/>
      </c>
      <c r="Q72" s="14">
        <f>IF(M72=0,0,P72/M72)</f>
        <v/>
      </c>
      <c r="R72" s="13">
        <f>L72*O72</f>
        <v/>
      </c>
    </row>
    <row r="73">
      <c r="A73" s="12" t="n">
        <v>46170</v>
      </c>
      <c r="B73" s="12" t="n">
        <v>46170</v>
      </c>
      <c r="C73" s="10" t="inlineStr">
        <is>
          <t>RDO314</t>
        </is>
      </c>
      <c r="D73" s="10" t="inlineStr">
        <is>
          <t>5900130281</t>
        </is>
      </c>
      <c r="E73" s="10" t="inlineStr">
        <is>
          <t>Marabá</t>
        </is>
      </c>
      <c r="F73" s="10" t="inlineStr">
        <is>
          <t>Preventiva MARABA</t>
        </is>
      </c>
      <c r="G73" s="10" t="inlineStr">
        <is>
          <t>Jose Domingos Lopes</t>
        </is>
      </c>
      <c r="H73" s="10" t="inlineStr">
        <is>
          <t>2.2.1</t>
        </is>
      </c>
      <c r="I73" s="10" t="inlineStr">
        <is>
          <t>Roçada</t>
        </is>
      </c>
      <c r="J73" s="10" t="inlineStr">
        <is>
          <t>M2</t>
        </is>
      </c>
      <c r="K73" s="13" t="n">
        <v>192</v>
      </c>
      <c r="L73" s="10" t="n">
        <v>5</v>
      </c>
      <c r="M73" s="13" t="n">
        <v>50</v>
      </c>
      <c r="N73" s="13" t="n">
        <v>9.6</v>
      </c>
      <c r="O73" s="13">
        <f>IF(N73=0,0,K73/(L73*N73))</f>
        <v/>
      </c>
      <c r="P73" s="13">
        <f>IF(O73=0,0,K73/(L73*O73))</f>
        <v/>
      </c>
      <c r="Q73" s="14">
        <f>IF(M73=0,0,P73/M73)</f>
        <v/>
      </c>
      <c r="R73" s="13">
        <f>L73*O73</f>
        <v/>
      </c>
    </row>
    <row r="74">
      <c r="A74" s="12" t="n">
        <v>46170</v>
      </c>
      <c r="B74" s="12" t="n">
        <v>46170</v>
      </c>
      <c r="C74" s="10" t="inlineStr">
        <is>
          <t>RDO314</t>
        </is>
      </c>
      <c r="D74" s="10" t="inlineStr">
        <is>
          <t>5900130281</t>
        </is>
      </c>
      <c r="E74" s="10" t="inlineStr">
        <is>
          <t>Marabá</t>
        </is>
      </c>
      <c r="F74" s="10" t="inlineStr">
        <is>
          <t>Preventiva MARABA</t>
        </is>
      </c>
      <c r="G74" s="10" t="inlineStr">
        <is>
          <t>Jose Domingos Lopes</t>
        </is>
      </c>
      <c r="H74" s="10" t="inlineStr">
        <is>
          <t>2.2.1</t>
        </is>
      </c>
      <c r="I74" s="10" t="inlineStr">
        <is>
          <t>Roçada</t>
        </is>
      </c>
      <c r="J74" s="10" t="inlineStr">
        <is>
          <t>M2</t>
        </is>
      </c>
      <c r="K74" s="13" t="n">
        <v>750</v>
      </c>
      <c r="L74" s="10" t="n">
        <v>5</v>
      </c>
      <c r="M74" s="13" t="n">
        <v>50</v>
      </c>
      <c r="N74" s="13" t="n">
        <v>50</v>
      </c>
      <c r="O74" s="13">
        <f>IF(N74=0,0,K74/(L74*N74))</f>
        <v/>
      </c>
      <c r="P74" s="13">
        <f>IF(O74=0,0,K74/(L74*O74))</f>
        <v/>
      </c>
      <c r="Q74" s="14">
        <f>IF(M74=0,0,P74/M74)</f>
        <v/>
      </c>
      <c r="R74" s="13">
        <f>L74*O74</f>
        <v/>
      </c>
    </row>
    <row r="75">
      <c r="A75" s="12" t="n">
        <v>46170</v>
      </c>
      <c r="B75" s="12" t="n">
        <v>46170</v>
      </c>
      <c r="C75" s="10" t="inlineStr">
        <is>
          <t>RDO314</t>
        </is>
      </c>
      <c r="D75" s="10" t="inlineStr">
        <is>
          <t>5900130281</t>
        </is>
      </c>
      <c r="E75" s="10" t="inlineStr">
        <is>
          <t>Marabá</t>
        </is>
      </c>
      <c r="F75" s="10" t="inlineStr">
        <is>
          <t>Preventiva MARABA</t>
        </is>
      </c>
      <c r="G75" s="10" t="inlineStr">
        <is>
          <t>Jose Domingos Lopes</t>
        </is>
      </c>
      <c r="H75" s="10" t="inlineStr">
        <is>
          <t>2.2.1</t>
        </is>
      </c>
      <c r="I75" s="10" t="inlineStr">
        <is>
          <t>Roçada</t>
        </is>
      </c>
      <c r="J75" s="10" t="inlineStr">
        <is>
          <t>M2</t>
        </is>
      </c>
      <c r="K75" s="13" t="n">
        <v>180</v>
      </c>
      <c r="L75" s="10" t="n">
        <v>5</v>
      </c>
      <c r="M75" s="13" t="n">
        <v>50</v>
      </c>
      <c r="N75" s="13" t="n">
        <v>12</v>
      </c>
      <c r="O75" s="13">
        <f>IF(N75=0,0,K75/(L75*N75))</f>
        <v/>
      </c>
      <c r="P75" s="13">
        <f>IF(O75=0,0,K75/(L75*O75))</f>
        <v/>
      </c>
      <c r="Q75" s="14">
        <f>IF(M75=0,0,P75/M75)</f>
        <v/>
      </c>
      <c r="R75" s="13">
        <f>L75*O75</f>
        <v/>
      </c>
    </row>
    <row r="76">
      <c r="A76" s="12" t="n">
        <v>46170</v>
      </c>
      <c r="B76" s="12" t="n">
        <v>46170</v>
      </c>
      <c r="C76" s="10" t="inlineStr">
        <is>
          <t>RDO314</t>
        </is>
      </c>
      <c r="D76" s="10" t="inlineStr">
        <is>
          <t>5900130281</t>
        </is>
      </c>
      <c r="E76" s="10" t="inlineStr">
        <is>
          <t>Marabá</t>
        </is>
      </c>
      <c r="F76" s="10" t="inlineStr">
        <is>
          <t>Preventiva MARABA</t>
        </is>
      </c>
      <c r="G76" s="10" t="inlineStr">
        <is>
          <t>Jose Domingos Lopes</t>
        </is>
      </c>
      <c r="H76" s="10" t="inlineStr">
        <is>
          <t>2.2.1</t>
        </is>
      </c>
      <c r="I76" s="10" t="inlineStr">
        <is>
          <t>Roçada</t>
        </is>
      </c>
      <c r="J76" s="10" t="inlineStr">
        <is>
          <t>M2</t>
        </is>
      </c>
      <c r="K76" s="13" t="n">
        <v>164</v>
      </c>
      <c r="L76" s="10" t="n">
        <v>5</v>
      </c>
      <c r="M76" s="13" t="n">
        <v>50</v>
      </c>
      <c r="N76" s="13" t="n">
        <v>10.9333333333333</v>
      </c>
      <c r="O76" s="13">
        <f>IF(N76=0,0,K76/(L76*N76))</f>
        <v/>
      </c>
      <c r="P76" s="13">
        <f>IF(O76=0,0,K76/(L76*O76))</f>
        <v/>
      </c>
      <c r="Q76" s="14">
        <f>IF(M76=0,0,P76/M76)</f>
        <v/>
      </c>
      <c r="R76" s="13">
        <f>L76*O76</f>
        <v/>
      </c>
    </row>
    <row r="77">
      <c r="A77" s="12" t="n">
        <v>46170</v>
      </c>
      <c r="B77" s="12" t="n">
        <v>46170</v>
      </c>
      <c r="C77" s="10" t="inlineStr">
        <is>
          <t>RDO314</t>
        </is>
      </c>
      <c r="D77" s="10" t="inlineStr">
        <is>
          <t>5900130281</t>
        </is>
      </c>
      <c r="E77" s="10" t="inlineStr">
        <is>
          <t>Marabá</t>
        </is>
      </c>
      <c r="F77" s="10" t="inlineStr">
        <is>
          <t>Preventiva MARABA</t>
        </is>
      </c>
      <c r="G77" s="10" t="inlineStr">
        <is>
          <t>Jose Domingos Lopes</t>
        </is>
      </c>
      <c r="H77" s="10" t="inlineStr">
        <is>
          <t>2.2.1</t>
        </is>
      </c>
      <c r="I77" s="10" t="inlineStr">
        <is>
          <t>Roçada</t>
        </is>
      </c>
      <c r="J77" s="10" t="inlineStr">
        <is>
          <t>M2</t>
        </is>
      </c>
      <c r="K77" s="13" t="n">
        <v>300</v>
      </c>
      <c r="L77" s="10" t="n">
        <v>5</v>
      </c>
      <c r="M77" s="13" t="n">
        <v>50</v>
      </c>
      <c r="N77" s="13" t="n">
        <v>20</v>
      </c>
      <c r="O77" s="13">
        <f>IF(N77=0,0,K77/(L77*N77))</f>
        <v/>
      </c>
      <c r="P77" s="13">
        <f>IF(O77=0,0,K77/(L77*O77))</f>
        <v/>
      </c>
      <c r="Q77" s="14">
        <f>IF(M77=0,0,P77/M77)</f>
        <v/>
      </c>
      <c r="R77" s="13">
        <f>L77*O77</f>
        <v/>
      </c>
    </row>
    <row r="78">
      <c r="A78" s="12" t="n">
        <v>46170</v>
      </c>
      <c r="B78" s="12" t="n">
        <v>46170</v>
      </c>
      <c r="C78" s="10" t="inlineStr">
        <is>
          <t>RDO314</t>
        </is>
      </c>
      <c r="D78" s="10" t="inlineStr">
        <is>
          <t>5900130281</t>
        </is>
      </c>
      <c r="E78" s="10" t="inlineStr">
        <is>
          <t>Marabá</t>
        </is>
      </c>
      <c r="F78" s="10" t="inlineStr">
        <is>
          <t>Preventiva MARABA</t>
        </is>
      </c>
      <c r="G78" s="10" t="inlineStr">
        <is>
          <t>Jose Domingos Lopes</t>
        </is>
      </c>
      <c r="H78" s="10" t="inlineStr">
        <is>
          <t>2.2.1</t>
        </is>
      </c>
      <c r="I78" s="10" t="inlineStr">
        <is>
          <t>Roçada</t>
        </is>
      </c>
      <c r="J78" s="10" t="inlineStr">
        <is>
          <t>M2</t>
        </is>
      </c>
      <c r="K78" s="13" t="n">
        <v>175</v>
      </c>
      <c r="L78" s="10" t="n">
        <v>5</v>
      </c>
      <c r="M78" s="13" t="n">
        <v>50</v>
      </c>
      <c r="N78" s="13" t="n">
        <v>11.6666666666667</v>
      </c>
      <c r="O78" s="13">
        <f>IF(N78=0,0,K78/(L78*N78))</f>
        <v/>
      </c>
      <c r="P78" s="13">
        <f>IF(O78=0,0,K78/(L78*O78))</f>
        <v/>
      </c>
      <c r="Q78" s="14">
        <f>IF(M78=0,0,P78/M78)</f>
        <v/>
      </c>
      <c r="R78" s="13">
        <f>L78*O78</f>
        <v/>
      </c>
    </row>
    <row r="79">
      <c r="A79" s="12" t="n">
        <v>46170</v>
      </c>
      <c r="B79" s="12" t="n">
        <v>46170</v>
      </c>
      <c r="C79" s="10" t="inlineStr">
        <is>
          <t>RDO315</t>
        </is>
      </c>
      <c r="D79" s="10" t="inlineStr">
        <is>
          <t>5900130281</t>
        </is>
      </c>
      <c r="E79" s="10" t="inlineStr">
        <is>
          <t>Marabá</t>
        </is>
      </c>
      <c r="F79" s="10" t="inlineStr">
        <is>
          <t>Preventiva MARABA</t>
        </is>
      </c>
      <c r="G79" s="10" t="inlineStr">
        <is>
          <t>Jose Domingos Lopes</t>
        </is>
      </c>
      <c r="H79" s="10" t="inlineStr">
        <is>
          <t>2.1.5</t>
        </is>
      </c>
      <c r="I79" s="10" t="inlineStr">
        <is>
          <t>Limpeza De Valeta, Sarjetas E Meio Fio</t>
        </is>
      </c>
      <c r="J79" s="10" t="inlineStr">
        <is>
          <t>M</t>
        </is>
      </c>
      <c r="K79" s="13" t="n">
        <v>52</v>
      </c>
      <c r="L79" s="10" t="n">
        <v>5</v>
      </c>
      <c r="M79" s="13" t="n">
        <v>9</v>
      </c>
      <c r="N79" s="13" t="n">
        <v>3.46666666666667</v>
      </c>
      <c r="O79" s="13">
        <f>IF(N79=0,0,K79/(L79*N79))</f>
        <v/>
      </c>
      <c r="P79" s="13">
        <f>IF(O79=0,0,K79/(L79*O79))</f>
        <v/>
      </c>
      <c r="Q79" s="14">
        <f>IF(M79=0,0,P79/M79)</f>
        <v/>
      </c>
      <c r="R79" s="13">
        <f>L79*O79</f>
        <v/>
      </c>
    </row>
    <row r="80">
      <c r="A80" s="12" t="n">
        <v>46170</v>
      </c>
      <c r="B80" s="12" t="n">
        <v>46170</v>
      </c>
      <c r="C80" s="10" t="inlineStr">
        <is>
          <t>RDO300</t>
        </is>
      </c>
      <c r="D80" s="10" t="inlineStr">
        <is>
          <t>ENGECOM PARA</t>
        </is>
      </c>
      <c r="E80" s="10" t="inlineStr">
        <is>
          <t>Parauapebas</t>
        </is>
      </c>
      <c r="F80" s="10" t="inlineStr">
        <is>
          <t>Preventiva PARAUAPEBAS</t>
        </is>
      </c>
      <c r="G80" s="10" t="inlineStr">
        <is>
          <t>Leandro Soares Dias</t>
        </is>
      </c>
      <c r="H80" s="10" t="inlineStr">
        <is>
          <t>2.2.1</t>
        </is>
      </c>
      <c r="I80" s="10" t="inlineStr">
        <is>
          <t>Roçada</t>
        </is>
      </c>
      <c r="J80" s="10" t="inlineStr">
        <is>
          <t>M2</t>
        </is>
      </c>
      <c r="K80" s="13" t="n">
        <v>1335.9</v>
      </c>
      <c r="L80" s="10" t="n">
        <v>12</v>
      </c>
      <c r="M80" s="13" t="n">
        <v>50</v>
      </c>
      <c r="N80" s="13" t="n">
        <v>31.8071428571429</v>
      </c>
      <c r="O80" s="13">
        <f>IF(N80=0,0,K80/(L80*N80))</f>
        <v/>
      </c>
      <c r="P80" s="13">
        <f>IF(O80=0,0,K80/(L80*O80))</f>
        <v/>
      </c>
      <c r="Q80" s="14">
        <f>IF(M80=0,0,P80/M80)</f>
        <v/>
      </c>
      <c r="R80" s="13">
        <f>L80*O80</f>
        <v/>
      </c>
    </row>
    <row r="81">
      <c r="A81" s="12" t="n">
        <v>46170</v>
      </c>
      <c r="B81" s="12" t="n">
        <v>46170</v>
      </c>
      <c r="C81" s="10" t="inlineStr">
        <is>
          <t>RDO300</t>
        </is>
      </c>
      <c r="D81" s="10" t="inlineStr">
        <is>
          <t>ENGECOM PARA</t>
        </is>
      </c>
      <c r="E81" s="10" t="inlineStr">
        <is>
          <t>Parauapebas</t>
        </is>
      </c>
      <c r="F81" s="10" t="inlineStr">
        <is>
          <t>Preventiva PARAUAPEBAS</t>
        </is>
      </c>
      <c r="G81" s="10" t="inlineStr">
        <is>
          <t>Leandro Soares Dias</t>
        </is>
      </c>
      <c r="H81" s="10" t="inlineStr">
        <is>
          <t>2.1.5</t>
        </is>
      </c>
      <c r="I81" s="10" t="inlineStr">
        <is>
          <t>Limpeza De Valeta, Sarjetas E Meio Fio</t>
        </is>
      </c>
      <c r="J81" s="10" t="inlineStr">
        <is>
          <t>M</t>
        </is>
      </c>
      <c r="K81" s="13" t="n">
        <v>299.8</v>
      </c>
      <c r="L81" s="10" t="n">
        <v>12</v>
      </c>
      <c r="M81" s="13" t="n">
        <v>9</v>
      </c>
      <c r="N81" s="13" t="n">
        <v>9.993333333333331</v>
      </c>
      <c r="O81" s="13">
        <f>IF(N81=0,0,K81/(L81*N81))</f>
        <v/>
      </c>
      <c r="P81" s="13">
        <f>IF(O81=0,0,K81/(L81*O81))</f>
        <v/>
      </c>
      <c r="Q81" s="14">
        <f>IF(M81=0,0,P81/M81)</f>
        <v/>
      </c>
      <c r="R81" s="13">
        <f>L81*O81</f>
        <v/>
      </c>
    </row>
    <row r="82">
      <c r="A82" s="12" t="n">
        <v>46170</v>
      </c>
      <c r="B82" s="12" t="n">
        <v>46170</v>
      </c>
      <c r="C82" s="10" t="inlineStr">
        <is>
          <t>RDO300</t>
        </is>
      </c>
      <c r="D82" s="10" t="inlineStr">
        <is>
          <t>ENGECOM PARA</t>
        </is>
      </c>
      <c r="E82" s="10" t="inlineStr">
        <is>
          <t>Parauapebas</t>
        </is>
      </c>
      <c r="F82" s="10" t="inlineStr">
        <is>
          <t>Preventiva PARAUAPEBAS</t>
        </is>
      </c>
      <c r="G82" s="10" t="inlineStr">
        <is>
          <t>Leandro Soares Dias</t>
        </is>
      </c>
      <c r="H82" s="10" t="inlineStr">
        <is>
          <t>2.2.2</t>
        </is>
      </c>
      <c r="I82" s="10" t="inlineStr">
        <is>
          <t>Capina</t>
        </is>
      </c>
      <c r="J82" s="10" t="inlineStr">
        <is>
          <t>M2</t>
        </is>
      </c>
      <c r="K82" s="13" t="n">
        <v>44.97</v>
      </c>
      <c r="L82" s="10" t="n">
        <v>12</v>
      </c>
      <c r="M82" s="13" t="n">
        <v>4</v>
      </c>
      <c r="N82" s="13" t="n">
        <v>3.7475</v>
      </c>
      <c r="O82" s="13">
        <f>IF(N82=0,0,K82/(L82*N82))</f>
        <v/>
      </c>
      <c r="P82" s="13">
        <f>IF(O82=0,0,K82/(L82*O82))</f>
        <v/>
      </c>
      <c r="Q82" s="14">
        <f>IF(M82=0,0,P82/M82)</f>
        <v/>
      </c>
      <c r="R82" s="13">
        <f>L82*O82</f>
        <v/>
      </c>
    </row>
    <row r="83">
      <c r="A83" s="12" t="n">
        <v>46171</v>
      </c>
      <c r="B83" s="12" t="n">
        <v>46171</v>
      </c>
      <c r="C83" s="10" t="inlineStr">
        <is>
          <t>RDO325</t>
        </is>
      </c>
      <c r="D83" s="10" t="inlineStr">
        <is>
          <t>5900130281</t>
        </is>
      </c>
      <c r="E83" s="10" t="inlineStr">
        <is>
          <t>Canaã</t>
        </is>
      </c>
      <c r="F83" s="10" t="inlineStr">
        <is>
          <t>Preventiva CANNÃ DOS CARAJAS</t>
        </is>
      </c>
      <c r="G83" s="10" t="inlineStr">
        <is>
          <t>Gilvandro Borges Dos Santos</t>
        </is>
      </c>
      <c r="H83" s="10" t="inlineStr">
        <is>
          <t>2.2.1</t>
        </is>
      </c>
      <c r="I83" s="10" t="inlineStr">
        <is>
          <t>Roçada</t>
        </is>
      </c>
      <c r="J83" s="10" t="inlineStr">
        <is>
          <t>M2</t>
        </is>
      </c>
      <c r="K83" s="13" t="n">
        <v>152.5</v>
      </c>
      <c r="L83" s="10" t="n">
        <v>8</v>
      </c>
      <c r="M83" s="13" t="n">
        <v>50</v>
      </c>
      <c r="N83" s="13" t="n">
        <v>5.44642857142857</v>
      </c>
      <c r="O83" s="13">
        <f>IF(N83=0,0,K83/(L83*N83))</f>
        <v/>
      </c>
      <c r="P83" s="13">
        <f>IF(O83=0,0,K83/(L83*O83))</f>
        <v/>
      </c>
      <c r="Q83" s="14">
        <f>IF(M83=0,0,P83/M83)</f>
        <v/>
      </c>
      <c r="R83" s="13">
        <f>L83*O83</f>
        <v/>
      </c>
    </row>
    <row r="84">
      <c r="A84" s="12" t="n">
        <v>46171</v>
      </c>
      <c r="B84" s="12" t="n">
        <v>46171</v>
      </c>
      <c r="C84" s="10" t="inlineStr">
        <is>
          <t>RDO325</t>
        </is>
      </c>
      <c r="D84" s="10" t="inlineStr">
        <is>
          <t>5900130281</t>
        </is>
      </c>
      <c r="E84" s="10" t="inlineStr">
        <is>
          <t>Canaã</t>
        </is>
      </c>
      <c r="F84" s="10" t="inlineStr">
        <is>
          <t>Preventiva CANNÃ DOS CARAJAS</t>
        </is>
      </c>
      <c r="G84" s="10" t="inlineStr">
        <is>
          <t>Gilvandro Borges Dos Santos</t>
        </is>
      </c>
      <c r="H84" s="10" t="inlineStr">
        <is>
          <t>2.2.1</t>
        </is>
      </c>
      <c r="I84" s="10" t="inlineStr">
        <is>
          <t>Roçada</t>
        </is>
      </c>
      <c r="J84" s="10" t="inlineStr">
        <is>
          <t>M2</t>
        </is>
      </c>
      <c r="K84" s="13" t="n">
        <v>94</v>
      </c>
      <c r="L84" s="10" t="n">
        <v>8</v>
      </c>
      <c r="M84" s="13" t="n">
        <v>50</v>
      </c>
      <c r="N84" s="13" t="n">
        <v>3.35714285714286</v>
      </c>
      <c r="O84" s="13">
        <f>IF(N84=0,0,K84/(L84*N84))</f>
        <v/>
      </c>
      <c r="P84" s="13">
        <f>IF(O84=0,0,K84/(L84*O84))</f>
        <v/>
      </c>
      <c r="Q84" s="14">
        <f>IF(M84=0,0,P84/M84)</f>
        <v/>
      </c>
      <c r="R84" s="13">
        <f>L84*O84</f>
        <v/>
      </c>
    </row>
    <row r="85">
      <c r="A85" s="12" t="n">
        <v>46171</v>
      </c>
      <c r="B85" s="12" t="n">
        <v>46171</v>
      </c>
      <c r="C85" s="10" t="inlineStr">
        <is>
          <t>RDO325</t>
        </is>
      </c>
      <c r="D85" s="10" t="inlineStr">
        <is>
          <t>5900130281</t>
        </is>
      </c>
      <c r="E85" s="10" t="inlineStr">
        <is>
          <t>Canaã</t>
        </is>
      </c>
      <c r="F85" s="10" t="inlineStr">
        <is>
          <t>Preventiva CANNÃ DOS CARAJAS</t>
        </is>
      </c>
      <c r="G85" s="10" t="inlineStr">
        <is>
          <t>Gilvandro Borges Dos Santos</t>
        </is>
      </c>
      <c r="H85" s="10" t="inlineStr">
        <is>
          <t>2.2.1</t>
        </is>
      </c>
      <c r="I85" s="10" t="inlineStr">
        <is>
          <t>Roçada</t>
        </is>
      </c>
      <c r="J85" s="10" t="inlineStr">
        <is>
          <t>M2</t>
        </is>
      </c>
      <c r="K85" s="13" t="n">
        <v>382.5</v>
      </c>
      <c r="L85" s="10" t="n">
        <v>8</v>
      </c>
      <c r="M85" s="13" t="n">
        <v>50</v>
      </c>
      <c r="N85" s="13" t="n">
        <v>13.6607142857143</v>
      </c>
      <c r="O85" s="13">
        <f>IF(N85=0,0,K85/(L85*N85))</f>
        <v/>
      </c>
      <c r="P85" s="13">
        <f>IF(O85=0,0,K85/(L85*O85))</f>
        <v/>
      </c>
      <c r="Q85" s="14">
        <f>IF(M85=0,0,P85/M85)</f>
        <v/>
      </c>
      <c r="R85" s="13">
        <f>L85*O85</f>
        <v/>
      </c>
    </row>
    <row r="86">
      <c r="A86" s="12" t="n">
        <v>46171</v>
      </c>
      <c r="B86" s="12" t="n">
        <v>46171</v>
      </c>
      <c r="C86" s="10" t="inlineStr">
        <is>
          <t>RDO325</t>
        </is>
      </c>
      <c r="D86" s="10" t="inlineStr">
        <is>
          <t>5900130281</t>
        </is>
      </c>
      <c r="E86" s="10" t="inlineStr">
        <is>
          <t>Canaã</t>
        </is>
      </c>
      <c r="F86" s="10" t="inlineStr">
        <is>
          <t>Preventiva CANNÃ DOS CARAJAS</t>
        </is>
      </c>
      <c r="G86" s="10" t="inlineStr">
        <is>
          <t>Gilvandro Borges Dos Santos</t>
        </is>
      </c>
      <c r="H86" s="10" t="inlineStr">
        <is>
          <t>2.2.1</t>
        </is>
      </c>
      <c r="I86" s="10" t="inlineStr">
        <is>
          <t>Roçada</t>
        </is>
      </c>
      <c r="J86" s="10" t="inlineStr">
        <is>
          <t>M2</t>
        </is>
      </c>
      <c r="K86" s="13" t="n">
        <v>463.5</v>
      </c>
      <c r="L86" s="10" t="n">
        <v>8</v>
      </c>
      <c r="M86" s="13" t="n">
        <v>50</v>
      </c>
      <c r="N86" s="13" t="n">
        <v>19.3125</v>
      </c>
      <c r="O86" s="13">
        <f>IF(N86=0,0,K86/(L86*N86))</f>
        <v/>
      </c>
      <c r="P86" s="13">
        <f>IF(O86=0,0,K86/(L86*O86))</f>
        <v/>
      </c>
      <c r="Q86" s="14">
        <f>IF(M86=0,0,P86/M86)</f>
        <v/>
      </c>
      <c r="R86" s="13">
        <f>L86*O86</f>
        <v/>
      </c>
    </row>
    <row r="87">
      <c r="A87" s="12" t="n">
        <v>46171</v>
      </c>
      <c r="B87" s="12" t="n">
        <v>46171</v>
      </c>
      <c r="C87" s="10" t="inlineStr">
        <is>
          <t>RDO325</t>
        </is>
      </c>
      <c r="D87" s="10" t="inlineStr">
        <is>
          <t>5900130281</t>
        </is>
      </c>
      <c r="E87" s="10" t="inlineStr">
        <is>
          <t>Canaã</t>
        </is>
      </c>
      <c r="F87" s="10" t="inlineStr">
        <is>
          <t>Preventiva CANNÃ DOS CARAJAS</t>
        </is>
      </c>
      <c r="G87" s="10" t="inlineStr">
        <is>
          <t>Gilvandro Borges Dos Santos</t>
        </is>
      </c>
      <c r="H87" s="10" t="inlineStr">
        <is>
          <t>2.2.1</t>
        </is>
      </c>
      <c r="I87" s="10" t="inlineStr">
        <is>
          <t>Roçada</t>
        </is>
      </c>
      <c r="J87" s="10" t="inlineStr">
        <is>
          <t>M2</t>
        </is>
      </c>
      <c r="K87" s="13" t="n">
        <v>76</v>
      </c>
      <c r="L87" s="10" t="n">
        <v>8</v>
      </c>
      <c r="M87" s="13" t="n">
        <v>50</v>
      </c>
      <c r="N87" s="13" t="n">
        <v>3.16666666666667</v>
      </c>
      <c r="O87" s="13">
        <f>IF(N87=0,0,K87/(L87*N87))</f>
        <v/>
      </c>
      <c r="P87" s="13">
        <f>IF(O87=0,0,K87/(L87*O87))</f>
        <v/>
      </c>
      <c r="Q87" s="14">
        <f>IF(M87=0,0,P87/M87)</f>
        <v/>
      </c>
      <c r="R87" s="13">
        <f>L87*O87</f>
        <v/>
      </c>
    </row>
    <row r="88">
      <c r="A88" s="12" t="n">
        <v>46171</v>
      </c>
      <c r="B88" s="12" t="n">
        <v>46171</v>
      </c>
      <c r="C88" s="10" t="inlineStr">
        <is>
          <t>RDO316</t>
        </is>
      </c>
      <c r="D88" s="10" t="inlineStr">
        <is>
          <t>5900130281</t>
        </is>
      </c>
      <c r="E88" s="10" t="inlineStr">
        <is>
          <t>Marabá</t>
        </is>
      </c>
      <c r="F88" s="10" t="inlineStr">
        <is>
          <t>Preventiva MARABA</t>
        </is>
      </c>
      <c r="G88" s="10" t="inlineStr">
        <is>
          <t>Jose Domingos Lopes</t>
        </is>
      </c>
      <c r="H88" s="10" t="inlineStr">
        <is>
          <t>2.2.1</t>
        </is>
      </c>
      <c r="I88" s="10" t="inlineStr">
        <is>
          <t>Roçada</t>
        </is>
      </c>
      <c r="J88" s="10" t="inlineStr">
        <is>
          <t>M2</t>
        </is>
      </c>
      <c r="K88" s="13" t="n">
        <v>1779.8</v>
      </c>
      <c r="L88" s="10" t="n">
        <v>9</v>
      </c>
      <c r="M88" s="13" t="n">
        <v>50</v>
      </c>
      <c r="N88" s="13" t="n">
        <v>45.6358974358974</v>
      </c>
      <c r="O88" s="13">
        <f>IF(N88=0,0,K88/(L88*N88))</f>
        <v/>
      </c>
      <c r="P88" s="13">
        <f>IF(O88=0,0,K88/(L88*O88))</f>
        <v/>
      </c>
      <c r="Q88" s="14">
        <f>IF(M88=0,0,P88/M88)</f>
        <v/>
      </c>
      <c r="R88" s="13">
        <f>L88*O88</f>
        <v/>
      </c>
    </row>
    <row r="89">
      <c r="A89" s="12" t="n">
        <v>46171</v>
      </c>
      <c r="B89" s="12" t="n">
        <v>46171</v>
      </c>
      <c r="C89" s="10" t="inlineStr">
        <is>
          <t>RDO316</t>
        </is>
      </c>
      <c r="D89" s="10" t="inlineStr">
        <is>
          <t>5900130281</t>
        </is>
      </c>
      <c r="E89" s="10" t="inlineStr">
        <is>
          <t>Marabá</t>
        </is>
      </c>
      <c r="F89" s="10" t="inlineStr">
        <is>
          <t>Preventiva MARABA</t>
        </is>
      </c>
      <c r="G89" s="10" t="inlineStr">
        <is>
          <t>Jose Domingos Lopes</t>
        </is>
      </c>
      <c r="H89" s="10" t="inlineStr">
        <is>
          <t>2.2.1</t>
        </is>
      </c>
      <c r="I89" s="10" t="inlineStr">
        <is>
          <t>Roçada</t>
        </is>
      </c>
      <c r="J89" s="10" t="inlineStr">
        <is>
          <t>M2</t>
        </is>
      </c>
      <c r="K89" s="13" t="n">
        <v>300</v>
      </c>
      <c r="L89" s="10" t="n">
        <v>9</v>
      </c>
      <c r="M89" s="13" t="n">
        <v>50</v>
      </c>
      <c r="N89" s="13" t="n">
        <v>7.69230769230769</v>
      </c>
      <c r="O89" s="13">
        <f>IF(N89=0,0,K89/(L89*N89))</f>
        <v/>
      </c>
      <c r="P89" s="13">
        <f>IF(O89=0,0,K89/(L89*O89))</f>
        <v/>
      </c>
      <c r="Q89" s="14">
        <f>IF(M89=0,0,P89/M89)</f>
        <v/>
      </c>
      <c r="R89" s="13">
        <f>L89*O89</f>
        <v/>
      </c>
    </row>
    <row r="90">
      <c r="A90" s="12" t="n">
        <v>46171</v>
      </c>
      <c r="B90" s="12" t="n">
        <v>46171</v>
      </c>
      <c r="C90" s="10" t="inlineStr">
        <is>
          <t>RDO316</t>
        </is>
      </c>
      <c r="D90" s="10" t="inlineStr">
        <is>
          <t>5900130281</t>
        </is>
      </c>
      <c r="E90" s="10" t="inlineStr">
        <is>
          <t>Marabá</t>
        </is>
      </c>
      <c r="F90" s="10" t="inlineStr">
        <is>
          <t>Preventiva MARABA</t>
        </is>
      </c>
      <c r="G90" s="10" t="inlineStr">
        <is>
          <t>Jose Domingos Lopes</t>
        </is>
      </c>
      <c r="H90" s="10" t="inlineStr">
        <is>
          <t>2.2.1</t>
        </is>
      </c>
      <c r="I90" s="10" t="inlineStr">
        <is>
          <t>Roçada</t>
        </is>
      </c>
      <c r="J90" s="10" t="inlineStr">
        <is>
          <t>M2</t>
        </is>
      </c>
      <c r="K90" s="13" t="n">
        <v>490.5</v>
      </c>
      <c r="L90" s="10" t="n">
        <v>9</v>
      </c>
      <c r="M90" s="13" t="n">
        <v>50</v>
      </c>
      <c r="N90" s="13" t="n">
        <v>12.5769230769231</v>
      </c>
      <c r="O90" s="13">
        <f>IF(N90=0,0,K90/(L90*N90))</f>
        <v/>
      </c>
      <c r="P90" s="13">
        <f>IF(O90=0,0,K90/(L90*O90))</f>
        <v/>
      </c>
      <c r="Q90" s="14">
        <f>IF(M90=0,0,P90/M90)</f>
        <v/>
      </c>
      <c r="R90" s="13">
        <f>L90*O90</f>
        <v/>
      </c>
    </row>
    <row r="91">
      <c r="A91" s="12" t="n">
        <v>46171</v>
      </c>
      <c r="B91" s="12" t="n">
        <v>46171</v>
      </c>
      <c r="C91" s="10" t="inlineStr">
        <is>
          <t>RDO316</t>
        </is>
      </c>
      <c r="D91" s="10" t="inlineStr">
        <is>
          <t>5900130281</t>
        </is>
      </c>
      <c r="E91" s="10" t="inlineStr">
        <is>
          <t>Marabá</t>
        </is>
      </c>
      <c r="F91" s="10" t="inlineStr">
        <is>
          <t>Preventiva MARABA</t>
        </is>
      </c>
      <c r="G91" s="10" t="inlineStr">
        <is>
          <t>Jose Domingos Lopes</t>
        </is>
      </c>
      <c r="H91" s="10" t="inlineStr">
        <is>
          <t>2.2.1</t>
        </is>
      </c>
      <c r="I91" s="10" t="inlineStr">
        <is>
          <t>Roçada</t>
        </is>
      </c>
      <c r="J91" s="10" t="inlineStr">
        <is>
          <t>M2</t>
        </is>
      </c>
      <c r="K91" s="13" t="n">
        <v>217</v>
      </c>
      <c r="L91" s="10" t="n">
        <v>9</v>
      </c>
      <c r="M91" s="13" t="n">
        <v>50</v>
      </c>
      <c r="N91" s="13" t="n">
        <v>5.56410256410256</v>
      </c>
      <c r="O91" s="13">
        <f>IF(N91=0,0,K91/(L91*N91))</f>
        <v/>
      </c>
      <c r="P91" s="13">
        <f>IF(O91=0,0,K91/(L91*O91))</f>
        <v/>
      </c>
      <c r="Q91" s="14">
        <f>IF(M91=0,0,P91/M91)</f>
        <v/>
      </c>
      <c r="R91" s="13">
        <f>L91*O91</f>
        <v/>
      </c>
    </row>
    <row r="92">
      <c r="A92" s="12" t="n">
        <v>46171</v>
      </c>
      <c r="B92" s="12" t="n">
        <v>46171</v>
      </c>
      <c r="C92" s="10" t="inlineStr">
        <is>
          <t>RDO316</t>
        </is>
      </c>
      <c r="D92" s="10" t="inlineStr">
        <is>
          <t>5900130281</t>
        </is>
      </c>
      <c r="E92" s="10" t="inlineStr">
        <is>
          <t>Marabá</t>
        </is>
      </c>
      <c r="F92" s="10" t="inlineStr">
        <is>
          <t>Preventiva MARABA</t>
        </is>
      </c>
      <c r="G92" s="10" t="inlineStr">
        <is>
          <t>Jose Domingos Lopes</t>
        </is>
      </c>
      <c r="H92" s="10" t="inlineStr">
        <is>
          <t>2.2.1</t>
        </is>
      </c>
      <c r="I92" s="10" t="inlineStr">
        <is>
          <t>Roçada</t>
        </is>
      </c>
      <c r="J92" s="10" t="inlineStr">
        <is>
          <t>M2</t>
        </is>
      </c>
      <c r="K92" s="13" t="n">
        <v>273</v>
      </c>
      <c r="L92" s="10" t="n">
        <v>9</v>
      </c>
      <c r="M92" s="13" t="n">
        <v>50</v>
      </c>
      <c r="N92" s="13" t="n">
        <v>10.1111111111111</v>
      </c>
      <c r="O92" s="13">
        <f>IF(N92=0,0,K92/(L92*N92))</f>
        <v/>
      </c>
      <c r="P92" s="13">
        <f>IF(O92=0,0,K92/(L92*O92))</f>
        <v/>
      </c>
      <c r="Q92" s="14">
        <f>IF(M92=0,0,P92/M92)</f>
        <v/>
      </c>
      <c r="R92" s="13">
        <f>L92*O92</f>
        <v/>
      </c>
    </row>
    <row r="93">
      <c r="A93" s="12" t="n">
        <v>46171</v>
      </c>
      <c r="B93" s="12" t="n">
        <v>46171</v>
      </c>
      <c r="C93" s="10" t="inlineStr">
        <is>
          <t>RDO316</t>
        </is>
      </c>
      <c r="D93" s="10" t="inlineStr">
        <is>
          <t>5900130281</t>
        </is>
      </c>
      <c r="E93" s="10" t="inlineStr">
        <is>
          <t>Marabá</t>
        </is>
      </c>
      <c r="F93" s="10" t="inlineStr">
        <is>
          <t>Preventiva MARABA</t>
        </is>
      </c>
      <c r="G93" s="10" t="inlineStr">
        <is>
          <t>Jose Domingos Lopes</t>
        </is>
      </c>
      <c r="H93" s="10" t="inlineStr">
        <is>
          <t>2.2.1</t>
        </is>
      </c>
      <c r="I93" s="10" t="inlineStr">
        <is>
          <t>Roçada</t>
        </is>
      </c>
      <c r="J93" s="10" t="inlineStr">
        <is>
          <t>M2</t>
        </is>
      </c>
      <c r="K93" s="13" t="n">
        <v>1092</v>
      </c>
      <c r="L93" s="10" t="n">
        <v>9</v>
      </c>
      <c r="M93" s="13" t="n">
        <v>50</v>
      </c>
      <c r="N93" s="13" t="n">
        <v>40.4444444444444</v>
      </c>
      <c r="O93" s="13">
        <f>IF(N93=0,0,K93/(L93*N93))</f>
        <v/>
      </c>
      <c r="P93" s="13">
        <f>IF(O93=0,0,K93/(L93*O93))</f>
        <v/>
      </c>
      <c r="Q93" s="14">
        <f>IF(M93=0,0,P93/M93)</f>
        <v/>
      </c>
      <c r="R93" s="13">
        <f>L93*O93</f>
        <v/>
      </c>
    </row>
    <row r="94">
      <c r="A94" s="12" t="n">
        <v>46171</v>
      </c>
      <c r="B94" s="12" t="n">
        <v>46171</v>
      </c>
      <c r="C94" s="10" t="inlineStr">
        <is>
          <t>RDO316</t>
        </is>
      </c>
      <c r="D94" s="10" t="inlineStr">
        <is>
          <t>5900130281</t>
        </is>
      </c>
      <c r="E94" s="10" t="inlineStr">
        <is>
          <t>Marabá</t>
        </is>
      </c>
      <c r="F94" s="10" t="inlineStr">
        <is>
          <t>Preventiva MARABA</t>
        </is>
      </c>
      <c r="G94" s="10" t="inlineStr">
        <is>
          <t>Jose Domingos Lopes</t>
        </is>
      </c>
      <c r="H94" s="10" t="inlineStr">
        <is>
          <t>2.2.1</t>
        </is>
      </c>
      <c r="I94" s="10" t="inlineStr">
        <is>
          <t>Roçada</t>
        </is>
      </c>
      <c r="J94" s="10" t="inlineStr">
        <is>
          <t>M2</t>
        </is>
      </c>
      <c r="K94" s="13" t="n">
        <v>718.74</v>
      </c>
      <c r="L94" s="10" t="n">
        <v>9</v>
      </c>
      <c r="M94" s="13" t="n">
        <v>50</v>
      </c>
      <c r="N94" s="13" t="n">
        <v>26.62</v>
      </c>
      <c r="O94" s="13">
        <f>IF(N94=0,0,K94/(L94*N94))</f>
        <v/>
      </c>
      <c r="P94" s="13">
        <f>IF(O94=0,0,K94/(L94*O94))</f>
        <v/>
      </c>
      <c r="Q94" s="14">
        <f>IF(M94=0,0,P94/M94)</f>
        <v/>
      </c>
      <c r="R94" s="13">
        <f>L94*O94</f>
        <v/>
      </c>
    </row>
    <row r="95">
      <c r="A95" s="12" t="n">
        <v>46171</v>
      </c>
      <c r="B95" s="12" t="n">
        <v>46171</v>
      </c>
      <c r="C95" s="10" t="inlineStr">
        <is>
          <t>RDO301</t>
        </is>
      </c>
      <c r="D95" s="10" t="inlineStr">
        <is>
          <t>ENGECOM PARA</t>
        </is>
      </c>
      <c r="E95" s="10" t="inlineStr">
        <is>
          <t>Parauapebas</t>
        </is>
      </c>
      <c r="F95" s="10" t="inlineStr">
        <is>
          <t>Preventiva PARAUAPEBAS</t>
        </is>
      </c>
      <c r="G95" s="10" t="inlineStr">
        <is>
          <t>Leandro Soares Dias</t>
        </is>
      </c>
      <c r="H95" s="10" t="inlineStr">
        <is>
          <t>2.2.1</t>
        </is>
      </c>
      <c r="I95" s="10" t="inlineStr">
        <is>
          <t>Roçada</t>
        </is>
      </c>
      <c r="J95" s="10" t="inlineStr">
        <is>
          <t>M2</t>
        </is>
      </c>
      <c r="K95" s="13" t="n">
        <v>499.32</v>
      </c>
      <c r="L95" s="10" t="n">
        <v>12</v>
      </c>
      <c r="M95" s="13" t="n">
        <v>50</v>
      </c>
      <c r="N95" s="13" t="n">
        <v>11.8885714285714</v>
      </c>
      <c r="O95" s="13">
        <f>IF(N95=0,0,K95/(L95*N95))</f>
        <v/>
      </c>
      <c r="P95" s="13">
        <f>IF(O95=0,0,K95/(L95*O95))</f>
        <v/>
      </c>
      <c r="Q95" s="14">
        <f>IF(M95=0,0,P95/M95)</f>
        <v/>
      </c>
      <c r="R95" s="13">
        <f>L95*O95</f>
        <v/>
      </c>
    </row>
    <row r="96">
      <c r="A96" s="12" t="n">
        <v>46171</v>
      </c>
      <c r="B96" s="12" t="n">
        <v>46171</v>
      </c>
      <c r="C96" s="10" t="inlineStr">
        <is>
          <t>RDO301</t>
        </is>
      </c>
      <c r="D96" s="10" t="inlineStr">
        <is>
          <t>ENGECOM PARA</t>
        </is>
      </c>
      <c r="E96" s="10" t="inlineStr">
        <is>
          <t>Parauapebas</t>
        </is>
      </c>
      <c r="F96" s="10" t="inlineStr">
        <is>
          <t>Preventiva PARAUAPEBAS</t>
        </is>
      </c>
      <c r="G96" s="10" t="inlineStr">
        <is>
          <t>Leandro Soares Dias</t>
        </is>
      </c>
      <c r="H96" s="10" t="inlineStr">
        <is>
          <t>2.1.5</t>
        </is>
      </c>
      <c r="I96" s="10" t="inlineStr">
        <is>
          <t>Limpeza De Valeta, Sarjetas E Meio Fio</t>
        </is>
      </c>
      <c r="J96" s="10" t="inlineStr">
        <is>
          <t>M</t>
        </is>
      </c>
      <c r="K96" s="13" t="n">
        <v>62.7</v>
      </c>
      <c r="L96" s="10" t="n">
        <v>12</v>
      </c>
      <c r="M96" s="13" t="n">
        <v>9</v>
      </c>
      <c r="N96" s="13" t="n">
        <v>5.225</v>
      </c>
      <c r="O96" s="13">
        <f>IF(N96=0,0,K96/(L96*N96))</f>
        <v/>
      </c>
      <c r="P96" s="13">
        <f>IF(O96=0,0,K96/(L96*O96))</f>
        <v/>
      </c>
      <c r="Q96" s="14">
        <f>IF(M96=0,0,P96/M96)</f>
        <v/>
      </c>
      <c r="R96" s="13">
        <f>L96*O96</f>
        <v/>
      </c>
    </row>
    <row r="97">
      <c r="A97" s="12" t="n">
        <v>46171</v>
      </c>
      <c r="B97" s="12" t="n">
        <v>46171</v>
      </c>
      <c r="C97" s="10" t="inlineStr">
        <is>
          <t>RDO301</t>
        </is>
      </c>
      <c r="D97" s="10" t="inlineStr">
        <is>
          <t>ENGECOM PARA</t>
        </is>
      </c>
      <c r="E97" s="10" t="inlineStr">
        <is>
          <t>Parauapebas</t>
        </is>
      </c>
      <c r="F97" s="10" t="inlineStr">
        <is>
          <t>Preventiva PARAUAPEBAS</t>
        </is>
      </c>
      <c r="G97" s="10" t="inlineStr">
        <is>
          <t>Leandro Soares Dias</t>
        </is>
      </c>
      <c r="H97" s="10" t="inlineStr">
        <is>
          <t>2.1.8</t>
        </is>
      </c>
      <c r="I97" s="10" t="inlineStr">
        <is>
          <t>Recuperação De Drenagem Tipop Sarjeta/Meio-Fio Em Plataforma, Limitando-Se A 100M De Extensão</t>
        </is>
      </c>
      <c r="J97" s="10" t="inlineStr">
        <is>
          <t>M</t>
        </is>
      </c>
      <c r="K97" s="13" t="n">
        <v>21</v>
      </c>
      <c r="L97" s="10" t="n">
        <v>12</v>
      </c>
      <c r="M97" s="13" t="n">
        <v>1</v>
      </c>
      <c r="N97" s="13" t="n">
        <v>1.3125</v>
      </c>
      <c r="O97" s="13">
        <f>IF(N97=0,0,K97/(L97*N97))</f>
        <v/>
      </c>
      <c r="P97" s="13">
        <f>IF(O97=0,0,K97/(L97*O97))</f>
        <v/>
      </c>
      <c r="Q97" s="14">
        <f>IF(M97=0,0,P97/M97)</f>
        <v/>
      </c>
      <c r="R97" s="13">
        <f>L97*O97</f>
        <v/>
      </c>
    </row>
    <row r="98">
      <c r="A98" s="12" t="n">
        <v>46174</v>
      </c>
      <c r="B98" s="12" t="n">
        <v>46174</v>
      </c>
      <c r="C98" s="10" t="inlineStr">
        <is>
          <t>RDO311</t>
        </is>
      </c>
      <c r="D98" s="10" t="inlineStr">
        <is>
          <t>5900130281</t>
        </is>
      </c>
      <c r="E98" s="10" t="inlineStr">
        <is>
          <t>Marabá</t>
        </is>
      </c>
      <c r="F98" s="10" t="inlineStr">
        <is>
          <t>Preventiva MARABA</t>
        </is>
      </c>
      <c r="G98" s="10" t="inlineStr">
        <is>
          <t>Jose Domingos Lopes</t>
        </is>
      </c>
      <c r="H98" s="10" t="inlineStr">
        <is>
          <t>2.2.1</t>
        </is>
      </c>
      <c r="I98" s="10" t="inlineStr">
        <is>
          <t>Roçada</t>
        </is>
      </c>
      <c r="J98" s="10" t="inlineStr">
        <is>
          <t>M2</t>
        </is>
      </c>
      <c r="K98" s="13" t="n">
        <v>4100</v>
      </c>
      <c r="L98" s="10" t="n">
        <v>7</v>
      </c>
      <c r="M98" s="13" t="n">
        <v>50</v>
      </c>
      <c r="N98" s="13" t="n">
        <v>75.5760368663594</v>
      </c>
      <c r="O98" s="13">
        <f>IF(N98=0,0,K98/(L98*N98))</f>
        <v/>
      </c>
      <c r="P98" s="13">
        <f>IF(O98=0,0,K98/(L98*O98))</f>
        <v/>
      </c>
      <c r="Q98" s="14">
        <f>IF(M98=0,0,P98/M98)</f>
        <v/>
      </c>
      <c r="R98" s="13">
        <f>L98*O98</f>
        <v/>
      </c>
    </row>
    <row r="99">
      <c r="A99" s="12" t="n">
        <v>46174</v>
      </c>
      <c r="B99" s="12" t="n">
        <v>46174</v>
      </c>
      <c r="C99" s="10" t="inlineStr">
        <is>
          <t>RDO317</t>
        </is>
      </c>
      <c r="D99" s="10" t="inlineStr">
        <is>
          <t>ENGECOM PARA</t>
        </is>
      </c>
      <c r="E99" s="10" t="inlineStr">
        <is>
          <t>Parauapebas</t>
        </is>
      </c>
      <c r="F99" s="10" t="inlineStr">
        <is>
          <t>Preventiva PARAUAPEBAS</t>
        </is>
      </c>
      <c r="G99" s="10" t="inlineStr">
        <is>
          <t>Leandro Soares Dias</t>
        </is>
      </c>
      <c r="H99" s="10" t="inlineStr">
        <is>
          <t>2.2.1</t>
        </is>
      </c>
      <c r="I99" s="10" t="inlineStr">
        <is>
          <t>Roçada</t>
        </is>
      </c>
      <c r="J99" s="10" t="inlineStr">
        <is>
          <t>M2</t>
        </is>
      </c>
      <c r="K99" s="13" t="n">
        <v>933.3099999999999</v>
      </c>
      <c r="L99" s="10" t="n">
        <v>11</v>
      </c>
      <c r="M99" s="13" t="n">
        <v>50</v>
      </c>
      <c r="N99" s="13" t="n">
        <v>24.2418181818182</v>
      </c>
      <c r="O99" s="13">
        <f>IF(N99=0,0,K99/(L99*N99))</f>
        <v/>
      </c>
      <c r="P99" s="13">
        <f>IF(O99=0,0,K99/(L99*O99))</f>
        <v/>
      </c>
      <c r="Q99" s="14">
        <f>IF(M99=0,0,P99/M99)</f>
        <v/>
      </c>
      <c r="R99" s="13">
        <f>L99*O99</f>
        <v/>
      </c>
    </row>
    <row r="100">
      <c r="A100" s="12" t="n">
        <v>46174</v>
      </c>
      <c r="B100" s="12" t="n">
        <v>46174</v>
      </c>
      <c r="C100" s="10" t="inlineStr">
        <is>
          <t>RDO317</t>
        </is>
      </c>
      <c r="D100" s="10" t="inlineStr">
        <is>
          <t>ENGECOM PARA</t>
        </is>
      </c>
      <c r="E100" s="10" t="inlineStr">
        <is>
          <t>Parauapebas</t>
        </is>
      </c>
      <c r="F100" s="10" t="inlineStr">
        <is>
          <t>Preventiva PARAUAPEBAS</t>
        </is>
      </c>
      <c r="G100" s="10" t="inlineStr">
        <is>
          <t>Leandro Soares Dias</t>
        </is>
      </c>
      <c r="H100" s="10" t="inlineStr">
        <is>
          <t>2.2.1</t>
        </is>
      </c>
      <c r="I100" s="10" t="inlineStr">
        <is>
          <t>Roçada</t>
        </is>
      </c>
      <c r="J100" s="10" t="inlineStr">
        <is>
          <t>M2</t>
        </is>
      </c>
      <c r="K100" s="13" t="n">
        <v>4617.2</v>
      </c>
      <c r="L100" s="10" t="n">
        <v>11</v>
      </c>
      <c r="M100" s="13" t="n">
        <v>50</v>
      </c>
      <c r="N100" s="13" t="n">
        <v>119.927272727273</v>
      </c>
      <c r="O100" s="13">
        <f>IF(N100=0,0,K100/(L100*N100))</f>
        <v/>
      </c>
      <c r="P100" s="13">
        <f>IF(O100=0,0,K100/(L100*O100))</f>
        <v/>
      </c>
      <c r="Q100" s="14">
        <f>IF(M100=0,0,P100/M100)</f>
        <v/>
      </c>
      <c r="R100" s="13">
        <f>L100*O100</f>
        <v/>
      </c>
    </row>
    <row r="101">
      <c r="A101" s="12" t="n">
        <v>46175</v>
      </c>
      <c r="B101" s="12" t="n">
        <v>46175</v>
      </c>
      <c r="C101" s="10" t="inlineStr">
        <is>
          <t>RDO326</t>
        </is>
      </c>
      <c r="D101" s="10" t="inlineStr">
        <is>
          <t>ENGECOM PARA</t>
        </is>
      </c>
      <c r="E101" s="10" t="inlineStr">
        <is>
          <t>Parauapebas</t>
        </is>
      </c>
      <c r="F101" s="10" t="inlineStr">
        <is>
          <t>Preventiva PARAUAPEBAS</t>
        </is>
      </c>
      <c r="G101" s="10" t="inlineStr">
        <is>
          <t>Leandro Soares Dias</t>
        </is>
      </c>
      <c r="H101" s="10" t="inlineStr">
        <is>
          <t>2.2.1</t>
        </is>
      </c>
      <c r="I101" s="10" t="inlineStr">
        <is>
          <t>Roçada</t>
        </is>
      </c>
      <c r="J101" s="10" t="inlineStr">
        <is>
          <t>M2</t>
        </is>
      </c>
      <c r="K101" s="13" t="n">
        <v>4815.8</v>
      </c>
      <c r="L101" s="10" t="n">
        <v>11</v>
      </c>
      <c r="M101" s="13" t="n">
        <v>50</v>
      </c>
      <c r="N101" s="13" t="n">
        <v>218.9</v>
      </c>
      <c r="O101" s="13">
        <f>IF(N101=0,0,K101/(L101*N101))</f>
        <v/>
      </c>
      <c r="P101" s="13">
        <f>IF(O101=0,0,K101/(L101*O101))</f>
        <v/>
      </c>
      <c r="Q101" s="14">
        <f>IF(M101=0,0,P101/M101)</f>
        <v/>
      </c>
      <c r="R101" s="13">
        <f>L101*O101</f>
        <v/>
      </c>
    </row>
    <row r="102">
      <c r="A102" s="12" t="n">
        <v>46175</v>
      </c>
      <c r="B102" s="12" t="n">
        <v>46175</v>
      </c>
      <c r="C102" s="10" t="inlineStr">
        <is>
          <t>RDO326</t>
        </is>
      </c>
      <c r="D102" s="10" t="inlineStr">
        <is>
          <t>ENGECOM PARA</t>
        </is>
      </c>
      <c r="E102" s="10" t="inlineStr">
        <is>
          <t>Parauapebas</t>
        </is>
      </c>
      <c r="F102" s="10" t="inlineStr">
        <is>
          <t>Preventiva PARAUAPEBAS</t>
        </is>
      </c>
      <c r="G102" s="10" t="inlineStr">
        <is>
          <t>Leandro Soares Dias</t>
        </is>
      </c>
      <c r="H102" s="10" t="inlineStr">
        <is>
          <t>2.2.1</t>
        </is>
      </c>
      <c r="I102" s="10" t="inlineStr">
        <is>
          <t>Roçada</t>
        </is>
      </c>
      <c r="J102" s="10" t="inlineStr">
        <is>
          <t>M2</t>
        </is>
      </c>
      <c r="K102" s="13" t="n">
        <v>4435.2</v>
      </c>
      <c r="L102" s="10" t="n">
        <v>11</v>
      </c>
      <c r="M102" s="13" t="n">
        <v>50</v>
      </c>
      <c r="N102" s="13" t="n">
        <v>268.8</v>
      </c>
      <c r="O102" s="13">
        <f>IF(N102=0,0,K102/(L102*N102))</f>
        <v/>
      </c>
      <c r="P102" s="13">
        <f>IF(O102=0,0,K102/(L102*O102))</f>
        <v/>
      </c>
      <c r="Q102" s="14">
        <f>IF(M102=0,0,P102/M102)</f>
        <v/>
      </c>
      <c r="R102" s="13">
        <f>L102*O102</f>
        <v/>
      </c>
    </row>
    <row r="103">
      <c r="A103" s="12" t="n">
        <v>46175</v>
      </c>
      <c r="B103" s="12" t="n">
        <v>46175</v>
      </c>
      <c r="C103" s="10" t="inlineStr">
        <is>
          <t>RDO326</t>
        </is>
      </c>
      <c r="D103" s="10" t="inlineStr">
        <is>
          <t>ENGECOM PARA</t>
        </is>
      </c>
      <c r="E103" s="10" t="inlineStr">
        <is>
          <t>Parauapebas</t>
        </is>
      </c>
      <c r="F103" s="10" t="inlineStr">
        <is>
          <t>Preventiva PARAUAPEBAS</t>
        </is>
      </c>
      <c r="G103" s="10" t="inlineStr">
        <is>
          <t>Leandro Soares Dias</t>
        </is>
      </c>
      <c r="H103" s="10" t="inlineStr">
        <is>
          <t>2.2.1</t>
        </is>
      </c>
      <c r="I103" s="10" t="inlineStr">
        <is>
          <t>Roçada</t>
        </is>
      </c>
      <c r="J103" s="10" t="inlineStr">
        <is>
          <t>M2</t>
        </is>
      </c>
      <c r="K103" s="13" t="n">
        <v>4171</v>
      </c>
      <c r="L103" s="10" t="n">
        <v>11</v>
      </c>
      <c r="M103" s="13" t="n">
        <v>50</v>
      </c>
      <c r="N103" s="13" t="n">
        <v>379.181818181818</v>
      </c>
      <c r="O103" s="13">
        <f>IF(N103=0,0,K103/(L103*N103))</f>
        <v/>
      </c>
      <c r="P103" s="13">
        <f>IF(O103=0,0,K103/(L103*O103))</f>
        <v/>
      </c>
      <c r="Q103" s="14">
        <f>IF(M103=0,0,P103/M103)</f>
        <v/>
      </c>
      <c r="R103" s="13">
        <f>L103*O103</f>
        <v/>
      </c>
    </row>
    <row r="104">
      <c r="A104" s="12" t="n">
        <v>46176</v>
      </c>
      <c r="B104" s="12" t="n">
        <v>46176</v>
      </c>
      <c r="C104" s="10" t="inlineStr">
        <is>
          <t>RDO327</t>
        </is>
      </c>
      <c r="D104" s="10" t="inlineStr">
        <is>
          <t>ENGECOM PARA</t>
        </is>
      </c>
      <c r="E104" s="10" t="inlineStr">
        <is>
          <t>Parauapebas</t>
        </is>
      </c>
      <c r="F104" s="10" t="inlineStr">
        <is>
          <t>Preventiva PARAUAPEBAS</t>
        </is>
      </c>
      <c r="G104" s="10" t="inlineStr">
        <is>
          <t>Leandro Soares Dias</t>
        </is>
      </c>
      <c r="H104" s="10" t="inlineStr">
        <is>
          <t>2.2.1</t>
        </is>
      </c>
      <c r="I104" s="10" t="inlineStr">
        <is>
          <t>Roçada</t>
        </is>
      </c>
      <c r="J104" s="10" t="inlineStr">
        <is>
          <t>M2</t>
        </is>
      </c>
      <c r="K104" s="13" t="n">
        <v>917.4400000000001</v>
      </c>
      <c r="L104" s="10" t="n">
        <v>11</v>
      </c>
      <c r="M104" s="13" t="n">
        <v>50</v>
      </c>
      <c r="N104" s="13" t="n">
        <v>33.3614545454545</v>
      </c>
      <c r="O104" s="13">
        <f>IF(N104=0,0,K104/(L104*N104))</f>
        <v/>
      </c>
      <c r="P104" s="13">
        <f>IF(O104=0,0,K104/(L104*O104))</f>
        <v/>
      </c>
      <c r="Q104" s="14">
        <f>IF(M104=0,0,P104/M104)</f>
        <v/>
      </c>
      <c r="R104" s="13">
        <f>L104*O104</f>
        <v/>
      </c>
    </row>
    <row r="105">
      <c r="A105" s="12" t="n">
        <v>46176</v>
      </c>
      <c r="B105" s="12" t="n">
        <v>46176</v>
      </c>
      <c r="C105" s="10" t="inlineStr">
        <is>
          <t>RDO327</t>
        </is>
      </c>
      <c r="D105" s="10" t="inlineStr">
        <is>
          <t>ENGECOM PARA</t>
        </is>
      </c>
      <c r="E105" s="10" t="inlineStr">
        <is>
          <t>Parauapebas</t>
        </is>
      </c>
      <c r="F105" s="10" t="inlineStr">
        <is>
          <t>Preventiva PARAUAPEBAS</t>
        </is>
      </c>
      <c r="G105" s="10" t="inlineStr">
        <is>
          <t>Leandro Soares Dias</t>
        </is>
      </c>
      <c r="H105" s="10" t="inlineStr">
        <is>
          <t>2.2.1</t>
        </is>
      </c>
      <c r="I105" s="10" t="inlineStr">
        <is>
          <t>Roçada</t>
        </is>
      </c>
      <c r="J105" s="10" t="inlineStr">
        <is>
          <t>M2</t>
        </is>
      </c>
      <c r="K105" s="13" t="n">
        <v>910.16</v>
      </c>
      <c r="L105" s="10" t="n">
        <v>11</v>
      </c>
      <c r="M105" s="13" t="n">
        <v>50</v>
      </c>
      <c r="N105" s="13" t="n">
        <v>33.0967272727273</v>
      </c>
      <c r="O105" s="13">
        <f>IF(N105=0,0,K105/(L105*N105))</f>
        <v/>
      </c>
      <c r="P105" s="13">
        <f>IF(O105=0,0,K105/(L105*O105))</f>
        <v/>
      </c>
      <c r="Q105" s="14">
        <f>IF(M105=0,0,P105/M105)</f>
        <v/>
      </c>
      <c r="R105" s="13">
        <f>L105*O105</f>
        <v/>
      </c>
    </row>
    <row r="106">
      <c r="A106" s="12" t="n">
        <v>46176</v>
      </c>
      <c r="B106" s="12" t="n">
        <v>46176</v>
      </c>
      <c r="C106" s="10" t="inlineStr">
        <is>
          <t>RDO327</t>
        </is>
      </c>
      <c r="D106" s="10" t="inlineStr">
        <is>
          <t>ENGECOM PARA</t>
        </is>
      </c>
      <c r="E106" s="10" t="inlineStr">
        <is>
          <t>Parauapebas</t>
        </is>
      </c>
      <c r="F106" s="10" t="inlineStr">
        <is>
          <t>Preventiva PARAUAPEBAS</t>
        </is>
      </c>
      <c r="G106" s="10" t="inlineStr">
        <is>
          <t>Leandro Soares Dias</t>
        </is>
      </c>
      <c r="H106" s="10" t="inlineStr">
        <is>
          <t>2.1.3</t>
        </is>
      </c>
      <c r="I106" s="10" t="inlineStr">
        <is>
          <t>Limpeza De Canaleta Em Corte E Aterro Ate Meia Seção</t>
        </is>
      </c>
      <c r="J106" s="10" t="inlineStr">
        <is>
          <t>M</t>
        </is>
      </c>
      <c r="K106" s="13" t="n">
        <v>39.3</v>
      </c>
      <c r="L106" s="10" t="n">
        <v>11</v>
      </c>
      <c r="M106" s="13" t="n">
        <v>15</v>
      </c>
      <c r="N106" s="13" t="n">
        <v>7.14545454545454</v>
      </c>
      <c r="O106" s="13">
        <f>IF(N106=0,0,K106/(L106*N106))</f>
        <v/>
      </c>
      <c r="P106" s="13">
        <f>IF(O106=0,0,K106/(L106*O106))</f>
        <v/>
      </c>
      <c r="Q106" s="14">
        <f>IF(M106=0,0,P106/M106)</f>
        <v/>
      </c>
      <c r="R106" s="13">
        <f>L106*O106</f>
        <v/>
      </c>
    </row>
    <row r="107">
      <c r="A107" s="12" t="n">
        <v>46178</v>
      </c>
      <c r="B107" s="12" t="n">
        <v>46178</v>
      </c>
      <c r="C107" s="10" t="inlineStr">
        <is>
          <t>RDO329</t>
        </is>
      </c>
      <c r="D107" s="10" t="inlineStr">
        <is>
          <t>ENGECOM PARA</t>
        </is>
      </c>
      <c r="E107" s="10" t="inlineStr">
        <is>
          <t>Parauapebas</t>
        </is>
      </c>
      <c r="F107" s="10" t="inlineStr">
        <is>
          <t>Preventiva PARAUAPEBAS</t>
        </is>
      </c>
      <c r="G107" s="10" t="inlineStr">
        <is>
          <t>Leandro Soares Dias</t>
        </is>
      </c>
      <c r="H107" s="10" t="inlineStr">
        <is>
          <t>2.2.1</t>
        </is>
      </c>
      <c r="I107" s="10" t="inlineStr">
        <is>
          <t>Roçada</t>
        </is>
      </c>
      <c r="J107" s="10" t="inlineStr">
        <is>
          <t>M2</t>
        </is>
      </c>
      <c r="K107" s="13" t="n">
        <v>1232.27</v>
      </c>
      <c r="L107" s="10" t="n">
        <v>11</v>
      </c>
      <c r="M107" s="13" t="n">
        <v>50</v>
      </c>
      <c r="N107" s="13" t="n">
        <v>32.007012987013</v>
      </c>
      <c r="O107" s="13">
        <f>IF(N107=0,0,K107/(L107*N107))</f>
        <v/>
      </c>
      <c r="P107" s="13">
        <f>IF(O107=0,0,K107/(L107*O107))</f>
        <v/>
      </c>
      <c r="Q107" s="14">
        <f>IF(M107=0,0,P107/M107)</f>
        <v/>
      </c>
      <c r="R107" s="13">
        <f>L107*O107</f>
        <v/>
      </c>
    </row>
    <row r="108">
      <c r="A108" s="12" t="n">
        <v>46178</v>
      </c>
      <c r="B108" s="12" t="n">
        <v>46178</v>
      </c>
      <c r="C108" s="10" t="inlineStr">
        <is>
          <t>RDO329</t>
        </is>
      </c>
      <c r="D108" s="10" t="inlineStr">
        <is>
          <t>ENGECOM PARA</t>
        </is>
      </c>
      <c r="E108" s="10" t="inlineStr">
        <is>
          <t>Parauapebas</t>
        </is>
      </c>
      <c r="F108" s="10" t="inlineStr">
        <is>
          <t>Preventiva PARAUAPEBAS</t>
        </is>
      </c>
      <c r="G108" s="10" t="inlineStr">
        <is>
          <t>Leandro Soares Dias</t>
        </is>
      </c>
      <c r="H108" s="10" t="inlineStr">
        <is>
          <t>2.1.3</t>
        </is>
      </c>
      <c r="I108" s="10" t="inlineStr">
        <is>
          <t>Limpeza De Canaleta Em Corte E Aterro Ate Meia Seção</t>
        </is>
      </c>
      <c r="J108" s="10" t="inlineStr">
        <is>
          <t>M</t>
        </is>
      </c>
      <c r="K108" s="13" t="n">
        <v>196.5</v>
      </c>
      <c r="L108" s="10" t="n">
        <v>11</v>
      </c>
      <c r="M108" s="13" t="n">
        <v>15</v>
      </c>
      <c r="N108" s="13" t="n">
        <v>17.8636363636364</v>
      </c>
      <c r="O108" s="13">
        <f>IF(N108=0,0,K108/(L108*N108))</f>
        <v/>
      </c>
      <c r="P108" s="13">
        <f>IF(O108=0,0,K108/(L108*O108))</f>
        <v/>
      </c>
      <c r="Q108" s="14">
        <f>IF(M108=0,0,P108/M108)</f>
        <v/>
      </c>
      <c r="R108" s="13">
        <f>L108*O108</f>
        <v/>
      </c>
    </row>
    <row r="109">
      <c r="A109" s="12" t="n">
        <v>46178</v>
      </c>
      <c r="B109" s="12" t="n">
        <v>46178</v>
      </c>
      <c r="C109" s="10" t="inlineStr">
        <is>
          <t>RDO329</t>
        </is>
      </c>
      <c r="D109" s="10" t="inlineStr">
        <is>
          <t>ENGECOM PARA</t>
        </is>
      </c>
      <c r="E109" s="10" t="inlineStr">
        <is>
          <t>Parauapebas</t>
        </is>
      </c>
      <c r="F109" s="10" t="inlineStr">
        <is>
          <t>Preventiva PARAUAPEBAS</t>
        </is>
      </c>
      <c r="G109" s="10" t="inlineStr">
        <is>
          <t>Leandro Soares Dias</t>
        </is>
      </c>
      <c r="H109" s="10" t="inlineStr">
        <is>
          <t>2.1.4</t>
        </is>
      </c>
      <c r="I109" s="10" t="inlineStr">
        <is>
          <t>Limpeza De Canaleta Em Corte E Aterro Com Seção Plena</t>
        </is>
      </c>
      <c r="J109" s="10" t="inlineStr">
        <is>
          <t>M</t>
        </is>
      </c>
      <c r="K109" s="13" t="n">
        <v>113.4</v>
      </c>
      <c r="L109" s="10" t="n">
        <v>11</v>
      </c>
      <c r="M109" s="13" t="n">
        <v>2.82</v>
      </c>
      <c r="N109" s="13" t="n">
        <v>6.87272727272727</v>
      </c>
      <c r="O109" s="13">
        <f>IF(N109=0,0,K109/(L109*N109))</f>
        <v/>
      </c>
      <c r="P109" s="13">
        <f>IF(O109=0,0,K109/(L109*O109))</f>
        <v/>
      </c>
      <c r="Q109" s="14">
        <f>IF(M109=0,0,P109/M109)</f>
        <v/>
      </c>
      <c r="R109" s="13">
        <f>L109*O109</f>
        <v/>
      </c>
    </row>
    <row r="110">
      <c r="A110" s="12" t="n">
        <v>46181</v>
      </c>
      <c r="B110" s="12" t="n">
        <v>46181</v>
      </c>
      <c r="C110" s="10" t="inlineStr">
        <is>
          <t>RDO330</t>
        </is>
      </c>
      <c r="D110" s="10" t="inlineStr">
        <is>
          <t>ENGECOM PARA</t>
        </is>
      </c>
      <c r="E110" s="10" t="inlineStr">
        <is>
          <t>Parauapebas</t>
        </is>
      </c>
      <c r="F110" s="10" t="inlineStr">
        <is>
          <t>Preventiva PARAUAPEBAS</t>
        </is>
      </c>
      <c r="G110" s="10" t="inlineStr">
        <is>
          <t>Leandro Soares Dias</t>
        </is>
      </c>
      <c r="H110" s="10" t="inlineStr">
        <is>
          <t>2.2.1</t>
        </is>
      </c>
      <c r="I110" s="10" t="inlineStr">
        <is>
          <t>Roçada</t>
        </is>
      </c>
      <c r="J110" s="10" t="inlineStr">
        <is>
          <t>M2</t>
        </is>
      </c>
      <c r="K110" s="13" t="n">
        <v>7642.86</v>
      </c>
      <c r="L110" s="10" t="n">
        <v>11</v>
      </c>
      <c r="M110" s="13" t="n">
        <v>50</v>
      </c>
      <c r="N110" s="13" t="n">
        <v>198.515844155844</v>
      </c>
      <c r="O110" s="13">
        <f>IF(N110=0,0,K110/(L110*N110))</f>
        <v/>
      </c>
      <c r="P110" s="13">
        <f>IF(O110=0,0,K110/(L110*O110))</f>
        <v/>
      </c>
      <c r="Q110" s="14">
        <f>IF(M110=0,0,P110/M110)</f>
        <v/>
      </c>
      <c r="R110" s="13">
        <f>L110*O110</f>
        <v/>
      </c>
    </row>
    <row r="111">
      <c r="A111" s="12" t="n">
        <v>46181</v>
      </c>
      <c r="B111" s="12" t="n">
        <v>46181</v>
      </c>
      <c r="C111" s="10" t="inlineStr">
        <is>
          <t>RDO330</t>
        </is>
      </c>
      <c r="D111" s="10" t="inlineStr">
        <is>
          <t>ENGECOM PARA</t>
        </is>
      </c>
      <c r="E111" s="10" t="inlineStr">
        <is>
          <t>Parauapebas</t>
        </is>
      </c>
      <c r="F111" s="10" t="inlineStr">
        <is>
          <t>Preventiva PARAUAPEBAS</t>
        </is>
      </c>
      <c r="G111" s="10" t="inlineStr">
        <is>
          <t>Leandro Soares Dias</t>
        </is>
      </c>
      <c r="H111" s="10" t="inlineStr">
        <is>
          <t>2.2.1</t>
        </is>
      </c>
      <c r="I111" s="10" t="inlineStr">
        <is>
          <t>Roçada</t>
        </is>
      </c>
      <c r="J111" s="10" t="inlineStr">
        <is>
          <t>M2</t>
        </is>
      </c>
      <c r="K111" s="13" t="n">
        <v>1355.4</v>
      </c>
      <c r="L111" s="10" t="n">
        <v>11</v>
      </c>
      <c r="M111" s="13" t="n">
        <v>50</v>
      </c>
      <c r="N111" s="13" t="n">
        <v>35.2051948051948</v>
      </c>
      <c r="O111" s="13">
        <f>IF(N111=0,0,K111/(L111*N111))</f>
        <v/>
      </c>
      <c r="P111" s="13">
        <f>IF(O111=0,0,K111/(L111*O111))</f>
        <v/>
      </c>
      <c r="Q111" s="14">
        <f>IF(M111=0,0,P111/M111)</f>
        <v/>
      </c>
      <c r="R111" s="13">
        <f>L111*O111</f>
        <v/>
      </c>
    </row>
    <row r="112">
      <c r="A112" s="12" t="n">
        <v>46182</v>
      </c>
      <c r="B112" s="12" t="n">
        <v>46182</v>
      </c>
      <c r="C112" s="10" t="inlineStr">
        <is>
          <t>RDO331</t>
        </is>
      </c>
      <c r="D112" s="10" t="inlineStr">
        <is>
          <t>ENGECOM PARA</t>
        </is>
      </c>
      <c r="E112" s="10" t="inlineStr">
        <is>
          <t>Marabá</t>
        </is>
      </c>
      <c r="F112" s="10" t="inlineStr">
        <is>
          <t>Preventiva MARABA</t>
        </is>
      </c>
      <c r="G112" s="10" t="inlineStr">
        <is>
          <t>Jose Domingos Lopes</t>
        </is>
      </c>
      <c r="H112" s="10" t="inlineStr">
        <is>
          <t>2.2.1</t>
        </is>
      </c>
      <c r="I112" s="10" t="inlineStr">
        <is>
          <t>Roçada</t>
        </is>
      </c>
      <c r="J112" s="10" t="inlineStr">
        <is>
          <t>M2</t>
        </is>
      </c>
      <c r="K112" s="13" t="n">
        <v>1203.42</v>
      </c>
      <c r="L112" s="10" t="n">
        <v>10</v>
      </c>
      <c r="M112" s="13" t="n">
        <v>50</v>
      </c>
      <c r="N112" s="13" t="n">
        <v>80.22799999999999</v>
      </c>
      <c r="O112" s="13">
        <f>IF(N112=0,0,K112/(L112*N112))</f>
        <v/>
      </c>
      <c r="P112" s="13">
        <f>IF(O112=0,0,K112/(L112*O112))</f>
        <v/>
      </c>
      <c r="Q112" s="14">
        <f>IF(M112=0,0,P112/M112)</f>
        <v/>
      </c>
      <c r="R112" s="13">
        <f>L112*O112</f>
        <v/>
      </c>
    </row>
    <row r="113">
      <c r="A113" s="12" t="n">
        <v>46182</v>
      </c>
      <c r="B113" s="12" t="n">
        <v>46182</v>
      </c>
      <c r="C113" s="10" t="inlineStr">
        <is>
          <t>RDO331</t>
        </is>
      </c>
      <c r="D113" s="10" t="inlineStr">
        <is>
          <t>ENGECOM PARA</t>
        </is>
      </c>
      <c r="E113" s="10" t="inlineStr">
        <is>
          <t>Marabá</t>
        </is>
      </c>
      <c r="F113" s="10" t="inlineStr">
        <is>
          <t>Preventiva MARABA</t>
        </is>
      </c>
      <c r="G113" s="10" t="inlineStr">
        <is>
          <t>Jose Domingos Lopes</t>
        </is>
      </c>
      <c r="H113" s="10" t="inlineStr">
        <is>
          <t>2.1.3</t>
        </is>
      </c>
      <c r="I113" s="10" t="inlineStr">
        <is>
          <t>Limpeza De Canaleta Em Corte E Aterro Ate Meia Seção</t>
        </is>
      </c>
      <c r="J113" s="10" t="inlineStr">
        <is>
          <t>M</t>
        </is>
      </c>
      <c r="K113" s="13" t="n">
        <v>100</v>
      </c>
      <c r="L113" s="10" t="n">
        <v>5</v>
      </c>
      <c r="M113" s="13" t="n">
        <v>15</v>
      </c>
      <c r="N113" s="13" t="n">
        <v>10</v>
      </c>
      <c r="O113" s="13">
        <f>IF(N113=0,0,K113/(L113*N113))</f>
        <v/>
      </c>
      <c r="P113" s="13">
        <f>IF(O113=0,0,K113/(L113*O113))</f>
        <v/>
      </c>
      <c r="Q113" s="14">
        <f>IF(M113=0,0,P113/M113)</f>
        <v/>
      </c>
      <c r="R113" s="13">
        <f>L113*O113</f>
        <v/>
      </c>
    </row>
    <row r="114">
      <c r="A114" s="12" t="n">
        <v>46182</v>
      </c>
      <c r="B114" s="12" t="n">
        <v>46182</v>
      </c>
      <c r="C114" s="10" t="inlineStr">
        <is>
          <t>RDO331</t>
        </is>
      </c>
      <c r="D114" s="10" t="inlineStr">
        <is>
          <t>ENGECOM PARA</t>
        </is>
      </c>
      <c r="E114" s="10" t="inlineStr">
        <is>
          <t>Marabá</t>
        </is>
      </c>
      <c r="F114" s="10" t="inlineStr">
        <is>
          <t>Preventiva MARABA</t>
        </is>
      </c>
      <c r="G114" s="10" t="inlineStr">
        <is>
          <t>Jose Domingos Lopes</t>
        </is>
      </c>
      <c r="H114" s="10" t="inlineStr">
        <is>
          <t>2.1.7</t>
        </is>
      </c>
      <c r="I114" s="10" t="inlineStr">
        <is>
          <t>Recuperação De Drenagem Tipo Canaleta/Valeta Em Taludes, Limitando-Se A 100M De Extensão</t>
        </is>
      </c>
      <c r="J114" s="10" t="inlineStr">
        <is>
          <t>M</t>
        </is>
      </c>
      <c r="K114" s="13" t="n">
        <v>100</v>
      </c>
      <c r="L114" s="10" t="n">
        <v>10</v>
      </c>
      <c r="M114" s="13" t="n">
        <v>1</v>
      </c>
      <c r="N114" s="13" t="n">
        <v>2.66666666666667</v>
      </c>
      <c r="O114" s="13">
        <f>IF(N114=0,0,K114/(L114*N114))</f>
        <v/>
      </c>
      <c r="P114" s="13">
        <f>IF(O114=0,0,K114/(L114*O114))</f>
        <v/>
      </c>
      <c r="Q114" s="14">
        <f>IF(M114=0,0,P114/M114)</f>
        <v/>
      </c>
      <c r="R114" s="13">
        <f>L114*O114</f>
        <v/>
      </c>
    </row>
    <row r="115">
      <c r="A115" s="12" t="n">
        <v>46182</v>
      </c>
      <c r="B115" s="12" t="n">
        <v>46182</v>
      </c>
      <c r="C115" s="10" t="inlineStr">
        <is>
          <t>RDO331</t>
        </is>
      </c>
      <c r="D115" s="10" t="inlineStr">
        <is>
          <t>ENGECOM PARA</t>
        </is>
      </c>
      <c r="E115" s="10" t="inlineStr">
        <is>
          <t>Marabá</t>
        </is>
      </c>
      <c r="F115" s="10" t="inlineStr">
        <is>
          <t>Preventiva MARABA</t>
        </is>
      </c>
      <c r="G115" s="10" t="inlineStr">
        <is>
          <t>Jose Domingos Lopes</t>
        </is>
      </c>
      <c r="H115" s="10" t="inlineStr">
        <is>
          <t>2.1.3.1</t>
        </is>
      </c>
      <c r="I115" s="10" t="inlineStr">
        <is>
          <t>Limpeza De Canaleta Em Corte E Aterro Ate Meia Seção - Mec</t>
        </is>
      </c>
      <c r="J115" s="10" t="inlineStr">
        <is>
          <t>M</t>
        </is>
      </c>
      <c r="K115" s="13" t="n">
        <v>166.5</v>
      </c>
      <c r="L115" s="10" t="n">
        <v>1</v>
      </c>
      <c r="M115" s="13" t="n">
        <v>1</v>
      </c>
      <c r="N115" s="13" t="n">
        <v>83.25</v>
      </c>
      <c r="O115" s="13">
        <f>IF(N115=0,0,K115/(L115*N115))</f>
        <v/>
      </c>
      <c r="P115" s="13">
        <f>IF(O115=0,0,K115/(L115*O115))</f>
        <v/>
      </c>
      <c r="Q115" s="14">
        <f>IF(M115=0,0,P115/M115)</f>
        <v/>
      </c>
      <c r="R115" s="13">
        <f>L115*O115</f>
        <v/>
      </c>
    </row>
    <row r="116">
      <c r="A116" s="12" t="n">
        <v>46182</v>
      </c>
      <c r="B116" s="12" t="n">
        <v>46182</v>
      </c>
      <c r="C116" s="10" t="inlineStr">
        <is>
          <t>RDO331</t>
        </is>
      </c>
      <c r="D116" s="10" t="inlineStr">
        <is>
          <t>ENGECOM PARA</t>
        </is>
      </c>
      <c r="E116" s="10" t="inlineStr">
        <is>
          <t>Marabá</t>
        </is>
      </c>
      <c r="F116" s="10" t="inlineStr">
        <is>
          <t>Preventiva MARABA</t>
        </is>
      </c>
      <c r="G116" s="10" t="inlineStr">
        <is>
          <t>Jose Domingos Lopes</t>
        </is>
      </c>
      <c r="H116" s="10" t="inlineStr">
        <is>
          <t>2.1.5</t>
        </is>
      </c>
      <c r="I116" s="10" t="inlineStr">
        <is>
          <t>Limpeza De Valeta, Sarjetas E Meio Fio</t>
        </is>
      </c>
      <c r="J116" s="10" t="inlineStr">
        <is>
          <t>M</t>
        </is>
      </c>
      <c r="K116" s="13" t="n">
        <v>140.6</v>
      </c>
      <c r="L116" s="10" t="n">
        <v>5</v>
      </c>
      <c r="M116" s="13" t="n">
        <v>9</v>
      </c>
      <c r="N116" s="13" t="n">
        <v>14.06</v>
      </c>
      <c r="O116" s="13">
        <f>IF(N116=0,0,K116/(L116*N116))</f>
        <v/>
      </c>
      <c r="P116" s="13">
        <f>IF(O116=0,0,K116/(L116*O116))</f>
        <v/>
      </c>
      <c r="Q116" s="14">
        <f>IF(M116=0,0,P116/M116)</f>
        <v/>
      </c>
      <c r="R116" s="13">
        <f>L116*O116</f>
        <v/>
      </c>
    </row>
    <row r="117">
      <c r="A117" s="12" t="n">
        <v>46182</v>
      </c>
      <c r="B117" s="12" t="n">
        <v>46182</v>
      </c>
      <c r="C117" s="10" t="inlineStr">
        <is>
          <t>RDO332</t>
        </is>
      </c>
      <c r="D117" s="10" t="inlineStr">
        <is>
          <t>ENGECOM PARA</t>
        </is>
      </c>
      <c r="E117" s="10" t="inlineStr">
        <is>
          <t>Parauapebas</t>
        </is>
      </c>
      <c r="F117" s="10" t="inlineStr">
        <is>
          <t>Preventiva PARAUAPEBAS</t>
        </is>
      </c>
      <c r="G117" s="10" t="inlineStr">
        <is>
          <t>Leandro Soares Dias</t>
        </is>
      </c>
      <c r="H117" s="10" t="inlineStr">
        <is>
          <t>2.2.1</t>
        </is>
      </c>
      <c r="I117" s="10" t="inlineStr">
        <is>
          <t>Roçada</t>
        </is>
      </c>
      <c r="J117" s="10" t="inlineStr">
        <is>
          <t>M2</t>
        </is>
      </c>
      <c r="K117" s="13" t="n">
        <v>2150</v>
      </c>
      <c r="L117" s="10" t="n">
        <v>11</v>
      </c>
      <c r="M117" s="13" t="n">
        <v>50</v>
      </c>
      <c r="N117" s="13" t="n">
        <v>97.72727272727271</v>
      </c>
      <c r="O117" s="13">
        <f>IF(N117=0,0,K117/(L117*N117))</f>
        <v/>
      </c>
      <c r="P117" s="13">
        <f>IF(O117=0,0,K117/(L117*O117))</f>
        <v/>
      </c>
      <c r="Q117" s="14">
        <f>IF(M117=0,0,P117/M117)</f>
        <v/>
      </c>
      <c r="R117" s="13">
        <f>L117*O117</f>
        <v/>
      </c>
    </row>
    <row r="118">
      <c r="A118" s="12" t="n">
        <v>46182</v>
      </c>
      <c r="B118" s="12" t="n">
        <v>46182</v>
      </c>
      <c r="C118" s="10" t="inlineStr">
        <is>
          <t>RDO332</t>
        </is>
      </c>
      <c r="D118" s="10" t="inlineStr">
        <is>
          <t>ENGECOM PARA</t>
        </is>
      </c>
      <c r="E118" s="10" t="inlineStr">
        <is>
          <t>Parauapebas</t>
        </is>
      </c>
      <c r="F118" s="10" t="inlineStr">
        <is>
          <t>Preventiva PARAUAPEBAS</t>
        </is>
      </c>
      <c r="G118" s="10" t="inlineStr">
        <is>
          <t>Leandro Soares Dias</t>
        </is>
      </c>
      <c r="H118" s="10" t="inlineStr">
        <is>
          <t>2.2.1</t>
        </is>
      </c>
      <c r="I118" s="10" t="inlineStr">
        <is>
          <t>Roçada</t>
        </is>
      </c>
      <c r="J118" s="10" t="inlineStr">
        <is>
          <t>M2</t>
        </is>
      </c>
      <c r="K118" s="13" t="n">
        <v>3000</v>
      </c>
      <c r="L118" s="10" t="n">
        <v>11</v>
      </c>
      <c r="M118" s="13" t="n">
        <v>50</v>
      </c>
      <c r="N118" s="13" t="n">
        <v>77.9220779220779</v>
      </c>
      <c r="O118" s="13">
        <f>IF(N118=0,0,K118/(L118*N118))</f>
        <v/>
      </c>
      <c r="P118" s="13">
        <f>IF(O118=0,0,K118/(L118*O118))</f>
        <v/>
      </c>
      <c r="Q118" s="14">
        <f>IF(M118=0,0,P118/M118)</f>
        <v/>
      </c>
      <c r="R118" s="13">
        <f>L118*O118</f>
        <v/>
      </c>
    </row>
    <row r="119">
      <c r="A119" s="12" t="n">
        <v>46183</v>
      </c>
      <c r="B119" s="12" t="n">
        <v>46183</v>
      </c>
      <c r="C119" s="10" t="inlineStr">
        <is>
          <t>RDO333</t>
        </is>
      </c>
      <c r="D119" s="10" t="inlineStr">
        <is>
          <t>ENGECOM PARA</t>
        </is>
      </c>
      <c r="E119" s="10" t="inlineStr">
        <is>
          <t>Marabá</t>
        </is>
      </c>
      <c r="F119" s="10" t="inlineStr">
        <is>
          <t>Preventiva MARABA</t>
        </is>
      </c>
      <c r="G119" s="10" t="inlineStr">
        <is>
          <t>Jose Domingos Lopes</t>
        </is>
      </c>
      <c r="H119" s="10" t="inlineStr">
        <is>
          <t>2.2.1</t>
        </is>
      </c>
      <c r="I119" s="10" t="inlineStr">
        <is>
          <t>Roçada</t>
        </is>
      </c>
      <c r="J119" s="10" t="inlineStr">
        <is>
          <t>M2</t>
        </is>
      </c>
      <c r="K119" s="13" t="n">
        <v>1662</v>
      </c>
      <c r="L119" s="10" t="n">
        <v>7</v>
      </c>
      <c r="M119" s="13" t="n">
        <v>50</v>
      </c>
      <c r="N119" s="13" t="n">
        <v>63.3142857142857</v>
      </c>
      <c r="O119" s="13">
        <f>IF(N119=0,0,K119/(L119*N119))</f>
        <v/>
      </c>
      <c r="P119" s="13">
        <f>IF(O119=0,0,K119/(L119*O119))</f>
        <v/>
      </c>
      <c r="Q119" s="14">
        <f>IF(M119=0,0,P119/M119)</f>
        <v/>
      </c>
      <c r="R119" s="13">
        <f>L119*O119</f>
        <v/>
      </c>
    </row>
    <row r="120">
      <c r="A120" s="12" t="n">
        <v>46183</v>
      </c>
      <c r="B120" s="12" t="n">
        <v>46183</v>
      </c>
      <c r="C120" s="10" t="inlineStr">
        <is>
          <t>RDO333</t>
        </is>
      </c>
      <c r="D120" s="10" t="inlineStr">
        <is>
          <t>ENGECOM PARA</t>
        </is>
      </c>
      <c r="E120" s="10" t="inlineStr">
        <is>
          <t>Marabá</t>
        </is>
      </c>
      <c r="F120" s="10" t="inlineStr">
        <is>
          <t>Preventiva MARABA</t>
        </is>
      </c>
      <c r="G120" s="10" t="inlineStr">
        <is>
          <t>Jose Domingos Lopes</t>
        </is>
      </c>
      <c r="H120" s="10" t="inlineStr">
        <is>
          <t>2.1.5</t>
        </is>
      </c>
      <c r="I120" s="10" t="inlineStr">
        <is>
          <t>Limpeza De Valeta, Sarjetas E Meio Fio</t>
        </is>
      </c>
      <c r="J120" s="10" t="inlineStr">
        <is>
          <t>M</t>
        </is>
      </c>
      <c r="K120" s="13" t="n">
        <v>328.4</v>
      </c>
      <c r="L120" s="10" t="n">
        <v>4</v>
      </c>
      <c r="M120" s="13" t="n">
        <v>9</v>
      </c>
      <c r="N120" s="13" t="n">
        <v>41.05</v>
      </c>
      <c r="O120" s="13">
        <f>IF(N120=0,0,K120/(L120*N120))</f>
        <v/>
      </c>
      <c r="P120" s="13">
        <f>IF(O120=0,0,K120/(L120*O120))</f>
        <v/>
      </c>
      <c r="Q120" s="14">
        <f>IF(M120=0,0,P120/M120)</f>
        <v/>
      </c>
      <c r="R120" s="13">
        <f>L120*O120</f>
        <v/>
      </c>
    </row>
    <row r="121">
      <c r="A121" s="12" t="n">
        <v>46183</v>
      </c>
      <c r="B121" s="12" t="n">
        <v>46183</v>
      </c>
      <c r="C121" s="10" t="inlineStr">
        <is>
          <t>RDO333</t>
        </is>
      </c>
      <c r="D121" s="10" t="inlineStr">
        <is>
          <t>ENGECOM PARA</t>
        </is>
      </c>
      <c r="E121" s="10" t="inlineStr">
        <is>
          <t>Marabá</t>
        </is>
      </c>
      <c r="F121" s="10" t="inlineStr">
        <is>
          <t>Preventiva MARABA</t>
        </is>
      </c>
      <c r="G121" s="10" t="inlineStr">
        <is>
          <t>Jose Domingos Lopes</t>
        </is>
      </c>
      <c r="H121" s="10" t="inlineStr">
        <is>
          <t>2.1.8</t>
        </is>
      </c>
      <c r="I121" s="10" t="inlineStr">
        <is>
          <t>Recuperação De Drenagem Tipop Sarjeta/Meio-Fio Em Plataforma, Limitando-Se A 100M De Extensão</t>
        </is>
      </c>
      <c r="J121" s="10" t="inlineStr">
        <is>
          <t>M</t>
        </is>
      </c>
      <c r="K121" s="13" t="n">
        <v>50</v>
      </c>
      <c r="L121" s="10" t="n">
        <v>5</v>
      </c>
      <c r="M121" s="13" t="n">
        <v>1</v>
      </c>
      <c r="N121" s="13" t="n">
        <v>2.66666666666667</v>
      </c>
      <c r="O121" s="13">
        <f>IF(N121=0,0,K121/(L121*N121))</f>
        <v/>
      </c>
      <c r="P121" s="13">
        <f>IF(O121=0,0,K121/(L121*O121))</f>
        <v/>
      </c>
      <c r="Q121" s="14">
        <f>IF(M121=0,0,P121/M121)</f>
        <v/>
      </c>
      <c r="R121" s="13">
        <f>L121*O121</f>
        <v/>
      </c>
    </row>
    <row r="122">
      <c r="A122" s="12" t="n">
        <v>46183</v>
      </c>
      <c r="B122" s="12" t="n">
        <v>46183</v>
      </c>
      <c r="C122" s="10" t="inlineStr">
        <is>
          <t>RDO338</t>
        </is>
      </c>
      <c r="D122" s="10" t="inlineStr">
        <is>
          <t>ENGECOM PARA</t>
        </is>
      </c>
      <c r="E122" s="10" t="inlineStr">
        <is>
          <t>Parauapebas</t>
        </is>
      </c>
      <c r="F122" s="10" t="inlineStr">
        <is>
          <t>Preventiva PARAUAPEBAS</t>
        </is>
      </c>
      <c r="G122" s="10" t="inlineStr">
        <is>
          <t>Leandro Soares Dias</t>
        </is>
      </c>
      <c r="H122" s="10" t="inlineStr">
        <is>
          <t>2.2.1</t>
        </is>
      </c>
      <c r="I122" s="10" t="inlineStr">
        <is>
          <t>Roçada</t>
        </is>
      </c>
      <c r="J122" s="10" t="inlineStr">
        <is>
          <t>M2</t>
        </is>
      </c>
      <c r="K122" s="13" t="n">
        <v>620.4400000000001</v>
      </c>
      <c r="L122" s="10" t="n">
        <v>11</v>
      </c>
      <c r="M122" s="13" t="n">
        <v>50</v>
      </c>
      <c r="N122" s="13" t="n">
        <v>22.5614545454545</v>
      </c>
      <c r="O122" s="13">
        <f>IF(N122=0,0,K122/(L122*N122))</f>
        <v/>
      </c>
      <c r="P122" s="13">
        <f>IF(O122=0,0,K122/(L122*O122))</f>
        <v/>
      </c>
      <c r="Q122" s="14">
        <f>IF(M122=0,0,P122/M122)</f>
        <v/>
      </c>
      <c r="R122" s="13">
        <f>L122*O122</f>
        <v/>
      </c>
    </row>
    <row r="123">
      <c r="A123" s="12" t="n">
        <v>46183</v>
      </c>
      <c r="B123" s="12" t="n">
        <v>46183</v>
      </c>
      <c r="C123" s="10" t="inlineStr">
        <is>
          <t>RDO338</t>
        </is>
      </c>
      <c r="D123" s="10" t="inlineStr">
        <is>
          <t>ENGECOM PARA</t>
        </is>
      </c>
      <c r="E123" s="10" t="inlineStr">
        <is>
          <t>Parauapebas</t>
        </is>
      </c>
      <c r="F123" s="10" t="inlineStr">
        <is>
          <t>Preventiva PARAUAPEBAS</t>
        </is>
      </c>
      <c r="G123" s="10" t="inlineStr">
        <is>
          <t>Leandro Soares Dias</t>
        </is>
      </c>
      <c r="H123" s="10" t="inlineStr">
        <is>
          <t>2.2.1</t>
        </is>
      </c>
      <c r="I123" s="10" t="inlineStr">
        <is>
          <t>Roçada</t>
        </is>
      </c>
      <c r="J123" s="10" t="inlineStr">
        <is>
          <t>M2</t>
        </is>
      </c>
      <c r="K123" s="13" t="n">
        <v>368.16</v>
      </c>
      <c r="L123" s="10" t="n">
        <v>11</v>
      </c>
      <c r="M123" s="13" t="n">
        <v>50</v>
      </c>
      <c r="N123" s="13" t="n">
        <v>22.3127272727273</v>
      </c>
      <c r="O123" s="13">
        <f>IF(N123=0,0,K123/(L123*N123))</f>
        <v/>
      </c>
      <c r="P123" s="13">
        <f>IF(O123=0,0,K123/(L123*O123))</f>
        <v/>
      </c>
      <c r="Q123" s="14">
        <f>IF(M123=0,0,P123/M123)</f>
        <v/>
      </c>
      <c r="R123" s="13">
        <f>L123*O123</f>
        <v/>
      </c>
    </row>
    <row r="124">
      <c r="A124" s="12" t="n">
        <v>46183</v>
      </c>
      <c r="B124" s="12" t="n">
        <v>46183</v>
      </c>
      <c r="C124" s="10" t="inlineStr">
        <is>
          <t>RDO338</t>
        </is>
      </c>
      <c r="D124" s="10" t="inlineStr">
        <is>
          <t>ENGECOM PARA</t>
        </is>
      </c>
      <c r="E124" s="10" t="inlineStr">
        <is>
          <t>Parauapebas</t>
        </is>
      </c>
      <c r="F124" s="10" t="inlineStr">
        <is>
          <t>Preventiva PARAUAPEBAS</t>
        </is>
      </c>
      <c r="G124" s="10" t="inlineStr">
        <is>
          <t>Leandro Soares Dias</t>
        </is>
      </c>
      <c r="H124" s="10" t="inlineStr">
        <is>
          <t>2.1.5</t>
        </is>
      </c>
      <c r="I124" s="10" t="inlineStr">
        <is>
          <t>Limpeza De Valeta, Sarjetas E Meio Fio</t>
        </is>
      </c>
      <c r="J124" s="10" t="inlineStr">
        <is>
          <t>M</t>
        </is>
      </c>
      <c r="K124" s="13" t="n">
        <v>125.5</v>
      </c>
      <c r="L124" s="10" t="n">
        <v>11</v>
      </c>
      <c r="M124" s="13" t="n">
        <v>9</v>
      </c>
      <c r="N124" s="13" t="n">
        <v>3.25974025974026</v>
      </c>
      <c r="O124" s="13">
        <f>IF(N124=0,0,K124/(L124*N124))</f>
        <v/>
      </c>
      <c r="P124" s="13">
        <f>IF(O124=0,0,K124/(L124*O124))</f>
        <v/>
      </c>
      <c r="Q124" s="14">
        <f>IF(M124=0,0,P124/M124)</f>
        <v/>
      </c>
      <c r="R124" s="13">
        <f>L124*O124</f>
        <v/>
      </c>
    </row>
    <row r="125">
      <c r="A125" s="12" t="n">
        <v>46184</v>
      </c>
      <c r="B125" s="12" t="n">
        <v>46184</v>
      </c>
      <c r="C125" s="10" t="inlineStr">
        <is>
          <t>RDO342</t>
        </is>
      </c>
      <c r="D125" s="10" t="inlineStr">
        <is>
          <t>ENGECOM PARA</t>
        </is>
      </c>
      <c r="E125" s="10" t="inlineStr">
        <is>
          <t>Marabá</t>
        </is>
      </c>
      <c r="F125" s="10" t="inlineStr">
        <is>
          <t>Preventiva MARABA</t>
        </is>
      </c>
      <c r="G125" s="10" t="inlineStr">
        <is>
          <t>Jose Domingos Lopes</t>
        </is>
      </c>
      <c r="H125" s="10" t="inlineStr">
        <is>
          <t>2.1.5</t>
        </is>
      </c>
      <c r="I125" s="10" t="inlineStr">
        <is>
          <t>Limpeza De Valeta, Sarjetas E Meio Fio</t>
        </is>
      </c>
      <c r="J125" s="10" t="inlineStr">
        <is>
          <t>M</t>
        </is>
      </c>
      <c r="K125" s="13" t="n">
        <v>95.5</v>
      </c>
      <c r="L125" s="10" t="n">
        <v>9</v>
      </c>
      <c r="M125" s="13" t="n">
        <v>9</v>
      </c>
      <c r="N125" s="13" t="n">
        <v>2.82962962962963</v>
      </c>
      <c r="O125" s="13">
        <f>IF(N125=0,0,K125/(L125*N125))</f>
        <v/>
      </c>
      <c r="P125" s="13">
        <f>IF(O125=0,0,K125/(L125*O125))</f>
        <v/>
      </c>
      <c r="Q125" s="14">
        <f>IF(M125=0,0,P125/M125)</f>
        <v/>
      </c>
      <c r="R125" s="13">
        <f>L125*O125</f>
        <v/>
      </c>
    </row>
    <row r="126">
      <c r="A126" s="12" t="n">
        <v>46184</v>
      </c>
      <c r="B126" s="12" t="n">
        <v>46184</v>
      </c>
      <c r="C126" s="10" t="inlineStr">
        <is>
          <t>RDO342</t>
        </is>
      </c>
      <c r="D126" s="10" t="inlineStr">
        <is>
          <t>ENGECOM PARA</t>
        </is>
      </c>
      <c r="E126" s="10" t="inlineStr">
        <is>
          <t>Marabá</t>
        </is>
      </c>
      <c r="F126" s="10" t="inlineStr">
        <is>
          <t>Preventiva MARABA</t>
        </is>
      </c>
      <c r="G126" s="10" t="inlineStr">
        <is>
          <t>Jose Domingos Lopes</t>
        </is>
      </c>
      <c r="H126" s="10" t="inlineStr">
        <is>
          <t>2.1.8</t>
        </is>
      </c>
      <c r="I126" s="10" t="inlineStr">
        <is>
          <t>Recuperação De Drenagem Tipop Sarjeta/Meio-Fio Em Plataforma, Limitando-Se A 100M De Extensão</t>
        </is>
      </c>
      <c r="J126" s="10" t="inlineStr">
        <is>
          <t>M</t>
        </is>
      </c>
      <c r="K126" s="13" t="n">
        <v>80.8</v>
      </c>
      <c r="L126" s="10" t="n">
        <v>4</v>
      </c>
      <c r="M126" s="13" t="n">
        <v>1</v>
      </c>
      <c r="N126" s="13" t="n">
        <v>5.77142857142857</v>
      </c>
      <c r="O126" s="13">
        <f>IF(N126=0,0,K126/(L126*N126))</f>
        <v/>
      </c>
      <c r="P126" s="13">
        <f>IF(O126=0,0,K126/(L126*O126))</f>
        <v/>
      </c>
      <c r="Q126" s="14">
        <f>IF(M126=0,0,P126/M126)</f>
        <v/>
      </c>
      <c r="R126" s="13">
        <f>L126*O126</f>
        <v/>
      </c>
    </row>
    <row r="127">
      <c r="A127" s="12" t="n">
        <v>46184</v>
      </c>
      <c r="B127" s="12" t="n">
        <v>46184</v>
      </c>
      <c r="C127" s="10" t="inlineStr">
        <is>
          <t>RDO342</t>
        </is>
      </c>
      <c r="D127" s="10" t="inlineStr">
        <is>
          <t>ENGECOM PARA</t>
        </is>
      </c>
      <c r="E127" s="10" t="inlineStr">
        <is>
          <t>Marabá</t>
        </is>
      </c>
      <c r="F127" s="10" t="inlineStr">
        <is>
          <t>Preventiva MARABA</t>
        </is>
      </c>
      <c r="G127" s="10" t="inlineStr">
        <is>
          <t>Jose Domingos Lopes</t>
        </is>
      </c>
      <c r="H127" s="10" t="inlineStr">
        <is>
          <t>2.1.8</t>
        </is>
      </c>
      <c r="I127" s="10" t="inlineStr">
        <is>
          <t>Recuperação De Drenagem Tipop Sarjeta/Meio-Fio Em Plataforma, Limitando-Se A 100M De Extensão</t>
        </is>
      </c>
      <c r="J127" s="10" t="inlineStr">
        <is>
          <t>M</t>
        </is>
      </c>
      <c r="K127" s="13" t="n">
        <v>50</v>
      </c>
      <c r="L127" s="10" t="n">
        <v>5</v>
      </c>
      <c r="M127" s="13" t="n">
        <v>1</v>
      </c>
      <c r="N127" s="13" t="n">
        <v>3.33333333333333</v>
      </c>
      <c r="O127" s="13">
        <f>IF(N127=0,0,K127/(L127*N127))</f>
        <v/>
      </c>
      <c r="P127" s="13">
        <f>IF(O127=0,0,K127/(L127*O127))</f>
        <v/>
      </c>
      <c r="Q127" s="14">
        <f>IF(M127=0,0,P127/M127)</f>
        <v/>
      </c>
      <c r="R127" s="13">
        <f>L127*O127</f>
        <v/>
      </c>
    </row>
    <row r="128">
      <c r="A128" s="12" t="n">
        <v>46185</v>
      </c>
      <c r="B128" s="12" t="n">
        <v>46185</v>
      </c>
      <c r="C128" s="10" t="inlineStr">
        <is>
          <t>RDO340</t>
        </is>
      </c>
      <c r="D128" s="10" t="inlineStr">
        <is>
          <t>ENGECOM PARA</t>
        </is>
      </c>
      <c r="E128" s="10" t="inlineStr">
        <is>
          <t>Marabá</t>
        </is>
      </c>
      <c r="F128" s="10" t="inlineStr">
        <is>
          <t>Preventiva MARABA</t>
        </is>
      </c>
      <c r="G128" s="10" t="inlineStr">
        <is>
          <t>Jose Domingos Lopes</t>
        </is>
      </c>
      <c r="H128" s="10" t="inlineStr">
        <is>
          <t>2.1.5</t>
        </is>
      </c>
      <c r="I128" s="10" t="inlineStr">
        <is>
          <t>Limpeza De Valeta, Sarjetas E Meio Fio</t>
        </is>
      </c>
      <c r="J128" s="10" t="inlineStr">
        <is>
          <t>M</t>
        </is>
      </c>
      <c r="K128" s="13" t="n">
        <v>36</v>
      </c>
      <c r="L128" s="10" t="n">
        <v>9</v>
      </c>
      <c r="M128" s="13" t="n">
        <v>9</v>
      </c>
      <c r="N128" s="13" t="n">
        <v>1.06666666666667</v>
      </c>
      <c r="O128" s="13">
        <f>IF(N128=0,0,K128/(L128*N128))</f>
        <v/>
      </c>
      <c r="P128" s="13">
        <f>IF(O128=0,0,K128/(L128*O128))</f>
        <v/>
      </c>
      <c r="Q128" s="14">
        <f>IF(M128=0,0,P128/M128)</f>
        <v/>
      </c>
      <c r="R128" s="13">
        <f>L128*O128</f>
        <v/>
      </c>
    </row>
    <row r="129">
      <c r="A129" s="12" t="n">
        <v>46185</v>
      </c>
      <c r="B129" s="12" t="n">
        <v>46185</v>
      </c>
      <c r="C129" s="10" t="inlineStr">
        <is>
          <t>RDO340</t>
        </is>
      </c>
      <c r="D129" s="10" t="inlineStr">
        <is>
          <t>ENGECOM PARA</t>
        </is>
      </c>
      <c r="E129" s="10" t="inlineStr">
        <is>
          <t>Marabá</t>
        </is>
      </c>
      <c r="F129" s="10" t="inlineStr">
        <is>
          <t>Preventiva MARABA</t>
        </is>
      </c>
      <c r="G129" s="10" t="inlineStr">
        <is>
          <t>Jose Domingos Lopes</t>
        </is>
      </c>
      <c r="H129" s="10" t="inlineStr">
        <is>
          <t>2.1.8</t>
        </is>
      </c>
      <c r="I129" s="10" t="inlineStr">
        <is>
          <t>Recuperação De Drenagem Tipop Sarjeta/Meio-Fio Em Plataforma, Limitando-Se A 100M De Extensão</t>
        </is>
      </c>
      <c r="J129" s="10" t="inlineStr">
        <is>
          <t>M</t>
        </is>
      </c>
      <c r="K129" s="13" t="n">
        <v>19.2</v>
      </c>
      <c r="L129" s="10" t="n">
        <v>9</v>
      </c>
      <c r="M129" s="13" t="n">
        <v>1</v>
      </c>
      <c r="N129" s="13" t="n">
        <v>0.8533333333333331</v>
      </c>
      <c r="O129" s="13">
        <f>IF(N129=0,0,K129/(L129*N129))</f>
        <v/>
      </c>
      <c r="P129" s="13">
        <f>IF(O129=0,0,K129/(L129*O129))</f>
        <v/>
      </c>
      <c r="Q129" s="14">
        <f>IF(M129=0,0,P129/M129)</f>
        <v/>
      </c>
      <c r="R129" s="13">
        <f>L129*O129</f>
        <v/>
      </c>
    </row>
    <row r="130">
      <c r="A130" s="12" t="n">
        <v>46185</v>
      </c>
      <c r="B130" s="12" t="n">
        <v>46185</v>
      </c>
      <c r="C130" s="10" t="inlineStr">
        <is>
          <t>RDO339</t>
        </is>
      </c>
      <c r="D130" s="10" t="inlineStr">
        <is>
          <t>ENGECOM PARA</t>
        </is>
      </c>
      <c r="E130" s="10" t="inlineStr">
        <is>
          <t>Parauapebas</t>
        </is>
      </c>
      <c r="F130" s="10" t="inlineStr">
        <is>
          <t>Preventiva PARAUAPEBAS</t>
        </is>
      </c>
      <c r="G130" s="10" t="inlineStr">
        <is>
          <t>Leandro Soares Dias</t>
        </is>
      </c>
      <c r="H130" s="10" t="inlineStr">
        <is>
          <t>2.2.1</t>
        </is>
      </c>
      <c r="I130" s="10" t="inlineStr">
        <is>
          <t>Roçada</t>
        </is>
      </c>
      <c r="J130" s="10" t="inlineStr">
        <is>
          <t>M2</t>
        </is>
      </c>
      <c r="K130" s="13" t="n">
        <v>44.4</v>
      </c>
      <c r="L130" s="10" t="n">
        <v>11</v>
      </c>
      <c r="M130" s="13" t="n">
        <v>50</v>
      </c>
      <c r="N130" s="13" t="n">
        <v>4.03636363636364</v>
      </c>
      <c r="O130" s="13">
        <f>IF(N130=0,0,K130/(L130*N130))</f>
        <v/>
      </c>
      <c r="P130" s="13">
        <f>IF(O130=0,0,K130/(L130*O130))</f>
        <v/>
      </c>
      <c r="Q130" s="14">
        <f>IF(M130=0,0,P130/M130)</f>
        <v/>
      </c>
      <c r="R130" s="13">
        <f>L130*O130</f>
        <v/>
      </c>
    </row>
    <row r="131">
      <c r="A131" s="12" t="n">
        <v>46185</v>
      </c>
      <c r="B131" s="12" t="n">
        <v>46185</v>
      </c>
      <c r="C131" s="10" t="inlineStr">
        <is>
          <t>RDO339</t>
        </is>
      </c>
      <c r="D131" s="10" t="inlineStr">
        <is>
          <t>ENGECOM PARA</t>
        </is>
      </c>
      <c r="E131" s="10" t="inlineStr">
        <is>
          <t>Parauapebas</t>
        </is>
      </c>
      <c r="F131" s="10" t="inlineStr">
        <is>
          <t>Preventiva PARAUAPEBAS</t>
        </is>
      </c>
      <c r="G131" s="10" t="inlineStr">
        <is>
          <t>Leandro Soares Dias</t>
        </is>
      </c>
      <c r="H131" s="10" t="inlineStr">
        <is>
          <t>2.1.2</t>
        </is>
      </c>
      <c r="I131" s="10" t="inlineStr">
        <is>
          <t>Limpeza De Bueiros</t>
        </is>
      </c>
      <c r="J131" s="10" t="inlineStr">
        <is>
          <t>M3</t>
        </is>
      </c>
      <c r="K131" s="13" t="n">
        <v>4.16</v>
      </c>
      <c r="L131" s="10" t="n">
        <v>11</v>
      </c>
      <c r="M131" s="13" t="n">
        <v>1</v>
      </c>
      <c r="N131" s="13" t="n">
        <v>0.378181818181818</v>
      </c>
      <c r="O131" s="13">
        <f>IF(N131=0,0,K131/(L131*N131))</f>
        <v/>
      </c>
      <c r="P131" s="13">
        <f>IF(O131=0,0,K131/(L131*O131))</f>
        <v/>
      </c>
      <c r="Q131" s="14">
        <f>IF(M131=0,0,P131/M131)</f>
        <v/>
      </c>
      <c r="R131" s="13">
        <f>L131*O131</f>
        <v/>
      </c>
    </row>
    <row r="132">
      <c r="A132" s="12" t="n">
        <v>46185</v>
      </c>
      <c r="B132" s="12" t="n">
        <v>46185</v>
      </c>
      <c r="C132" s="10" t="inlineStr">
        <is>
          <t>RDO339</t>
        </is>
      </c>
      <c r="D132" s="10" t="inlineStr">
        <is>
          <t>ENGECOM PARA</t>
        </is>
      </c>
      <c r="E132" s="10" t="inlineStr">
        <is>
          <t>Parauapebas</t>
        </is>
      </c>
      <c r="F132" s="10" t="inlineStr">
        <is>
          <t>Preventiva PARAUAPEBAS</t>
        </is>
      </c>
      <c r="G132" s="10" t="inlineStr">
        <is>
          <t>Leandro Soares Dias</t>
        </is>
      </c>
      <c r="H132" s="10" t="inlineStr">
        <is>
          <t>2.2.1</t>
        </is>
      </c>
      <c r="I132" s="10" t="inlineStr">
        <is>
          <t>Roçada</t>
        </is>
      </c>
      <c r="J132" s="10" t="inlineStr">
        <is>
          <t>M2</t>
        </is>
      </c>
      <c r="K132" s="13" t="n">
        <v>91.73999999999999</v>
      </c>
      <c r="L132" s="10" t="n">
        <v>11</v>
      </c>
      <c r="M132" s="13" t="n">
        <v>50</v>
      </c>
      <c r="N132" s="13" t="n">
        <v>5.56</v>
      </c>
      <c r="O132" s="13">
        <f>IF(N132=0,0,K132/(L132*N132))</f>
        <v/>
      </c>
      <c r="P132" s="13">
        <f>IF(O132=0,0,K132/(L132*O132))</f>
        <v/>
      </c>
      <c r="Q132" s="14">
        <f>IF(M132=0,0,P132/M132)</f>
        <v/>
      </c>
      <c r="R132" s="13">
        <f>L132*O132</f>
        <v/>
      </c>
    </row>
    <row r="133">
      <c r="A133" s="12" t="n">
        <v>46185</v>
      </c>
      <c r="B133" s="12" t="n">
        <v>46185</v>
      </c>
      <c r="C133" s="10" t="inlineStr">
        <is>
          <t>RDO339</t>
        </is>
      </c>
      <c r="D133" s="10" t="inlineStr">
        <is>
          <t>ENGECOM PARA</t>
        </is>
      </c>
      <c r="E133" s="10" t="inlineStr">
        <is>
          <t>Parauapebas</t>
        </is>
      </c>
      <c r="F133" s="10" t="inlineStr">
        <is>
          <t>Preventiva PARAUAPEBAS</t>
        </is>
      </c>
      <c r="G133" s="10" t="inlineStr">
        <is>
          <t>Leandro Soares Dias</t>
        </is>
      </c>
      <c r="H133" s="10" t="inlineStr">
        <is>
          <t>2.1.2</t>
        </is>
      </c>
      <c r="I133" s="10" t="inlineStr">
        <is>
          <t>Limpeza De Bueiros</t>
        </is>
      </c>
      <c r="J133" s="10" t="inlineStr">
        <is>
          <t>M3</t>
        </is>
      </c>
      <c r="K133" s="13" t="n">
        <v>12.6</v>
      </c>
      <c r="L133" s="10" t="n">
        <v>11</v>
      </c>
      <c r="M133" s="13" t="n">
        <v>1</v>
      </c>
      <c r="N133" s="13" t="n">
        <v>1.14545454545455</v>
      </c>
      <c r="O133" s="13">
        <f>IF(N133=0,0,K133/(L133*N133))</f>
        <v/>
      </c>
      <c r="P133" s="13">
        <f>IF(O133=0,0,K133/(L133*O133))</f>
        <v/>
      </c>
      <c r="Q133" s="14">
        <f>IF(M133=0,0,P133/M133)</f>
        <v/>
      </c>
      <c r="R133" s="13">
        <f>L133*O133</f>
        <v/>
      </c>
    </row>
    <row r="134">
      <c r="A134" s="12" t="n">
        <v>46188</v>
      </c>
      <c r="B134" s="12" t="n">
        <v>46188</v>
      </c>
      <c r="C134" s="10" t="inlineStr">
        <is>
          <t>RDO341</t>
        </is>
      </c>
      <c r="D134" s="10" t="inlineStr">
        <is>
          <t>ENGECOM PARA</t>
        </is>
      </c>
      <c r="E134" s="10" t="inlineStr">
        <is>
          <t>Marabá</t>
        </is>
      </c>
      <c r="F134" s="10" t="inlineStr">
        <is>
          <t>Preventiva MARABA</t>
        </is>
      </c>
      <c r="G134" s="10" t="inlineStr">
        <is>
          <t>Jose Domingos Lopes</t>
        </is>
      </c>
      <c r="H134" s="10" t="inlineStr">
        <is>
          <t>2.2.1</t>
        </is>
      </c>
      <c r="I134" s="10" t="inlineStr">
        <is>
          <t>Roçada</t>
        </is>
      </c>
      <c r="J134" s="10" t="inlineStr">
        <is>
          <t>M2</t>
        </is>
      </c>
      <c r="K134" s="13" t="n">
        <v>1210.9</v>
      </c>
      <c r="L134" s="10" t="n">
        <v>9</v>
      </c>
      <c r="M134" s="13" t="n">
        <v>50</v>
      </c>
      <c r="N134" s="13" t="n">
        <v>31.048717948718</v>
      </c>
      <c r="O134" s="13">
        <f>IF(N134=0,0,K134/(L134*N134))</f>
        <v/>
      </c>
      <c r="P134" s="13">
        <f>IF(O134=0,0,K134/(L134*O134))</f>
        <v/>
      </c>
      <c r="Q134" s="14">
        <f>IF(M134=0,0,P134/M134)</f>
        <v/>
      </c>
      <c r="R134" s="13">
        <f>L134*O134</f>
        <v/>
      </c>
    </row>
    <row r="135">
      <c r="A135" s="12" t="n">
        <v>46188</v>
      </c>
      <c r="B135" s="12" t="n">
        <v>46188</v>
      </c>
      <c r="C135" s="10" t="inlineStr">
        <is>
          <t>RDO341</t>
        </is>
      </c>
      <c r="D135" s="10" t="inlineStr">
        <is>
          <t>ENGECOM PARA</t>
        </is>
      </c>
      <c r="E135" s="10" t="inlineStr">
        <is>
          <t>Marabá</t>
        </is>
      </c>
      <c r="F135" s="10" t="inlineStr">
        <is>
          <t>Preventiva MARABA</t>
        </is>
      </c>
      <c r="G135" s="10" t="inlineStr">
        <is>
          <t>Jose Domingos Lopes</t>
        </is>
      </c>
      <c r="H135" s="10" t="inlineStr">
        <is>
          <t>2.1.5</t>
        </is>
      </c>
      <c r="I135" s="10" t="inlineStr">
        <is>
          <t>Limpeza De Valeta, Sarjetas E Meio Fio</t>
        </is>
      </c>
      <c r="J135" s="10" t="inlineStr">
        <is>
          <t>M</t>
        </is>
      </c>
      <c r="K135" s="13" t="n">
        <v>245</v>
      </c>
      <c r="L135" s="10" t="n">
        <v>9</v>
      </c>
      <c r="M135" s="13" t="n">
        <v>9</v>
      </c>
      <c r="N135" s="13" t="n">
        <v>7.25925925925926</v>
      </c>
      <c r="O135" s="13">
        <f>IF(N135=0,0,K135/(L135*N135))</f>
        <v/>
      </c>
      <c r="P135" s="13">
        <f>IF(O135=0,0,K135/(L135*O135))</f>
        <v/>
      </c>
      <c r="Q135" s="14">
        <f>IF(M135=0,0,P135/M135)</f>
        <v/>
      </c>
      <c r="R135" s="13">
        <f>L135*O135</f>
        <v/>
      </c>
    </row>
    <row r="136">
      <c r="A136" s="12" t="n">
        <v>46188</v>
      </c>
      <c r="B136" s="12" t="n">
        <v>46188</v>
      </c>
      <c r="C136" s="10" t="inlineStr">
        <is>
          <t>RDO343</t>
        </is>
      </c>
      <c r="D136" s="10" t="inlineStr">
        <is>
          <t>ENGECOM PARA</t>
        </is>
      </c>
      <c r="E136" s="10" t="inlineStr">
        <is>
          <t>Parauapebas</t>
        </is>
      </c>
      <c r="F136" s="10" t="inlineStr">
        <is>
          <t>Preventiva PARAUAPEBAS</t>
        </is>
      </c>
      <c r="G136" s="10" t="inlineStr">
        <is>
          <t>Leandro Soares Dias</t>
        </is>
      </c>
      <c r="H136" s="10" t="inlineStr">
        <is>
          <t>2.2.1</t>
        </is>
      </c>
      <c r="I136" s="10" t="inlineStr">
        <is>
          <t>Roçada</t>
        </is>
      </c>
      <c r="J136" s="10" t="inlineStr">
        <is>
          <t>M2</t>
        </is>
      </c>
      <c r="K136" s="13" t="n">
        <v>2633.71</v>
      </c>
      <c r="L136" s="10" t="n">
        <v>10</v>
      </c>
      <c r="M136" s="13" t="n">
        <v>50</v>
      </c>
      <c r="N136" s="13" t="n">
        <v>105.3484</v>
      </c>
      <c r="O136" s="13">
        <f>IF(N136=0,0,K136/(L136*N136))</f>
        <v/>
      </c>
      <c r="P136" s="13">
        <f>IF(O136=0,0,K136/(L136*O136))</f>
        <v/>
      </c>
      <c r="Q136" s="14">
        <f>IF(M136=0,0,P136/M136)</f>
        <v/>
      </c>
      <c r="R136" s="13">
        <f>L136*O136</f>
        <v/>
      </c>
    </row>
    <row r="137">
      <c r="A137" s="12" t="n">
        <v>46188</v>
      </c>
      <c r="B137" s="12" t="n">
        <v>46188</v>
      </c>
      <c r="C137" s="10" t="inlineStr">
        <is>
          <t>RDO343</t>
        </is>
      </c>
      <c r="D137" s="10" t="inlineStr">
        <is>
          <t>ENGECOM PARA</t>
        </is>
      </c>
      <c r="E137" s="10" t="inlineStr">
        <is>
          <t>Parauapebas</t>
        </is>
      </c>
      <c r="F137" s="10" t="inlineStr">
        <is>
          <t>Preventiva PARAUAPEBAS</t>
        </is>
      </c>
      <c r="G137" s="10" t="inlineStr">
        <is>
          <t>Leandro Soares Dias</t>
        </is>
      </c>
      <c r="H137" s="10" t="inlineStr">
        <is>
          <t>2.1.3</t>
        </is>
      </c>
      <c r="I137" s="10" t="inlineStr">
        <is>
          <t>Limpeza De Canaleta Em Corte E Aterro Ate Meia Seção</t>
        </is>
      </c>
      <c r="J137" s="10" t="inlineStr">
        <is>
          <t>M</t>
        </is>
      </c>
      <c r="K137" s="13" t="n">
        <v>106.8</v>
      </c>
      <c r="L137" s="10" t="n">
        <v>10</v>
      </c>
      <c r="M137" s="13" t="n">
        <v>15</v>
      </c>
      <c r="N137" s="13" t="n">
        <v>10.68</v>
      </c>
      <c r="O137" s="13">
        <f>IF(N137=0,0,K137/(L137*N137))</f>
        <v/>
      </c>
      <c r="P137" s="13">
        <f>IF(O137=0,0,K137/(L137*O137))</f>
        <v/>
      </c>
      <c r="Q137" s="14">
        <f>IF(M137=0,0,P137/M137)</f>
        <v/>
      </c>
      <c r="R137" s="13">
        <f>L137*O137</f>
        <v/>
      </c>
    </row>
    <row r="138">
      <c r="A138" s="12" t="n">
        <v>46188</v>
      </c>
      <c r="B138" s="12" t="n">
        <v>46188</v>
      </c>
      <c r="C138" s="10" t="inlineStr">
        <is>
          <t>RDO343</t>
        </is>
      </c>
      <c r="D138" s="10" t="inlineStr">
        <is>
          <t>ENGECOM PARA</t>
        </is>
      </c>
      <c r="E138" s="10" t="inlineStr">
        <is>
          <t>Parauapebas</t>
        </is>
      </c>
      <c r="F138" s="10" t="inlineStr">
        <is>
          <t>Preventiva PARAUAPEBAS</t>
        </is>
      </c>
      <c r="G138" s="10" t="inlineStr">
        <is>
          <t>Leandro Soares Dias</t>
        </is>
      </c>
      <c r="H138" s="10" t="inlineStr">
        <is>
          <t>2.2.1</t>
        </is>
      </c>
      <c r="I138" s="10" t="inlineStr">
        <is>
          <t>Roçada</t>
        </is>
      </c>
      <c r="J138" s="10" t="inlineStr">
        <is>
          <t>M2</t>
        </is>
      </c>
      <c r="K138" s="13" t="n">
        <v>183.04</v>
      </c>
      <c r="L138" s="10" t="n">
        <v>10</v>
      </c>
      <c r="M138" s="13" t="n">
        <v>50</v>
      </c>
      <c r="N138" s="13" t="n">
        <v>12.2026666666667</v>
      </c>
      <c r="O138" s="13">
        <f>IF(N138=0,0,K138/(L138*N138))</f>
        <v/>
      </c>
      <c r="P138" s="13">
        <f>IF(O138=0,0,K138/(L138*O138))</f>
        <v/>
      </c>
      <c r="Q138" s="14">
        <f>IF(M138=0,0,P138/M138)</f>
        <v/>
      </c>
      <c r="R138" s="13">
        <f>L138*O138</f>
        <v/>
      </c>
    </row>
    <row r="139">
      <c r="A139" s="12" t="n">
        <v>46188</v>
      </c>
      <c r="B139" s="12" t="n">
        <v>46188</v>
      </c>
      <c r="C139" s="10" t="inlineStr">
        <is>
          <t>RDO343</t>
        </is>
      </c>
      <c r="D139" s="10" t="inlineStr">
        <is>
          <t>ENGECOM PARA</t>
        </is>
      </c>
      <c r="E139" s="10" t="inlineStr">
        <is>
          <t>Parauapebas</t>
        </is>
      </c>
      <c r="F139" s="10" t="inlineStr">
        <is>
          <t>Preventiva PARAUAPEBAS</t>
        </is>
      </c>
      <c r="G139" s="10" t="inlineStr">
        <is>
          <t>Leandro Soares Dias</t>
        </is>
      </c>
      <c r="H139" s="10" t="inlineStr">
        <is>
          <t>2.2.1</t>
        </is>
      </c>
      <c r="I139" s="10" t="inlineStr">
        <is>
          <t>Roçada</t>
        </is>
      </c>
      <c r="J139" s="10" t="inlineStr">
        <is>
          <t>M2</t>
        </is>
      </c>
      <c r="K139" s="13" t="n">
        <v>301.21</v>
      </c>
      <c r="L139" s="10" t="n">
        <v>10</v>
      </c>
      <c r="M139" s="13" t="n">
        <v>50</v>
      </c>
      <c r="N139" s="13" t="n">
        <v>15.0605</v>
      </c>
      <c r="O139" s="13">
        <f>IF(N139=0,0,K139/(L139*N139))</f>
        <v/>
      </c>
      <c r="P139" s="13">
        <f>IF(O139=0,0,K139/(L139*O139))</f>
        <v/>
      </c>
      <c r="Q139" s="14">
        <f>IF(M139=0,0,P139/M139)</f>
        <v/>
      </c>
      <c r="R139" s="13">
        <f>L139*O139</f>
        <v/>
      </c>
    </row>
    <row r="140">
      <c r="A140" s="12" t="n">
        <v>46189</v>
      </c>
      <c r="B140" s="12" t="n">
        <v>46189</v>
      </c>
      <c r="C140" s="10" t="inlineStr">
        <is>
          <t>RDO354</t>
        </is>
      </c>
      <c r="D140" s="10" t="inlineStr">
        <is>
          <t>ENGECOM PARA</t>
        </is>
      </c>
      <c r="E140" s="10" t="inlineStr">
        <is>
          <t>Marabá</t>
        </is>
      </c>
      <c r="F140" s="10" t="inlineStr">
        <is>
          <t>Preventiva MARABA</t>
        </is>
      </c>
      <c r="G140" s="10" t="inlineStr">
        <is>
          <t>Jose Domingos Lopes</t>
        </is>
      </c>
      <c r="H140" s="10" t="inlineStr">
        <is>
          <t>2.1.8</t>
        </is>
      </c>
      <c r="I140" s="10" t="inlineStr">
        <is>
          <t>Recuperação De Drenagem Tipop Sarjeta/Meio-Fio Em Plataforma, Limitando-Se A 100M De Extensão</t>
        </is>
      </c>
      <c r="J140" s="10" t="inlineStr">
        <is>
          <t>M</t>
        </is>
      </c>
      <c r="K140" s="13" t="n">
        <v>70</v>
      </c>
      <c r="L140" s="10" t="n">
        <v>10</v>
      </c>
      <c r="M140" s="13" t="n">
        <v>1</v>
      </c>
      <c r="N140" s="13" t="n">
        <v>0.777777777777778</v>
      </c>
      <c r="O140" s="13">
        <f>IF(N140=0,0,K140/(L140*N140))</f>
        <v/>
      </c>
      <c r="P140" s="13">
        <f>IF(O140=0,0,K140/(L140*O140))</f>
        <v/>
      </c>
      <c r="Q140" s="14">
        <f>IF(M140=0,0,P140/M140)</f>
        <v/>
      </c>
      <c r="R140" s="13">
        <f>L140*O140</f>
        <v/>
      </c>
    </row>
    <row r="141">
      <c r="A141" s="12" t="n">
        <v>46189</v>
      </c>
      <c r="B141" s="12" t="n">
        <v>46189</v>
      </c>
      <c r="C141" s="10" t="inlineStr">
        <is>
          <t>RDO354</t>
        </is>
      </c>
      <c r="D141" s="10" t="inlineStr">
        <is>
          <t>ENGECOM PARA</t>
        </is>
      </c>
      <c r="E141" s="10" t="inlineStr">
        <is>
          <t>Marabá</t>
        </is>
      </c>
      <c r="F141" s="10" t="inlineStr">
        <is>
          <t>Preventiva MARABA</t>
        </is>
      </c>
      <c r="G141" s="10" t="inlineStr">
        <is>
          <t>Jose Domingos Lopes</t>
        </is>
      </c>
      <c r="H141" s="10" t="inlineStr">
        <is>
          <t>2.2.1</t>
        </is>
      </c>
      <c r="I141" s="10" t="inlineStr">
        <is>
          <t>Roçada</t>
        </is>
      </c>
      <c r="J141" s="10" t="inlineStr">
        <is>
          <t>M2</t>
        </is>
      </c>
      <c r="K141" s="13" t="n">
        <v>380</v>
      </c>
      <c r="L141" s="10" t="n">
        <v>3</v>
      </c>
      <c r="M141" s="13" t="n">
        <v>50</v>
      </c>
      <c r="N141" s="13" t="n">
        <v>13.9449541284404</v>
      </c>
      <c r="O141" s="13">
        <f>IF(N141=0,0,K141/(L141*N141))</f>
        <v/>
      </c>
      <c r="P141" s="13">
        <f>IF(O141=0,0,K141/(L141*O141))</f>
        <v/>
      </c>
      <c r="Q141" s="14">
        <f>IF(M141=0,0,P141/M141)</f>
        <v/>
      </c>
      <c r="R141" s="13">
        <f>L141*O141</f>
        <v/>
      </c>
    </row>
    <row r="142">
      <c r="A142" s="12" t="n">
        <v>46189</v>
      </c>
      <c r="B142" s="12" t="n">
        <v>46189</v>
      </c>
      <c r="C142" s="10" t="inlineStr">
        <is>
          <t>RDO345</t>
        </is>
      </c>
      <c r="D142" s="10" t="inlineStr">
        <is>
          <t>ENGECOM PARA</t>
        </is>
      </c>
      <c r="E142" s="10" t="inlineStr">
        <is>
          <t>Parauapebas</t>
        </is>
      </c>
      <c r="F142" s="10" t="inlineStr">
        <is>
          <t>Preventiva PARAUAPEBAS</t>
        </is>
      </c>
      <c r="G142" s="10" t="inlineStr">
        <is>
          <t>Leandro Soares Dias</t>
        </is>
      </c>
      <c r="H142" s="10" t="inlineStr">
        <is>
          <t>2.2.1</t>
        </is>
      </c>
      <c r="I142" s="10" t="inlineStr">
        <is>
          <t>Roçada</t>
        </is>
      </c>
      <c r="J142" s="10" t="inlineStr">
        <is>
          <t>M2</t>
        </is>
      </c>
      <c r="K142" s="13" t="n">
        <v>87.56999999999999</v>
      </c>
      <c r="L142" s="10" t="n">
        <v>11</v>
      </c>
      <c r="M142" s="13" t="n">
        <v>50</v>
      </c>
      <c r="N142" s="13" t="n">
        <v>7.96090909090909</v>
      </c>
      <c r="O142" s="13">
        <f>IF(N142=0,0,K142/(L142*N142))</f>
        <v/>
      </c>
      <c r="P142" s="13">
        <f>IF(O142=0,0,K142/(L142*O142))</f>
        <v/>
      </c>
      <c r="Q142" s="14">
        <f>IF(M142=0,0,P142/M142)</f>
        <v/>
      </c>
      <c r="R142" s="13">
        <f>L142*O142</f>
        <v/>
      </c>
    </row>
    <row r="143">
      <c r="A143" s="12" t="n">
        <v>46189</v>
      </c>
      <c r="B143" s="12" t="n">
        <v>46189</v>
      </c>
      <c r="C143" s="10" t="inlineStr">
        <is>
          <t>RDO345</t>
        </is>
      </c>
      <c r="D143" s="10" t="inlineStr">
        <is>
          <t>ENGECOM PARA</t>
        </is>
      </c>
      <c r="E143" s="10" t="inlineStr">
        <is>
          <t>Parauapebas</t>
        </is>
      </c>
      <c r="F143" s="10" t="inlineStr">
        <is>
          <t>Preventiva PARAUAPEBAS</t>
        </is>
      </c>
      <c r="G143" s="10" t="inlineStr">
        <is>
          <t>Leandro Soares Dias</t>
        </is>
      </c>
      <c r="H143" s="10" t="inlineStr">
        <is>
          <t>2.1.2</t>
        </is>
      </c>
      <c r="I143" s="10" t="inlineStr">
        <is>
          <t>Limpeza De Bueiros</t>
        </is>
      </c>
      <c r="J143" s="10" t="inlineStr">
        <is>
          <t>M3</t>
        </is>
      </c>
      <c r="K143" s="13" t="n">
        <v>15.74</v>
      </c>
      <c r="L143" s="10" t="n">
        <v>11</v>
      </c>
      <c r="M143" s="13" t="n">
        <v>1</v>
      </c>
      <c r="N143" s="13" t="n">
        <v>1.43090909090909</v>
      </c>
      <c r="O143" s="13">
        <f>IF(N143=0,0,K143/(L143*N143))</f>
        <v/>
      </c>
      <c r="P143" s="13">
        <f>IF(O143=0,0,K143/(L143*O143))</f>
        <v/>
      </c>
      <c r="Q143" s="14">
        <f>IF(M143=0,0,P143/M143)</f>
        <v/>
      </c>
      <c r="R143" s="13">
        <f>L143*O143</f>
        <v/>
      </c>
    </row>
    <row r="144">
      <c r="A144" s="12" t="n">
        <v>46189</v>
      </c>
      <c r="B144" s="12" t="n">
        <v>46189</v>
      </c>
      <c r="C144" s="10" t="inlineStr">
        <is>
          <t>RDO345</t>
        </is>
      </c>
      <c r="D144" s="10" t="inlineStr">
        <is>
          <t>ENGECOM PARA</t>
        </is>
      </c>
      <c r="E144" s="10" t="inlineStr">
        <is>
          <t>Parauapebas</t>
        </is>
      </c>
      <c r="F144" s="10" t="inlineStr">
        <is>
          <t>Preventiva PARAUAPEBAS</t>
        </is>
      </c>
      <c r="G144" s="10" t="inlineStr">
        <is>
          <t>Leandro Soares Dias</t>
        </is>
      </c>
      <c r="H144" s="10" t="inlineStr">
        <is>
          <t>2.2.1</t>
        </is>
      </c>
      <c r="I144" s="10" t="inlineStr">
        <is>
          <t>Roçada</t>
        </is>
      </c>
      <c r="J144" s="10" t="inlineStr">
        <is>
          <t>M2</t>
        </is>
      </c>
      <c r="K144" s="13" t="n">
        <v>78.34</v>
      </c>
      <c r="L144" s="10" t="n">
        <v>11</v>
      </c>
      <c r="M144" s="13" t="n">
        <v>50</v>
      </c>
      <c r="N144" s="13" t="n">
        <v>3.56090909090909</v>
      </c>
      <c r="O144" s="13">
        <f>IF(N144=0,0,K144/(L144*N144))</f>
        <v/>
      </c>
      <c r="P144" s="13">
        <f>IF(O144=0,0,K144/(L144*O144))</f>
        <v/>
      </c>
      <c r="Q144" s="14">
        <f>IF(M144=0,0,P144/M144)</f>
        <v/>
      </c>
      <c r="R144" s="13">
        <f>L144*O144</f>
        <v/>
      </c>
    </row>
    <row r="145">
      <c r="A145" s="12" t="n">
        <v>46189</v>
      </c>
      <c r="B145" s="12" t="n">
        <v>46189</v>
      </c>
      <c r="C145" s="10" t="inlineStr">
        <is>
          <t>RDO345</t>
        </is>
      </c>
      <c r="D145" s="10" t="inlineStr">
        <is>
          <t>ENGECOM PARA</t>
        </is>
      </c>
      <c r="E145" s="10" t="inlineStr">
        <is>
          <t>Parauapebas</t>
        </is>
      </c>
      <c r="F145" s="10" t="inlineStr">
        <is>
          <t>Preventiva PARAUAPEBAS</t>
        </is>
      </c>
      <c r="G145" s="10" t="inlineStr">
        <is>
          <t>Leandro Soares Dias</t>
        </is>
      </c>
      <c r="H145" s="10" t="inlineStr">
        <is>
          <t>2.1.2</t>
        </is>
      </c>
      <c r="I145" s="10" t="inlineStr">
        <is>
          <t>Limpeza De Bueiros</t>
        </is>
      </c>
      <c r="J145" s="10" t="inlineStr">
        <is>
          <t>M3</t>
        </is>
      </c>
      <c r="K145" s="13" t="n">
        <v>12.6</v>
      </c>
      <c r="L145" s="10" t="n">
        <v>11</v>
      </c>
      <c r="M145" s="13" t="n">
        <v>1</v>
      </c>
      <c r="N145" s="13" t="n">
        <v>0.763636363636364</v>
      </c>
      <c r="O145" s="13">
        <f>IF(N145=0,0,K145/(L145*N145))</f>
        <v/>
      </c>
      <c r="P145" s="13">
        <f>IF(O145=0,0,K145/(L145*O145))</f>
        <v/>
      </c>
      <c r="Q145" s="14">
        <f>IF(M145=0,0,P145/M145)</f>
        <v/>
      </c>
      <c r="R145" s="13">
        <f>L145*O145</f>
        <v/>
      </c>
    </row>
    <row r="146">
      <c r="A146" s="12" t="n">
        <v>46190</v>
      </c>
      <c r="B146" s="12" t="n">
        <v>46190</v>
      </c>
      <c r="C146" s="10" t="inlineStr">
        <is>
          <t>RDO355</t>
        </is>
      </c>
      <c r="D146" s="10" t="inlineStr">
        <is>
          <t>ENGECOM PARA</t>
        </is>
      </c>
      <c r="E146" s="10" t="inlineStr">
        <is>
          <t>Marabá</t>
        </is>
      </c>
      <c r="F146" s="10" t="inlineStr">
        <is>
          <t>Preventiva MARABA</t>
        </is>
      </c>
      <c r="G146" s="10" t="inlineStr">
        <is>
          <t>Jose Domingos Lopes</t>
        </is>
      </c>
      <c r="H146" s="10" t="inlineStr">
        <is>
          <t>2.1.8</t>
        </is>
      </c>
      <c r="I146" s="10" t="inlineStr">
        <is>
          <t>Recuperação De Drenagem Tipop Sarjeta/Meio-Fio Em Plataforma, Limitando-Se A 100M De Extensão</t>
        </is>
      </c>
      <c r="J146" s="10" t="inlineStr">
        <is>
          <t>M</t>
        </is>
      </c>
      <c r="K146" s="13" t="n">
        <v>100</v>
      </c>
      <c r="L146" s="10" t="n">
        <v>11</v>
      </c>
      <c r="M146" s="13" t="n">
        <v>1</v>
      </c>
      <c r="N146" s="13" t="n">
        <v>1.00083402835696</v>
      </c>
      <c r="O146" s="13">
        <f>IF(N146=0,0,K146/(L146*N146))</f>
        <v/>
      </c>
      <c r="P146" s="13">
        <f>IF(O146=0,0,K146/(L146*O146))</f>
        <v/>
      </c>
      <c r="Q146" s="14">
        <f>IF(M146=0,0,P146/M146)</f>
        <v/>
      </c>
      <c r="R146" s="13">
        <f>L146*O146</f>
        <v/>
      </c>
    </row>
    <row r="147">
      <c r="A147" s="12" t="n">
        <v>46190</v>
      </c>
      <c r="B147" s="12" t="n">
        <v>46190</v>
      </c>
      <c r="C147" s="10" t="inlineStr">
        <is>
          <t>RDO344</t>
        </is>
      </c>
      <c r="D147" s="10" t="inlineStr">
        <is>
          <t>ENGECOM PARA</t>
        </is>
      </c>
      <c r="E147" s="10" t="inlineStr">
        <is>
          <t>Parauapebas</t>
        </is>
      </c>
      <c r="F147" s="10" t="inlineStr">
        <is>
          <t>Preventiva PARAUAPEBAS</t>
        </is>
      </c>
      <c r="G147" s="10" t="inlineStr">
        <is>
          <t>Leandro Soares Dias</t>
        </is>
      </c>
      <c r="H147" s="10" t="inlineStr">
        <is>
          <t>2.2.1</t>
        </is>
      </c>
      <c r="I147" s="10" t="inlineStr">
        <is>
          <t>Roçada</t>
        </is>
      </c>
      <c r="J147" s="10" t="inlineStr">
        <is>
          <t>M2</t>
        </is>
      </c>
      <c r="K147" s="13" t="n">
        <v>2889.48</v>
      </c>
      <c r="L147" s="10" t="n">
        <v>11</v>
      </c>
      <c r="M147" s="13" t="n">
        <v>50</v>
      </c>
      <c r="N147" s="13" t="n">
        <v>75.0514285714286</v>
      </c>
      <c r="O147" s="13">
        <f>IF(N147=0,0,K147/(L147*N147))</f>
        <v/>
      </c>
      <c r="P147" s="13">
        <f>IF(O147=0,0,K147/(L147*O147))</f>
        <v/>
      </c>
      <c r="Q147" s="14">
        <f>IF(M147=0,0,P147/M147)</f>
        <v/>
      </c>
      <c r="R147" s="13">
        <f>L147*O147</f>
        <v/>
      </c>
    </row>
    <row r="148">
      <c r="A148" s="12" t="n">
        <v>46190</v>
      </c>
      <c r="B148" s="12" t="n">
        <v>46190</v>
      </c>
      <c r="C148" s="10" t="inlineStr">
        <is>
          <t>RDO344</t>
        </is>
      </c>
      <c r="D148" s="10" t="inlineStr">
        <is>
          <t>ENGECOM PARA</t>
        </is>
      </c>
      <c r="E148" s="10" t="inlineStr">
        <is>
          <t>Parauapebas</t>
        </is>
      </c>
      <c r="F148" s="10" t="inlineStr">
        <is>
          <t>Preventiva PARAUAPEBAS</t>
        </is>
      </c>
      <c r="G148" s="10" t="inlineStr">
        <is>
          <t>Leandro Soares Dias</t>
        </is>
      </c>
      <c r="H148" s="10" t="inlineStr">
        <is>
          <t>2.1.5</t>
        </is>
      </c>
      <c r="I148" s="10" t="inlineStr">
        <is>
          <t>Limpeza De Valeta, Sarjetas E Meio Fio</t>
        </is>
      </c>
      <c r="J148" s="10" t="inlineStr">
        <is>
          <t>M</t>
        </is>
      </c>
      <c r="K148" s="13" t="n">
        <v>299.5</v>
      </c>
      <c r="L148" s="10" t="n">
        <v>11</v>
      </c>
      <c r="M148" s="13" t="n">
        <v>9</v>
      </c>
      <c r="N148" s="13" t="n">
        <v>6.80681818181818</v>
      </c>
      <c r="O148" s="13">
        <f>IF(N148=0,0,K148/(L148*N148))</f>
        <v/>
      </c>
      <c r="P148" s="13">
        <f>IF(O148=0,0,K148/(L148*O148))</f>
        <v/>
      </c>
      <c r="Q148" s="14">
        <f>IF(M148=0,0,P148/M148)</f>
        <v/>
      </c>
      <c r="R148" s="13">
        <f>L148*O148</f>
        <v/>
      </c>
    </row>
    <row r="149">
      <c r="A149" s="12" t="n">
        <v>46191</v>
      </c>
      <c r="B149" s="12" t="n">
        <v>46191</v>
      </c>
      <c r="C149" s="10" t="inlineStr">
        <is>
          <t>RDO356</t>
        </is>
      </c>
      <c r="D149" s="10" t="inlineStr">
        <is>
          <t>ENGECOM PARA</t>
        </is>
      </c>
      <c r="E149" s="10" t="inlineStr">
        <is>
          <t>Marabá</t>
        </is>
      </c>
      <c r="F149" s="10" t="inlineStr">
        <is>
          <t>Preventiva MARABA</t>
        </is>
      </c>
      <c r="G149" s="10" t="inlineStr">
        <is>
          <t>Jose Domingos Lopes</t>
        </is>
      </c>
      <c r="H149" s="10" t="inlineStr">
        <is>
          <t>2.2.1</t>
        </is>
      </c>
      <c r="I149" s="10" t="inlineStr">
        <is>
          <t>Roçada</t>
        </is>
      </c>
      <c r="J149" s="10" t="inlineStr">
        <is>
          <t>M2</t>
        </is>
      </c>
      <c r="K149" s="13" t="n">
        <v>2262.12</v>
      </c>
      <c r="L149" s="10" t="n">
        <v>6</v>
      </c>
      <c r="M149" s="13" t="n">
        <v>50</v>
      </c>
      <c r="N149" s="13" t="n">
        <v>62.8366666666667</v>
      </c>
      <c r="O149" s="13">
        <f>IF(N149=0,0,K149/(L149*N149))</f>
        <v/>
      </c>
      <c r="P149" s="13">
        <f>IF(O149=0,0,K149/(L149*O149))</f>
        <v/>
      </c>
      <c r="Q149" s="14">
        <f>IF(M149=0,0,P149/M149)</f>
        <v/>
      </c>
      <c r="R149" s="13">
        <f>L149*O149</f>
        <v/>
      </c>
    </row>
    <row r="150">
      <c r="A150" s="12" t="n">
        <v>46191</v>
      </c>
      <c r="B150" s="12" t="n">
        <v>46191</v>
      </c>
      <c r="C150" s="10" t="inlineStr">
        <is>
          <t>RDO356</t>
        </is>
      </c>
      <c r="D150" s="10" t="inlineStr">
        <is>
          <t>ENGECOM PARA</t>
        </is>
      </c>
      <c r="E150" s="10" t="inlineStr">
        <is>
          <t>Marabá</t>
        </is>
      </c>
      <c r="F150" s="10" t="inlineStr">
        <is>
          <t>Preventiva MARABA</t>
        </is>
      </c>
      <c r="G150" s="10" t="inlineStr">
        <is>
          <t>Jose Domingos Lopes</t>
        </is>
      </c>
      <c r="H150" s="10" t="inlineStr">
        <is>
          <t>2.1.3</t>
        </is>
      </c>
      <c r="I150" s="10" t="inlineStr">
        <is>
          <t>Limpeza De Canaleta Em Corte E Aterro Ate Meia Seção</t>
        </is>
      </c>
      <c r="J150" s="10" t="inlineStr">
        <is>
          <t>M</t>
        </is>
      </c>
      <c r="K150" s="13" t="n">
        <v>829.2</v>
      </c>
      <c r="L150" s="10" t="n">
        <v>5</v>
      </c>
      <c r="M150" s="13" t="n">
        <v>15</v>
      </c>
      <c r="N150" s="13" t="n">
        <v>23.6914285714286</v>
      </c>
      <c r="O150" s="13">
        <f>IF(N150=0,0,K150/(L150*N150))</f>
        <v/>
      </c>
      <c r="P150" s="13">
        <f>IF(O150=0,0,K150/(L150*O150))</f>
        <v/>
      </c>
      <c r="Q150" s="14">
        <f>IF(M150=0,0,P150/M150)</f>
        <v/>
      </c>
      <c r="R150" s="13">
        <f>L150*O150</f>
        <v/>
      </c>
    </row>
    <row r="151">
      <c r="A151" s="12" t="n">
        <v>46191</v>
      </c>
      <c r="B151" s="12" t="n">
        <v>46191</v>
      </c>
      <c r="C151" s="10" t="inlineStr">
        <is>
          <t>RDO346</t>
        </is>
      </c>
      <c r="D151" s="10" t="inlineStr">
        <is>
          <t>ENGECOM PARA</t>
        </is>
      </c>
      <c r="E151" s="10" t="inlineStr">
        <is>
          <t>Parauapebas</t>
        </is>
      </c>
      <c r="F151" s="10" t="inlineStr">
        <is>
          <t>Preventiva PARAUAPEBAS</t>
        </is>
      </c>
      <c r="G151" s="10" t="inlineStr">
        <is>
          <t>Leandro Soares Dias</t>
        </is>
      </c>
      <c r="H151" s="10" t="inlineStr">
        <is>
          <t>2.2.1</t>
        </is>
      </c>
      <c r="I151" s="10" t="inlineStr">
        <is>
          <t>Roçada</t>
        </is>
      </c>
      <c r="J151" s="10" t="inlineStr">
        <is>
          <t>M2</t>
        </is>
      </c>
      <c r="K151" s="13" t="n">
        <v>2746.83</v>
      </c>
      <c r="L151" s="10" t="n">
        <v>11</v>
      </c>
      <c r="M151" s="13" t="n">
        <v>50</v>
      </c>
      <c r="N151" s="13" t="n">
        <v>83.2372727272727</v>
      </c>
      <c r="O151" s="13">
        <f>IF(N151=0,0,K151/(L151*N151))</f>
        <v/>
      </c>
      <c r="P151" s="13">
        <f>IF(O151=0,0,K151/(L151*O151))</f>
        <v/>
      </c>
      <c r="Q151" s="14">
        <f>IF(M151=0,0,P151/M151)</f>
        <v/>
      </c>
      <c r="R151" s="13">
        <f>L151*O151</f>
        <v/>
      </c>
    </row>
    <row r="152">
      <c r="A152" s="12" t="n">
        <v>46191</v>
      </c>
      <c r="B152" s="12" t="n">
        <v>46191</v>
      </c>
      <c r="C152" s="10" t="inlineStr">
        <is>
          <t>RDO346</t>
        </is>
      </c>
      <c r="D152" s="10" t="inlineStr">
        <is>
          <t>ENGECOM PARA</t>
        </is>
      </c>
      <c r="E152" s="10" t="inlineStr">
        <is>
          <t>Parauapebas</t>
        </is>
      </c>
      <c r="F152" s="10" t="inlineStr">
        <is>
          <t>Preventiva PARAUAPEBAS</t>
        </is>
      </c>
      <c r="G152" s="10" t="inlineStr">
        <is>
          <t>Leandro Soares Dias</t>
        </is>
      </c>
      <c r="H152" s="10" t="inlineStr">
        <is>
          <t>2.1.5</t>
        </is>
      </c>
      <c r="I152" s="10" t="inlineStr">
        <is>
          <t>Limpeza De Valeta, Sarjetas E Meio Fio</t>
        </is>
      </c>
      <c r="J152" s="10" t="inlineStr">
        <is>
          <t>M</t>
        </is>
      </c>
      <c r="K152" s="13" t="n">
        <v>604.9</v>
      </c>
      <c r="L152" s="10" t="n">
        <v>11</v>
      </c>
      <c r="M152" s="13" t="n">
        <v>9</v>
      </c>
      <c r="N152" s="13" t="n">
        <v>13.7477272727273</v>
      </c>
      <c r="O152" s="13">
        <f>IF(N152=0,0,K152/(L152*N152))</f>
        <v/>
      </c>
      <c r="P152" s="13">
        <f>IF(O152=0,0,K152/(L152*O152))</f>
        <v/>
      </c>
      <c r="Q152" s="14">
        <f>IF(M152=0,0,P152/M152)</f>
        <v/>
      </c>
      <c r="R152" s="13">
        <f>L152*O152</f>
        <v/>
      </c>
    </row>
    <row r="153">
      <c r="A153" s="12" t="n">
        <v>46192</v>
      </c>
      <c r="B153" s="12" t="n">
        <v>46192</v>
      </c>
      <c r="C153" s="10" t="inlineStr">
        <is>
          <t>RDO357</t>
        </is>
      </c>
      <c r="D153" s="10" t="inlineStr">
        <is>
          <t>ENGECOM PARA</t>
        </is>
      </c>
      <c r="E153" s="10" t="inlineStr">
        <is>
          <t>Marabá</t>
        </is>
      </c>
      <c r="F153" s="10" t="inlineStr">
        <is>
          <t>Preventiva MARABA</t>
        </is>
      </c>
      <c r="G153" s="10" t="inlineStr">
        <is>
          <t>Jose Domingos Lopes</t>
        </is>
      </c>
      <c r="H153" s="10" t="inlineStr">
        <is>
          <t>2.2.1</t>
        </is>
      </c>
      <c r="I153" s="10" t="inlineStr">
        <is>
          <t>Roçada</t>
        </is>
      </c>
      <c r="J153" s="10" t="inlineStr">
        <is>
          <t>M2</t>
        </is>
      </c>
      <c r="K153" s="13" t="n">
        <v>885</v>
      </c>
      <c r="L153" s="10" t="n">
        <v>11</v>
      </c>
      <c r="M153" s="13" t="n">
        <v>50</v>
      </c>
      <c r="N153" s="13" t="n">
        <v>30.1704545454545</v>
      </c>
      <c r="O153" s="13">
        <f>IF(N153=0,0,K153/(L153*N153))</f>
        <v/>
      </c>
      <c r="P153" s="13">
        <f>IF(O153=0,0,K153/(L153*O153))</f>
        <v/>
      </c>
      <c r="Q153" s="14">
        <f>IF(M153=0,0,P153/M153)</f>
        <v/>
      </c>
      <c r="R153" s="13">
        <f>L153*O153</f>
        <v/>
      </c>
    </row>
    <row r="154">
      <c r="A154" s="12" t="n">
        <v>46192</v>
      </c>
      <c r="B154" s="12" t="n">
        <v>46192</v>
      </c>
      <c r="C154" s="10" t="inlineStr">
        <is>
          <t>RDO357</t>
        </is>
      </c>
      <c r="D154" s="10" t="inlineStr">
        <is>
          <t>ENGECOM PARA</t>
        </is>
      </c>
      <c r="E154" s="10" t="inlineStr">
        <is>
          <t>Marabá</t>
        </is>
      </c>
      <c r="F154" s="10" t="inlineStr">
        <is>
          <t>Preventiva MARABA</t>
        </is>
      </c>
      <c r="G154" s="10" t="inlineStr">
        <is>
          <t>Jose Domingos Lopes</t>
        </is>
      </c>
      <c r="H154" s="10" t="inlineStr">
        <is>
          <t>2.1.3</t>
        </is>
      </c>
      <c r="I154" s="10" t="inlineStr">
        <is>
          <t>Limpeza De Canaleta Em Corte E Aterro Ate Meia Seção</t>
        </is>
      </c>
      <c r="J154" s="10" t="inlineStr">
        <is>
          <t>M</t>
        </is>
      </c>
      <c r="K154" s="13" t="n">
        <v>226</v>
      </c>
      <c r="L154" s="10" t="n">
        <v>11</v>
      </c>
      <c r="M154" s="13" t="n">
        <v>15</v>
      </c>
      <c r="N154" s="13" t="n">
        <v>8.21818181818182</v>
      </c>
      <c r="O154" s="13">
        <f>IF(N154=0,0,K154/(L154*N154))</f>
        <v/>
      </c>
      <c r="P154" s="13">
        <f>IF(O154=0,0,K154/(L154*O154))</f>
        <v/>
      </c>
      <c r="Q154" s="14">
        <f>IF(M154=0,0,P154/M154)</f>
        <v/>
      </c>
      <c r="R154" s="13">
        <f>L154*O154</f>
        <v/>
      </c>
    </row>
    <row r="155">
      <c r="A155" s="12" t="n">
        <v>46192</v>
      </c>
      <c r="B155" s="12" t="n">
        <v>46192</v>
      </c>
      <c r="C155" s="10" t="inlineStr">
        <is>
          <t>RDO353</t>
        </is>
      </c>
      <c r="D155" s="10" t="inlineStr">
        <is>
          <t>ENGECOM PARA</t>
        </is>
      </c>
      <c r="E155" s="10" t="inlineStr">
        <is>
          <t>Parauapebas</t>
        </is>
      </c>
      <c r="F155" s="10" t="inlineStr">
        <is>
          <t>Preventiva PARAUAPEBAS</t>
        </is>
      </c>
      <c r="G155" s="10" t="inlineStr">
        <is>
          <t>Leandro Soares Dias</t>
        </is>
      </c>
      <c r="H155" s="10" t="inlineStr">
        <is>
          <t>2.2.1</t>
        </is>
      </c>
      <c r="I155" s="10" t="inlineStr">
        <is>
          <t>Roçada</t>
        </is>
      </c>
      <c r="J155" s="10" t="inlineStr">
        <is>
          <t>M2</t>
        </is>
      </c>
      <c r="K155" s="13" t="n">
        <v>4525.67</v>
      </c>
      <c r="L155" s="10" t="n">
        <v>11</v>
      </c>
      <c r="M155" s="13" t="n">
        <v>50</v>
      </c>
      <c r="N155" s="13" t="n">
        <v>164.569818181818</v>
      </c>
      <c r="O155" s="13">
        <f>IF(N155=0,0,K155/(L155*N155))</f>
        <v/>
      </c>
      <c r="P155" s="13">
        <f>IF(O155=0,0,K155/(L155*O155))</f>
        <v/>
      </c>
      <c r="Q155" s="14">
        <f>IF(M155=0,0,P155/M155)</f>
        <v/>
      </c>
      <c r="R155" s="13">
        <f>L155*O155</f>
        <v/>
      </c>
    </row>
    <row r="156">
      <c r="A156" s="12" t="n">
        <v>46192</v>
      </c>
      <c r="B156" s="12" t="n">
        <v>46192</v>
      </c>
      <c r="C156" s="10" t="inlineStr">
        <is>
          <t>RDO353</t>
        </is>
      </c>
      <c r="D156" s="10" t="inlineStr">
        <is>
          <t>ENGECOM PARA</t>
        </is>
      </c>
      <c r="E156" s="10" t="inlineStr">
        <is>
          <t>Parauapebas</t>
        </is>
      </c>
      <c r="F156" s="10" t="inlineStr">
        <is>
          <t>Preventiva PARAUAPEBAS</t>
        </is>
      </c>
      <c r="G156" s="10" t="inlineStr">
        <is>
          <t>Leandro Soares Dias</t>
        </is>
      </c>
      <c r="H156" s="10" t="inlineStr">
        <is>
          <t>2.1.5</t>
        </is>
      </c>
      <c r="I156" s="10" t="inlineStr">
        <is>
          <t>Limpeza De Valeta, Sarjetas E Meio Fio</t>
        </is>
      </c>
      <c r="J156" s="10" t="inlineStr">
        <is>
          <t>M</t>
        </is>
      </c>
      <c r="K156" s="13" t="n">
        <v>291.3</v>
      </c>
      <c r="L156" s="10" t="n">
        <v>11</v>
      </c>
      <c r="M156" s="13" t="n">
        <v>9</v>
      </c>
      <c r="N156" s="13" t="n">
        <v>10.5927272727273</v>
      </c>
      <c r="O156" s="13">
        <f>IF(N156=0,0,K156/(L156*N156))</f>
        <v/>
      </c>
      <c r="P156" s="13">
        <f>IF(O156=0,0,K156/(L156*O156))</f>
        <v/>
      </c>
      <c r="Q156" s="14">
        <f>IF(M156=0,0,P156/M156)</f>
        <v/>
      </c>
      <c r="R156" s="13">
        <f>L156*O156</f>
        <v/>
      </c>
    </row>
    <row r="157">
      <c r="A157" s="12" t="n">
        <v>46195</v>
      </c>
      <c r="B157" s="12" t="n">
        <v>46195</v>
      </c>
      <c r="C157" s="10" t="inlineStr">
        <is>
          <t>RDO359</t>
        </is>
      </c>
      <c r="D157" s="10" t="inlineStr">
        <is>
          <t>ENGECOM PARA</t>
        </is>
      </c>
      <c r="E157" s="10" t="inlineStr">
        <is>
          <t>Marabá</t>
        </is>
      </c>
      <c r="F157" s="10" t="inlineStr">
        <is>
          <t>Preventiva MARABA</t>
        </is>
      </c>
      <c r="G157" s="10" t="inlineStr">
        <is>
          <t>Jose Domingos Lopes</t>
        </is>
      </c>
      <c r="H157" s="10" t="inlineStr">
        <is>
          <t>2.2.1</t>
        </is>
      </c>
      <c r="I157" s="10" t="inlineStr">
        <is>
          <t>Roçada</t>
        </is>
      </c>
      <c r="J157" s="10" t="inlineStr">
        <is>
          <t>M2</t>
        </is>
      </c>
      <c r="K157" s="13" t="n">
        <v>2220</v>
      </c>
      <c r="L157" s="10" t="n">
        <v>11</v>
      </c>
      <c r="M157" s="13" t="n">
        <v>50</v>
      </c>
      <c r="N157" s="13" t="n">
        <v>71.2299465240642</v>
      </c>
      <c r="O157" s="13">
        <f>IF(N157=0,0,K157/(L157*N157))</f>
        <v/>
      </c>
      <c r="P157" s="13">
        <f>IF(O157=0,0,K157/(L157*O157))</f>
        <v/>
      </c>
      <c r="Q157" s="14">
        <f>IF(M157=0,0,P157/M157)</f>
        <v/>
      </c>
      <c r="R157" s="13">
        <f>L157*O157</f>
        <v/>
      </c>
    </row>
    <row r="158">
      <c r="A158" s="12" t="n">
        <v>46195</v>
      </c>
      <c r="B158" s="12" t="n">
        <v>46195</v>
      </c>
      <c r="C158" s="10" t="inlineStr">
        <is>
          <t>RDO359</t>
        </is>
      </c>
      <c r="D158" s="10" t="inlineStr">
        <is>
          <t>ENGECOM PARA</t>
        </is>
      </c>
      <c r="E158" s="10" t="inlineStr">
        <is>
          <t>Marabá</t>
        </is>
      </c>
      <c r="F158" s="10" t="inlineStr">
        <is>
          <t>Preventiva MARABA</t>
        </is>
      </c>
      <c r="G158" s="10" t="inlineStr">
        <is>
          <t>Jose Domingos Lopes</t>
        </is>
      </c>
      <c r="H158" s="10" t="inlineStr">
        <is>
          <t>2.1.5</t>
        </is>
      </c>
      <c r="I158" s="10" t="inlineStr">
        <is>
          <t>Limpeza De Valeta, Sarjetas E Meio Fio</t>
        </is>
      </c>
      <c r="J158" s="10" t="inlineStr">
        <is>
          <t>M</t>
        </is>
      </c>
      <c r="K158" s="13" t="n">
        <v>100</v>
      </c>
      <c r="L158" s="10" t="n">
        <v>11</v>
      </c>
      <c r="M158" s="13" t="n">
        <v>9</v>
      </c>
      <c r="N158" s="13" t="n">
        <v>4.54545454545455</v>
      </c>
      <c r="O158" s="13">
        <f>IF(N158=0,0,K158/(L158*N158))</f>
        <v/>
      </c>
      <c r="P158" s="13">
        <f>IF(O158=0,0,K158/(L158*O158))</f>
        <v/>
      </c>
      <c r="Q158" s="14">
        <f>IF(M158=0,0,P158/M158)</f>
        <v/>
      </c>
      <c r="R158" s="13">
        <f>L158*O158</f>
        <v/>
      </c>
    </row>
    <row r="159">
      <c r="A159" s="12" t="n">
        <v>46195</v>
      </c>
      <c r="B159" s="12" t="n">
        <v>46195</v>
      </c>
      <c r="C159" s="10" t="inlineStr">
        <is>
          <t>RDO359</t>
        </is>
      </c>
      <c r="D159" s="10" t="inlineStr">
        <is>
          <t>ENGECOM PARA</t>
        </is>
      </c>
      <c r="E159" s="10" t="inlineStr">
        <is>
          <t>Marabá</t>
        </is>
      </c>
      <c r="F159" s="10" t="inlineStr">
        <is>
          <t>Preventiva MARABA</t>
        </is>
      </c>
      <c r="G159" s="10" t="inlineStr">
        <is>
          <t>Jose Domingos Lopes</t>
        </is>
      </c>
      <c r="H159" s="10" t="inlineStr">
        <is>
          <t>2.1.8</t>
        </is>
      </c>
      <c r="I159" s="10" t="inlineStr">
        <is>
          <t>Recuperação De Drenagem Tipop Sarjeta/Meio-Fio Em Plataforma, Limitando-Se A 100M De Extensão</t>
        </is>
      </c>
      <c r="J159" s="10" t="inlineStr">
        <is>
          <t>M</t>
        </is>
      </c>
      <c r="K159" s="13" t="n">
        <v>27</v>
      </c>
      <c r="L159" s="10" t="n">
        <v>7</v>
      </c>
      <c r="M159" s="13" t="n">
        <v>1</v>
      </c>
      <c r="N159" s="13" t="n">
        <v>1.92857142857143</v>
      </c>
      <c r="O159" s="13">
        <f>IF(N159=0,0,K159/(L159*N159))</f>
        <v/>
      </c>
      <c r="P159" s="13">
        <f>IF(O159=0,0,K159/(L159*O159))</f>
        <v/>
      </c>
      <c r="Q159" s="14">
        <f>IF(M159=0,0,P159/M159)</f>
        <v/>
      </c>
      <c r="R159" s="13">
        <f>L159*O159</f>
        <v/>
      </c>
    </row>
    <row r="160">
      <c r="A160" s="12" t="n">
        <v>46196</v>
      </c>
      <c r="B160" s="12" t="n">
        <v>46196</v>
      </c>
      <c r="C160" s="10" t="inlineStr">
        <is>
          <t>RDO360</t>
        </is>
      </c>
      <c r="D160" s="10" t="inlineStr">
        <is>
          <t>ENGECOM PARA</t>
        </is>
      </c>
      <c r="E160" s="10" t="inlineStr">
        <is>
          <t>Marabá</t>
        </is>
      </c>
      <c r="F160" s="10" t="inlineStr">
        <is>
          <t>Preventiva MARABA</t>
        </is>
      </c>
      <c r="G160" s="10" t="inlineStr">
        <is>
          <t>Jose Domingos Lopes</t>
        </is>
      </c>
      <c r="H160" s="10" t="inlineStr">
        <is>
          <t>2.1.8</t>
        </is>
      </c>
      <c r="I160" s="10" t="inlineStr">
        <is>
          <t>Recuperação De Drenagem Tipop Sarjeta/Meio-Fio Em Plataforma, Limitando-Se A 100M De Extensão</t>
        </is>
      </c>
      <c r="J160" s="10" t="inlineStr">
        <is>
          <t>M</t>
        </is>
      </c>
      <c r="K160" s="13" t="n">
        <v>68</v>
      </c>
      <c r="L160" s="10" t="n">
        <v>11</v>
      </c>
      <c r="M160" s="13" t="n">
        <v>1</v>
      </c>
      <c r="N160" s="13" t="n">
        <v>2.47272727272727</v>
      </c>
      <c r="O160" s="13">
        <f>IF(N160=0,0,K160/(L160*N160))</f>
        <v/>
      </c>
      <c r="P160" s="13">
        <f>IF(O160=0,0,K160/(L160*O160))</f>
        <v/>
      </c>
      <c r="Q160" s="14">
        <f>IF(M160=0,0,P160/M160)</f>
        <v/>
      </c>
      <c r="R160" s="13">
        <f>L160*O160</f>
        <v/>
      </c>
    </row>
    <row r="161">
      <c r="A161" s="12" t="n">
        <v>46196</v>
      </c>
      <c r="B161" s="12" t="n">
        <v>46196</v>
      </c>
      <c r="C161" s="10" t="inlineStr">
        <is>
          <t>RDO360</t>
        </is>
      </c>
      <c r="D161" s="10" t="inlineStr">
        <is>
          <t>ENGECOM PARA</t>
        </is>
      </c>
      <c r="E161" s="10" t="inlineStr">
        <is>
          <t>Marabá</t>
        </is>
      </c>
      <c r="F161" s="10" t="inlineStr">
        <is>
          <t>Preventiva MARABA</t>
        </is>
      </c>
      <c r="G161" s="10" t="inlineStr">
        <is>
          <t>Jose Domingos Lopes</t>
        </is>
      </c>
      <c r="H161" s="10" t="inlineStr">
        <is>
          <t>2.1.8</t>
        </is>
      </c>
      <c r="I161" s="10" t="inlineStr">
        <is>
          <t>Recuperação De Drenagem Tipop Sarjeta/Meio-Fio Em Plataforma, Limitando-Se A 100M De Extensão</t>
        </is>
      </c>
      <c r="J161" s="10" t="inlineStr">
        <is>
          <t>M</t>
        </is>
      </c>
      <c r="K161" s="13" t="n">
        <v>47</v>
      </c>
      <c r="L161" s="10" t="n">
        <v>11</v>
      </c>
      <c r="M161" s="13" t="n">
        <v>1</v>
      </c>
      <c r="N161" s="13" t="n">
        <v>1.06818181818182</v>
      </c>
      <c r="O161" s="13">
        <f>IF(N161=0,0,K161/(L161*N161))</f>
        <v/>
      </c>
      <c r="P161" s="13">
        <f>IF(O161=0,0,K161/(L161*O161))</f>
        <v/>
      </c>
      <c r="Q161" s="14">
        <f>IF(M161=0,0,P161/M161)</f>
        <v/>
      </c>
      <c r="R161" s="13">
        <f>L161*O161</f>
        <v/>
      </c>
    </row>
    <row r="162">
      <c r="A162" s="12" t="n">
        <v>46196</v>
      </c>
      <c r="B162" s="12" t="n">
        <v>46196</v>
      </c>
      <c r="C162" s="10" t="inlineStr">
        <is>
          <t>RDO358</t>
        </is>
      </c>
      <c r="D162" s="10" t="inlineStr">
        <is>
          <t>ENGECOM PARA</t>
        </is>
      </c>
      <c r="E162" s="10" t="inlineStr">
        <is>
          <t>Parauapebas</t>
        </is>
      </c>
      <c r="F162" s="10" t="inlineStr">
        <is>
          <t>Preventiva PARAUAPEBAS</t>
        </is>
      </c>
      <c r="G162" s="10" t="inlineStr">
        <is>
          <t>Leandro Soares Dias</t>
        </is>
      </c>
      <c r="H162" s="10" t="inlineStr">
        <is>
          <t>2.2.1</t>
        </is>
      </c>
      <c r="I162" s="10" t="inlineStr">
        <is>
          <t>Roçada</t>
        </is>
      </c>
      <c r="J162" s="10" t="inlineStr">
        <is>
          <t>M2</t>
        </is>
      </c>
      <c r="K162" s="13" t="n">
        <v>3323.2</v>
      </c>
      <c r="L162" s="10" t="n">
        <v>11</v>
      </c>
      <c r="M162" s="13" t="n">
        <v>50</v>
      </c>
      <c r="N162" s="13" t="n">
        <v>120.843636363636</v>
      </c>
      <c r="O162" s="13">
        <f>IF(N162=0,0,K162/(L162*N162))</f>
        <v/>
      </c>
      <c r="P162" s="13">
        <f>IF(O162=0,0,K162/(L162*O162))</f>
        <v/>
      </c>
      <c r="Q162" s="14">
        <f>IF(M162=0,0,P162/M162)</f>
        <v/>
      </c>
      <c r="R162" s="13">
        <f>L162*O162</f>
        <v/>
      </c>
    </row>
    <row r="163">
      <c r="A163" s="12" t="n">
        <v>46197</v>
      </c>
      <c r="B163" s="12" t="n">
        <v>46197</v>
      </c>
      <c r="C163" s="10" t="inlineStr">
        <is>
          <t>RDO376</t>
        </is>
      </c>
      <c r="D163" s="10" t="inlineStr">
        <is>
          <t>ENGECOM PARA</t>
        </is>
      </c>
      <c r="E163" s="10" t="inlineStr">
        <is>
          <t>Marabá</t>
        </is>
      </c>
      <c r="F163" s="10" t="inlineStr">
        <is>
          <t>Preventiva MARABA</t>
        </is>
      </c>
      <c r="G163" s="10" t="inlineStr">
        <is>
          <t>Jose Domingos Lopes</t>
        </is>
      </c>
      <c r="H163" s="10" t="inlineStr">
        <is>
          <t>2.1.8</t>
        </is>
      </c>
      <c r="I163" s="10" t="inlineStr">
        <is>
          <t>Recuperação De Drenagem Tipop Sarjeta/Meio-Fio Em Plataforma, Limitando-Se A 100M De Extensão</t>
        </is>
      </c>
      <c r="J163" s="10" t="inlineStr">
        <is>
          <t>M</t>
        </is>
      </c>
      <c r="K163" s="13" t="n">
        <v>5</v>
      </c>
      <c r="L163" s="10" t="n">
        <v>11</v>
      </c>
      <c r="M163" s="13" t="n">
        <v>1</v>
      </c>
      <c r="N163" s="13" t="n">
        <v>0.454545454545455</v>
      </c>
      <c r="O163" s="13">
        <f>IF(N163=0,0,K163/(L163*N163))</f>
        <v/>
      </c>
      <c r="P163" s="13">
        <f>IF(O163=0,0,K163/(L163*O163))</f>
        <v/>
      </c>
      <c r="Q163" s="14">
        <f>IF(M163=0,0,P163/M163)</f>
        <v/>
      </c>
      <c r="R163" s="13">
        <f>L163*O163</f>
        <v/>
      </c>
    </row>
    <row r="164">
      <c r="A164" s="12" t="n">
        <v>46197</v>
      </c>
      <c r="B164" s="12" t="n">
        <v>46197</v>
      </c>
      <c r="C164" s="10" t="inlineStr">
        <is>
          <t>RDO376</t>
        </is>
      </c>
      <c r="D164" s="10" t="inlineStr">
        <is>
          <t>ENGECOM PARA</t>
        </is>
      </c>
      <c r="E164" s="10" t="inlineStr">
        <is>
          <t>Marabá</t>
        </is>
      </c>
      <c r="F164" s="10" t="inlineStr">
        <is>
          <t>Preventiva MARABA</t>
        </is>
      </c>
      <c r="G164" s="10" t="inlineStr">
        <is>
          <t>Jose Domingos Lopes</t>
        </is>
      </c>
      <c r="H164" s="10" t="inlineStr">
        <is>
          <t>2.1.8</t>
        </is>
      </c>
      <c r="I164" s="10" t="inlineStr">
        <is>
          <t>Recuperação De Drenagem Tipop Sarjeta/Meio-Fio Em Plataforma, Limitando-Se A 100M De Extensão</t>
        </is>
      </c>
      <c r="J164" s="10" t="inlineStr">
        <is>
          <t>M</t>
        </is>
      </c>
      <c r="K164" s="13" t="n">
        <v>53</v>
      </c>
      <c r="L164" s="10" t="n">
        <v>11</v>
      </c>
      <c r="M164" s="13" t="n">
        <v>1</v>
      </c>
      <c r="N164" s="13" t="n">
        <v>3.21212121212121</v>
      </c>
      <c r="O164" s="13">
        <f>IF(N164=0,0,K164/(L164*N164))</f>
        <v/>
      </c>
      <c r="P164" s="13">
        <f>IF(O164=0,0,K164/(L164*O164))</f>
        <v/>
      </c>
      <c r="Q164" s="14">
        <f>IF(M164=0,0,P164/M164)</f>
        <v/>
      </c>
      <c r="R164" s="13">
        <f>L164*O164</f>
        <v/>
      </c>
    </row>
    <row r="165">
      <c r="A165" s="12" t="n">
        <v>46197</v>
      </c>
      <c r="B165" s="12" t="n">
        <v>46197</v>
      </c>
      <c r="C165" s="10" t="inlineStr">
        <is>
          <t>RDO376</t>
        </is>
      </c>
      <c r="D165" s="10" t="inlineStr">
        <is>
          <t>ENGECOM PARA</t>
        </is>
      </c>
      <c r="E165" s="10" t="inlineStr">
        <is>
          <t>Marabá</t>
        </is>
      </c>
      <c r="F165" s="10" t="inlineStr">
        <is>
          <t>Preventiva MARABA</t>
        </is>
      </c>
      <c r="G165" s="10" t="inlineStr">
        <is>
          <t>Jose Domingos Lopes</t>
        </is>
      </c>
      <c r="H165" s="10" t="inlineStr">
        <is>
          <t>2.2.1</t>
        </is>
      </c>
      <c r="I165" s="10" t="inlineStr">
        <is>
          <t>Roçada</t>
        </is>
      </c>
      <c r="J165" s="10" t="inlineStr">
        <is>
          <t>M2</t>
        </is>
      </c>
      <c r="K165" s="13" t="n">
        <v>70</v>
      </c>
      <c r="L165" s="10" t="n">
        <v>11</v>
      </c>
      <c r="M165" s="13" t="n">
        <v>50</v>
      </c>
      <c r="N165" s="13" t="n">
        <v>6.36363636363636</v>
      </c>
      <c r="O165" s="13">
        <f>IF(N165=0,0,K165/(L165*N165))</f>
        <v/>
      </c>
      <c r="P165" s="13">
        <f>IF(O165=0,0,K165/(L165*O165))</f>
        <v/>
      </c>
      <c r="Q165" s="14">
        <f>IF(M165=0,0,P165/M165)</f>
        <v/>
      </c>
      <c r="R165" s="13">
        <f>L165*O165</f>
        <v/>
      </c>
    </row>
    <row r="166">
      <c r="A166" s="12" t="n">
        <v>46197</v>
      </c>
      <c r="B166" s="12" t="n">
        <v>46197</v>
      </c>
      <c r="C166" s="10" t="inlineStr">
        <is>
          <t>RDO376</t>
        </is>
      </c>
      <c r="D166" s="10" t="inlineStr">
        <is>
          <t>ENGECOM PARA</t>
        </is>
      </c>
      <c r="E166" s="10" t="inlineStr">
        <is>
          <t>Marabá</t>
        </is>
      </c>
      <c r="F166" s="10" t="inlineStr">
        <is>
          <t>Preventiva MARABA</t>
        </is>
      </c>
      <c r="G166" s="10" t="inlineStr">
        <is>
          <t>Jose Domingos Lopes</t>
        </is>
      </c>
      <c r="H166" s="10" t="inlineStr">
        <is>
          <t>2.2.1</t>
        </is>
      </c>
      <c r="I166" s="10" t="inlineStr">
        <is>
          <t>Roçada</t>
        </is>
      </c>
      <c r="J166" s="10" t="inlineStr">
        <is>
          <t>M2</t>
        </is>
      </c>
      <c r="K166" s="13" t="n">
        <v>500</v>
      </c>
      <c r="L166" s="10" t="n">
        <v>11</v>
      </c>
      <c r="M166" s="13" t="n">
        <v>50</v>
      </c>
      <c r="N166" s="13" t="n">
        <v>16.5289256198347</v>
      </c>
      <c r="O166" s="13">
        <f>IF(N166=0,0,K166/(L166*N166))</f>
        <v/>
      </c>
      <c r="P166" s="13">
        <f>IF(O166=0,0,K166/(L166*O166))</f>
        <v/>
      </c>
      <c r="Q166" s="14">
        <f>IF(M166=0,0,P166/M166)</f>
        <v/>
      </c>
      <c r="R166" s="13">
        <f>L166*O166</f>
        <v/>
      </c>
    </row>
    <row r="167">
      <c r="A167" s="12" t="n">
        <v>46197</v>
      </c>
      <c r="B167" s="12" t="n">
        <v>46197</v>
      </c>
      <c r="C167" s="10" t="inlineStr">
        <is>
          <t>RDO363</t>
        </is>
      </c>
      <c r="D167" s="10" t="inlineStr">
        <is>
          <t>ENGECOM PARA</t>
        </is>
      </c>
      <c r="E167" s="10" t="inlineStr">
        <is>
          <t>Parauapebas</t>
        </is>
      </c>
      <c r="F167" s="10" t="inlineStr">
        <is>
          <t>Preventiva PARAUAPEBAS</t>
        </is>
      </c>
      <c r="G167" s="10" t="inlineStr">
        <is>
          <t>Leandro Soares Dias</t>
        </is>
      </c>
      <c r="H167" s="10" t="inlineStr">
        <is>
          <t>2.2.1</t>
        </is>
      </c>
      <c r="I167" s="10" t="inlineStr">
        <is>
          <t>Roçada</t>
        </is>
      </c>
      <c r="J167" s="10" t="inlineStr">
        <is>
          <t>M2</t>
        </is>
      </c>
      <c r="K167" s="13" t="n">
        <v>4174.5</v>
      </c>
      <c r="L167" s="10" t="n">
        <v>11</v>
      </c>
      <c r="M167" s="13" t="n">
        <v>50</v>
      </c>
      <c r="N167" s="13" t="n">
        <v>126.5</v>
      </c>
      <c r="O167" s="13">
        <f>IF(N167=0,0,K167/(L167*N167))</f>
        <v/>
      </c>
      <c r="P167" s="13">
        <f>IF(O167=0,0,K167/(L167*O167))</f>
        <v/>
      </c>
      <c r="Q167" s="14">
        <f>IF(M167=0,0,P167/M167)</f>
        <v/>
      </c>
      <c r="R167" s="13">
        <f>L167*O167</f>
        <v/>
      </c>
    </row>
    <row r="168">
      <c r="A168" s="12" t="n">
        <v>46197</v>
      </c>
      <c r="B168" s="12" t="n">
        <v>46197</v>
      </c>
      <c r="C168" s="10" t="inlineStr">
        <is>
          <t>RDO363</t>
        </is>
      </c>
      <c r="D168" s="10" t="inlineStr">
        <is>
          <t>ENGECOM PARA</t>
        </is>
      </c>
      <c r="E168" s="10" t="inlineStr">
        <is>
          <t>Parauapebas</t>
        </is>
      </c>
      <c r="F168" s="10" t="inlineStr">
        <is>
          <t>Preventiva PARAUAPEBAS</t>
        </is>
      </c>
      <c r="G168" s="10" t="inlineStr">
        <is>
          <t>Leandro Soares Dias</t>
        </is>
      </c>
      <c r="H168" s="10" t="inlineStr">
        <is>
          <t>2.2.1</t>
        </is>
      </c>
      <c r="I168" s="10" t="inlineStr">
        <is>
          <t>Roçada</t>
        </is>
      </c>
      <c r="J168" s="10" t="inlineStr">
        <is>
          <t>M2</t>
        </is>
      </c>
      <c r="K168" s="13" t="n">
        <v>3347.22</v>
      </c>
      <c r="L168" s="10" t="n">
        <v>11</v>
      </c>
      <c r="M168" s="13" t="n">
        <v>50</v>
      </c>
      <c r="N168" s="13" t="n">
        <v>86.94077922077921</v>
      </c>
      <c r="O168" s="13">
        <f>IF(N168=0,0,K168/(L168*N168))</f>
        <v/>
      </c>
      <c r="P168" s="13">
        <f>IF(O168=0,0,K168/(L168*O168))</f>
        <v/>
      </c>
      <c r="Q168" s="14">
        <f>IF(M168=0,0,P168/M168)</f>
        <v/>
      </c>
      <c r="R168" s="13">
        <f>L168*O168</f>
        <v/>
      </c>
    </row>
    <row r="169">
      <c r="A169" s="12" t="n">
        <v>46198</v>
      </c>
      <c r="B169" s="12" t="n">
        <v>46198</v>
      </c>
      <c r="C169" s="10" t="inlineStr">
        <is>
          <t>RDO379</t>
        </is>
      </c>
      <c r="D169" s="10" t="inlineStr">
        <is>
          <t>ENGECOM PARA</t>
        </is>
      </c>
      <c r="E169" s="10" t="inlineStr">
        <is>
          <t>Marabá</t>
        </is>
      </c>
      <c r="F169" s="10" t="inlineStr">
        <is>
          <t>Preventiva MARABA</t>
        </is>
      </c>
      <c r="G169" s="10" t="inlineStr">
        <is>
          <t>Jose Domingos Lopes</t>
        </is>
      </c>
      <c r="H169" s="10" t="inlineStr">
        <is>
          <t>2.2.1</t>
        </is>
      </c>
      <c r="I169" s="10" t="inlineStr">
        <is>
          <t>Roçada</t>
        </is>
      </c>
      <c r="J169" s="10" t="inlineStr">
        <is>
          <t>M2</t>
        </is>
      </c>
      <c r="K169" s="13" t="n">
        <v>2925</v>
      </c>
      <c r="L169" s="10" t="n">
        <v>11</v>
      </c>
      <c r="M169" s="13" t="n">
        <v>50</v>
      </c>
      <c r="N169" s="13" t="n">
        <v>62.5668449197861</v>
      </c>
      <c r="O169" s="13">
        <f>IF(N169=0,0,K169/(L169*N169))</f>
        <v/>
      </c>
      <c r="P169" s="13">
        <f>IF(O169=0,0,K169/(L169*O169))</f>
        <v/>
      </c>
      <c r="Q169" s="14">
        <f>IF(M169=0,0,P169/M169)</f>
        <v/>
      </c>
      <c r="R169" s="13">
        <f>L169*O169</f>
        <v/>
      </c>
    </row>
    <row r="170">
      <c r="A170" s="12" t="n">
        <v>46198</v>
      </c>
      <c r="B170" s="12" t="n">
        <v>46198</v>
      </c>
      <c r="C170" s="10" t="inlineStr">
        <is>
          <t>RDO379</t>
        </is>
      </c>
      <c r="D170" s="10" t="inlineStr">
        <is>
          <t>ENGECOM PARA</t>
        </is>
      </c>
      <c r="E170" s="10" t="inlineStr">
        <is>
          <t>Marabá</t>
        </is>
      </c>
      <c r="F170" s="10" t="inlineStr">
        <is>
          <t>Preventiva MARABA</t>
        </is>
      </c>
      <c r="G170" s="10" t="inlineStr">
        <is>
          <t>Jose Domingos Lopes</t>
        </is>
      </c>
      <c r="H170" s="10" t="inlineStr">
        <is>
          <t>2.1.5</t>
        </is>
      </c>
      <c r="I170" s="10" t="inlineStr">
        <is>
          <t>Limpeza De Valeta, Sarjetas E Meio Fio</t>
        </is>
      </c>
      <c r="J170" s="10" t="inlineStr">
        <is>
          <t>M</t>
        </is>
      </c>
      <c r="K170" s="13" t="n">
        <v>1096</v>
      </c>
      <c r="L170" s="10" t="n">
        <v>11</v>
      </c>
      <c r="M170" s="13" t="n">
        <v>9</v>
      </c>
      <c r="N170" s="13" t="n">
        <v>28.4675324675325</v>
      </c>
      <c r="O170" s="13">
        <f>IF(N170=0,0,K170/(L170*N170))</f>
        <v/>
      </c>
      <c r="P170" s="13">
        <f>IF(O170=0,0,K170/(L170*O170))</f>
        <v/>
      </c>
      <c r="Q170" s="14">
        <f>IF(M170=0,0,P170/M170)</f>
        <v/>
      </c>
      <c r="R170" s="13">
        <f>L170*O170</f>
        <v/>
      </c>
    </row>
    <row r="171">
      <c r="A171" s="12" t="n">
        <v>46198</v>
      </c>
      <c r="B171" s="12" t="n">
        <v>46198</v>
      </c>
      <c r="C171" s="10" t="inlineStr">
        <is>
          <t>RDO362</t>
        </is>
      </c>
      <c r="D171" s="10" t="inlineStr">
        <is>
          <t>ENGECOM PARA</t>
        </is>
      </c>
      <c r="E171" s="10" t="inlineStr">
        <is>
          <t>Parauapebas</t>
        </is>
      </c>
      <c r="F171" s="10" t="inlineStr">
        <is>
          <t>Preventiva PARAUAPEBAS</t>
        </is>
      </c>
      <c r="G171" s="10" t="inlineStr">
        <is>
          <t>Leandro Soares Dias</t>
        </is>
      </c>
      <c r="H171" s="10" t="inlineStr">
        <is>
          <t>2.2.1</t>
        </is>
      </c>
      <c r="I171" s="10" t="inlineStr">
        <is>
          <t>Roçada</t>
        </is>
      </c>
      <c r="J171" s="10" t="inlineStr">
        <is>
          <t>M2</t>
        </is>
      </c>
      <c r="K171" s="13" t="n">
        <v>188</v>
      </c>
      <c r="L171" s="10" t="n">
        <v>11</v>
      </c>
      <c r="M171" s="13" t="n">
        <v>50</v>
      </c>
      <c r="N171" s="13" t="n">
        <v>4.88311688311688</v>
      </c>
      <c r="O171" s="13">
        <f>IF(N171=0,0,K171/(L171*N171))</f>
        <v/>
      </c>
      <c r="P171" s="13">
        <f>IF(O171=0,0,K171/(L171*O171))</f>
        <v/>
      </c>
      <c r="Q171" s="14">
        <f>IF(M171=0,0,P171/M171)</f>
        <v/>
      </c>
      <c r="R171" s="13">
        <f>L171*O171</f>
        <v/>
      </c>
    </row>
    <row r="172">
      <c r="A172" s="12" t="n">
        <v>46198</v>
      </c>
      <c r="B172" s="12" t="n">
        <v>46198</v>
      </c>
      <c r="C172" s="10" t="inlineStr">
        <is>
          <t>RDO362</t>
        </is>
      </c>
      <c r="D172" s="10" t="inlineStr">
        <is>
          <t>ENGECOM PARA</t>
        </is>
      </c>
      <c r="E172" s="10" t="inlineStr">
        <is>
          <t>Parauapebas</t>
        </is>
      </c>
      <c r="F172" s="10" t="inlineStr">
        <is>
          <t>Preventiva PARAUAPEBAS</t>
        </is>
      </c>
      <c r="G172" s="10" t="inlineStr">
        <is>
          <t>Leandro Soares Dias</t>
        </is>
      </c>
      <c r="H172" s="10" t="inlineStr">
        <is>
          <t>2.2.1</t>
        </is>
      </c>
      <c r="I172" s="10" t="inlineStr">
        <is>
          <t>Roçada</t>
        </is>
      </c>
      <c r="J172" s="10" t="inlineStr">
        <is>
          <t>M2</t>
        </is>
      </c>
      <c r="K172" s="13" t="n">
        <v>4815.8</v>
      </c>
      <c r="L172" s="10" t="n">
        <v>11</v>
      </c>
      <c r="M172" s="13" t="n">
        <v>50</v>
      </c>
      <c r="N172" s="13" t="n">
        <v>125.085714285714</v>
      </c>
      <c r="O172" s="13">
        <f>IF(N172=0,0,K172/(L172*N172))</f>
        <v/>
      </c>
      <c r="P172" s="13">
        <f>IF(O172=0,0,K172/(L172*O172))</f>
        <v/>
      </c>
      <c r="Q172" s="14">
        <f>IF(M172=0,0,P172/M172)</f>
        <v/>
      </c>
      <c r="R172" s="13">
        <f>L172*O172</f>
        <v/>
      </c>
    </row>
    <row r="173">
      <c r="A173" s="12" t="n">
        <v>46199</v>
      </c>
      <c r="B173" s="12" t="n">
        <v>46199</v>
      </c>
      <c r="C173" s="10" t="inlineStr">
        <is>
          <t>RDO380</t>
        </is>
      </c>
      <c r="D173" s="10" t="inlineStr">
        <is>
          <t>ENGECOM PARA</t>
        </is>
      </c>
      <c r="E173" s="10" t="inlineStr">
        <is>
          <t>Marabá</t>
        </is>
      </c>
      <c r="F173" s="10" t="inlineStr">
        <is>
          <t>Preventiva MARABA</t>
        </is>
      </c>
      <c r="G173" s="10" t="inlineStr">
        <is>
          <t>Jose Domingos Lopes</t>
        </is>
      </c>
      <c r="H173" s="10" t="inlineStr">
        <is>
          <t>2.1.8</t>
        </is>
      </c>
      <c r="I173" s="10" t="inlineStr">
        <is>
          <t>Recuperação De Drenagem Tipop Sarjeta/Meio-Fio Em Plataforma, Limitando-Se A 100M De Extensão</t>
        </is>
      </c>
      <c r="J173" s="10" t="inlineStr">
        <is>
          <t>M</t>
        </is>
      </c>
      <c r="K173" s="13" t="n">
        <v>100</v>
      </c>
      <c r="L173" s="10" t="n">
        <v>4</v>
      </c>
      <c r="M173" s="13" t="n">
        <v>1</v>
      </c>
      <c r="N173" s="13" t="n">
        <v>5.88235294117647</v>
      </c>
      <c r="O173" s="13">
        <f>IF(N173=0,0,K173/(L173*N173))</f>
        <v/>
      </c>
      <c r="P173" s="13">
        <f>IF(O173=0,0,K173/(L173*O173))</f>
        <v/>
      </c>
      <c r="Q173" s="14">
        <f>IF(M173=0,0,P173/M173)</f>
        <v/>
      </c>
      <c r="R173" s="13">
        <f>L173*O173</f>
        <v/>
      </c>
    </row>
    <row r="174">
      <c r="A174" s="12" t="n">
        <v>46199</v>
      </c>
      <c r="B174" s="12" t="n">
        <v>46199</v>
      </c>
      <c r="C174" s="10" t="inlineStr">
        <is>
          <t>RDO380</t>
        </is>
      </c>
      <c r="D174" s="10" t="inlineStr">
        <is>
          <t>ENGECOM PARA</t>
        </is>
      </c>
      <c r="E174" s="10" t="inlineStr">
        <is>
          <t>Marabá</t>
        </is>
      </c>
      <c r="F174" s="10" t="inlineStr">
        <is>
          <t>Preventiva MARABA</t>
        </is>
      </c>
      <c r="G174" s="10" t="inlineStr">
        <is>
          <t>Jose Domingos Lopes</t>
        </is>
      </c>
      <c r="H174" s="10" t="inlineStr">
        <is>
          <t>2.2.1</t>
        </is>
      </c>
      <c r="I174" s="10" t="inlineStr">
        <is>
          <t>Roçada</t>
        </is>
      </c>
      <c r="J174" s="10" t="inlineStr">
        <is>
          <t>M2</t>
        </is>
      </c>
      <c r="K174" s="13" t="n">
        <v>511.44</v>
      </c>
      <c r="L174" s="10" t="n">
        <v>9</v>
      </c>
      <c r="M174" s="13" t="n">
        <v>50</v>
      </c>
      <c r="N174" s="13" t="n">
        <v>13.3709803921569</v>
      </c>
      <c r="O174" s="13">
        <f>IF(N174=0,0,K174/(L174*N174))</f>
        <v/>
      </c>
      <c r="P174" s="13">
        <f>IF(O174=0,0,K174/(L174*O174))</f>
        <v/>
      </c>
      <c r="Q174" s="14">
        <f>IF(M174=0,0,P174/M174)</f>
        <v/>
      </c>
      <c r="R174" s="13">
        <f>L174*O174</f>
        <v/>
      </c>
    </row>
    <row r="175">
      <c r="A175" s="12" t="n">
        <v>46199</v>
      </c>
      <c r="B175" s="12" t="n">
        <v>46199</v>
      </c>
      <c r="C175" s="10" t="inlineStr">
        <is>
          <t>RDO380</t>
        </is>
      </c>
      <c r="D175" s="10" t="inlineStr">
        <is>
          <t>ENGECOM PARA</t>
        </is>
      </c>
      <c r="E175" s="10" t="inlineStr">
        <is>
          <t>Marabá</t>
        </is>
      </c>
      <c r="F175" s="10" t="inlineStr">
        <is>
          <t>Preventiva MARABA</t>
        </is>
      </c>
      <c r="G175" s="10" t="inlineStr">
        <is>
          <t>Jose Domingos Lopes</t>
        </is>
      </c>
      <c r="H175" s="10" t="inlineStr">
        <is>
          <t>2.1.3</t>
        </is>
      </c>
      <c r="I175" s="10" t="inlineStr">
        <is>
          <t>Limpeza De Canaleta Em Corte E Aterro Ate Meia Seção</t>
        </is>
      </c>
      <c r="J175" s="10" t="inlineStr">
        <is>
          <t>M</t>
        </is>
      </c>
      <c r="K175" s="13" t="n">
        <v>174.2</v>
      </c>
      <c r="L175" s="10" t="n">
        <v>11</v>
      </c>
      <c r="M175" s="13" t="n">
        <v>15</v>
      </c>
      <c r="N175" s="13" t="n">
        <v>7.91818181818182</v>
      </c>
      <c r="O175" s="13">
        <f>IF(N175=0,0,K175/(L175*N175))</f>
        <v/>
      </c>
      <c r="P175" s="13">
        <f>IF(O175=0,0,K175/(L175*O175))</f>
        <v/>
      </c>
      <c r="Q175" s="14">
        <f>IF(M175=0,0,P175/M175)</f>
        <v/>
      </c>
      <c r="R175" s="13">
        <f>L175*O175</f>
        <v/>
      </c>
    </row>
    <row r="176">
      <c r="A176" s="12" t="n">
        <v>46199</v>
      </c>
      <c r="B176" s="12" t="n">
        <v>46199</v>
      </c>
      <c r="C176" s="10" t="inlineStr">
        <is>
          <t>RDO361</t>
        </is>
      </c>
      <c r="D176" s="10" t="inlineStr">
        <is>
          <t>ENGECOM PARA</t>
        </is>
      </c>
      <c r="E176" s="10" t="inlineStr">
        <is>
          <t>Parauapebas</t>
        </is>
      </c>
      <c r="F176" s="10" t="inlineStr">
        <is>
          <t>Preventiva PARAUAPEBAS</t>
        </is>
      </c>
      <c r="G176" s="10" t="inlineStr">
        <is>
          <t>Leandro Soares Dias</t>
        </is>
      </c>
      <c r="H176" s="10" t="inlineStr">
        <is>
          <t>2.2.1</t>
        </is>
      </c>
      <c r="I176" s="10" t="inlineStr">
        <is>
          <t>Roçada</t>
        </is>
      </c>
      <c r="J176" s="10" t="inlineStr">
        <is>
          <t>M2</t>
        </is>
      </c>
      <c r="K176" s="13" t="n">
        <v>2923.61</v>
      </c>
      <c r="L176" s="10" t="n">
        <v>11</v>
      </c>
      <c r="M176" s="13" t="n">
        <v>50</v>
      </c>
      <c r="N176" s="13" t="n">
        <v>75.9379220779221</v>
      </c>
      <c r="O176" s="13">
        <f>IF(N176=0,0,K176/(L176*N176))</f>
        <v/>
      </c>
      <c r="P176" s="13">
        <f>IF(O176=0,0,K176/(L176*O176))</f>
        <v/>
      </c>
      <c r="Q176" s="14">
        <f>IF(M176=0,0,P176/M176)</f>
        <v/>
      </c>
      <c r="R176" s="13">
        <f>L176*O176</f>
        <v/>
      </c>
    </row>
    <row r="177">
      <c r="A177" s="12" t="n">
        <v>46199</v>
      </c>
      <c r="B177" s="12" t="n">
        <v>46199</v>
      </c>
      <c r="C177" s="10" t="inlineStr">
        <is>
          <t>RDO361</t>
        </is>
      </c>
      <c r="D177" s="10" t="inlineStr">
        <is>
          <t>ENGECOM PARA</t>
        </is>
      </c>
      <c r="E177" s="10" t="inlineStr">
        <is>
          <t>Parauapebas</t>
        </is>
      </c>
      <c r="F177" s="10" t="inlineStr">
        <is>
          <t>Preventiva PARAUAPEBAS</t>
        </is>
      </c>
      <c r="G177" s="10" t="inlineStr">
        <is>
          <t>Leandro Soares Dias</t>
        </is>
      </c>
      <c r="H177" s="10" t="inlineStr">
        <is>
          <t>2.1.5</t>
        </is>
      </c>
      <c r="I177" s="10" t="inlineStr">
        <is>
          <t>Limpeza De Valeta, Sarjetas E Meio Fio</t>
        </is>
      </c>
      <c r="J177" s="10" t="inlineStr">
        <is>
          <t>M</t>
        </is>
      </c>
      <c r="K177" s="13" t="n">
        <v>667.1</v>
      </c>
      <c r="L177" s="10" t="n">
        <v>11</v>
      </c>
      <c r="M177" s="13" t="n">
        <v>9</v>
      </c>
      <c r="N177" s="13" t="n">
        <v>40.430303030303</v>
      </c>
      <c r="O177" s="13">
        <f>IF(N177=0,0,K177/(L177*N177))</f>
        <v/>
      </c>
      <c r="P177" s="13">
        <f>IF(O177=0,0,K177/(L177*O177))</f>
        <v/>
      </c>
      <c r="Q177" s="14">
        <f>IF(M177=0,0,P177/M177)</f>
        <v/>
      </c>
      <c r="R177" s="13">
        <f>L177*O177</f>
        <v/>
      </c>
    </row>
    <row r="178">
      <c r="A178" s="12" t="n">
        <v>46199</v>
      </c>
      <c r="B178" s="12" t="n">
        <v>46199</v>
      </c>
      <c r="C178" s="10" t="inlineStr">
        <is>
          <t>RDO361</t>
        </is>
      </c>
      <c r="D178" s="10" t="inlineStr">
        <is>
          <t>ENGECOM PARA</t>
        </is>
      </c>
      <c r="E178" s="10" t="inlineStr">
        <is>
          <t>Parauapebas</t>
        </is>
      </c>
      <c r="F178" s="10" t="inlineStr">
        <is>
          <t>Preventiva PARAUAPEBAS</t>
        </is>
      </c>
      <c r="G178" s="10" t="inlineStr">
        <is>
          <t>Leandro Soares Dias</t>
        </is>
      </c>
      <c r="H178" s="10" t="inlineStr">
        <is>
          <t>2.1.3</t>
        </is>
      </c>
      <c r="I178" s="10" t="inlineStr">
        <is>
          <t>Limpeza De Canaleta Em Corte E Aterro Ate Meia Seção</t>
        </is>
      </c>
      <c r="J178" s="10" t="inlineStr">
        <is>
          <t>M</t>
        </is>
      </c>
      <c r="K178" s="13" t="n">
        <v>121.4</v>
      </c>
      <c r="L178" s="10" t="n">
        <v>11</v>
      </c>
      <c r="M178" s="13" t="n">
        <v>15</v>
      </c>
      <c r="N178" s="13" t="n">
        <v>11.0363636363636</v>
      </c>
      <c r="O178" s="13">
        <f>IF(N178=0,0,K178/(L178*N178))</f>
        <v/>
      </c>
      <c r="P178" s="13">
        <f>IF(O178=0,0,K178/(L178*O178))</f>
        <v/>
      </c>
      <c r="Q178" s="14">
        <f>IF(M178=0,0,P178/M178)</f>
        <v/>
      </c>
      <c r="R178" s="13">
        <f>L178*O178</f>
        <v/>
      </c>
    </row>
    <row r="179">
      <c r="A179" s="12" t="n">
        <v>46202</v>
      </c>
      <c r="B179" s="12" t="n">
        <v>46202</v>
      </c>
      <c r="C179" s="10" t="inlineStr">
        <is>
          <t>RDO381</t>
        </is>
      </c>
      <c r="D179" s="10" t="inlineStr">
        <is>
          <t>ENGECOM PARA</t>
        </is>
      </c>
      <c r="E179" s="10" t="inlineStr">
        <is>
          <t>Marabá</t>
        </is>
      </c>
      <c r="F179" s="10" t="inlineStr">
        <is>
          <t>Preventiva MARABA</t>
        </is>
      </c>
      <c r="G179" s="10" t="inlineStr">
        <is>
          <t>Jose Domingos Lopes</t>
        </is>
      </c>
      <c r="H179" s="10" t="inlineStr">
        <is>
          <t>2.2.1</t>
        </is>
      </c>
      <c r="I179" s="10" t="inlineStr">
        <is>
          <t>Roçada</t>
        </is>
      </c>
      <c r="J179" s="10" t="inlineStr">
        <is>
          <t>M2</t>
        </is>
      </c>
      <c r="K179" s="13" t="n">
        <v>1579.06</v>
      </c>
      <c r="L179" s="10" t="n">
        <v>9</v>
      </c>
      <c r="M179" s="13" t="n">
        <v>50</v>
      </c>
      <c r="N179" s="13" t="n">
        <v>87.7255555555556</v>
      </c>
      <c r="O179" s="13">
        <f>IF(N179=0,0,K179/(L179*N179))</f>
        <v/>
      </c>
      <c r="P179" s="13">
        <f>IF(O179=0,0,K179/(L179*O179))</f>
        <v/>
      </c>
      <c r="Q179" s="14">
        <f>IF(M179=0,0,P179/M179)</f>
        <v/>
      </c>
      <c r="R179" s="13">
        <f>L179*O179</f>
        <v/>
      </c>
    </row>
    <row r="180">
      <c r="A180" s="12" t="n">
        <v>46202</v>
      </c>
      <c r="B180" s="12" t="n">
        <v>46202</v>
      </c>
      <c r="C180" s="10" t="inlineStr">
        <is>
          <t>RDO381</t>
        </is>
      </c>
      <c r="D180" s="10" t="inlineStr">
        <is>
          <t>ENGECOM PARA</t>
        </is>
      </c>
      <c r="E180" s="10" t="inlineStr">
        <is>
          <t>Marabá</t>
        </is>
      </c>
      <c r="F180" s="10" t="inlineStr">
        <is>
          <t>Preventiva MARABA</t>
        </is>
      </c>
      <c r="G180" s="10" t="inlineStr">
        <is>
          <t>Jose Domingos Lopes</t>
        </is>
      </c>
      <c r="H180" s="10" t="inlineStr">
        <is>
          <t>2.1.3</t>
        </is>
      </c>
      <c r="I180" s="10" t="inlineStr">
        <is>
          <t>Limpeza De Canaleta Em Corte E Aterro Ate Meia Seção</t>
        </is>
      </c>
      <c r="J180" s="10" t="inlineStr">
        <is>
          <t>M</t>
        </is>
      </c>
      <c r="K180" s="13" t="n">
        <v>181.5</v>
      </c>
      <c r="L180" s="10" t="n">
        <v>9</v>
      </c>
      <c r="M180" s="13" t="n">
        <v>15</v>
      </c>
      <c r="N180" s="13" t="n">
        <v>26.8888888888889</v>
      </c>
      <c r="O180" s="13">
        <f>IF(N180=0,0,K180/(L180*N180))</f>
        <v/>
      </c>
      <c r="P180" s="13">
        <f>IF(O180=0,0,K180/(L180*O180))</f>
        <v/>
      </c>
      <c r="Q180" s="14">
        <f>IF(M180=0,0,P180/M180)</f>
        <v/>
      </c>
      <c r="R180" s="13">
        <f>L180*O180</f>
        <v/>
      </c>
    </row>
    <row r="181">
      <c r="A181" s="12" t="n">
        <v>46202</v>
      </c>
      <c r="B181" s="12" t="n">
        <v>46202</v>
      </c>
      <c r="C181" s="10" t="inlineStr">
        <is>
          <t>RDO381</t>
        </is>
      </c>
      <c r="D181" s="10" t="inlineStr">
        <is>
          <t>ENGECOM PARA</t>
        </is>
      </c>
      <c r="E181" s="10" t="inlineStr">
        <is>
          <t>Marabá</t>
        </is>
      </c>
      <c r="F181" s="10" t="inlineStr">
        <is>
          <t>Preventiva MARABA</t>
        </is>
      </c>
      <c r="G181" s="10" t="inlineStr">
        <is>
          <t>Jose Domingos Lopes</t>
        </is>
      </c>
      <c r="H181" s="10" t="inlineStr">
        <is>
          <t>2.1.5</t>
        </is>
      </c>
      <c r="I181" s="10" t="inlineStr">
        <is>
          <t>Limpeza De Valeta, Sarjetas E Meio Fio</t>
        </is>
      </c>
      <c r="J181" s="10" t="inlineStr">
        <is>
          <t>M</t>
        </is>
      </c>
      <c r="K181" s="13" t="n">
        <v>286.6</v>
      </c>
      <c r="L181" s="10" t="n">
        <v>9</v>
      </c>
      <c r="M181" s="13" t="n">
        <v>9</v>
      </c>
      <c r="N181" s="13" t="n">
        <v>42.4592592592593</v>
      </c>
      <c r="O181" s="13">
        <f>IF(N181=0,0,K181/(L181*N181))</f>
        <v/>
      </c>
      <c r="P181" s="13">
        <f>IF(O181=0,0,K181/(L181*O181))</f>
        <v/>
      </c>
      <c r="Q181" s="14">
        <f>IF(M181=0,0,P181/M181)</f>
        <v/>
      </c>
      <c r="R181" s="13">
        <f>L181*O181</f>
        <v/>
      </c>
    </row>
    <row r="182">
      <c r="A182" s="12" t="n">
        <v>46202</v>
      </c>
      <c r="B182" s="12" t="n">
        <v>46202</v>
      </c>
      <c r="C182" s="10" t="inlineStr">
        <is>
          <t>RDO364</t>
        </is>
      </c>
      <c r="D182" s="10" t="inlineStr">
        <is>
          <t>ENGECOM PARA</t>
        </is>
      </c>
      <c r="E182" s="10" t="inlineStr">
        <is>
          <t>Parauapebas</t>
        </is>
      </c>
      <c r="F182" s="10" t="inlineStr">
        <is>
          <t>Preventiva PARAUAPEBAS</t>
        </is>
      </c>
      <c r="G182" s="10" t="inlineStr">
        <is>
          <t>Leandro Soares Dias</t>
        </is>
      </c>
      <c r="H182" s="10" t="inlineStr">
        <is>
          <t>2.2.1</t>
        </is>
      </c>
      <c r="I182" s="10" t="inlineStr">
        <is>
          <t>Roçada</t>
        </is>
      </c>
      <c r="J182" s="10" t="inlineStr">
        <is>
          <t>M2</t>
        </is>
      </c>
      <c r="K182" s="13" t="n">
        <v>597.3099999999999</v>
      </c>
      <c r="L182" s="10" t="n">
        <v>11</v>
      </c>
      <c r="M182" s="13" t="n">
        <v>50</v>
      </c>
      <c r="N182" s="13" t="n">
        <v>36.2006060606061</v>
      </c>
      <c r="O182" s="13">
        <f>IF(N182=0,0,K182/(L182*N182))</f>
        <v/>
      </c>
      <c r="P182" s="13">
        <f>IF(O182=0,0,K182/(L182*O182))</f>
        <v/>
      </c>
      <c r="Q182" s="14">
        <f>IF(M182=0,0,P182/M182)</f>
        <v/>
      </c>
      <c r="R182" s="13">
        <f>L182*O182</f>
        <v/>
      </c>
    </row>
    <row r="183">
      <c r="A183" s="12" t="n">
        <v>46202</v>
      </c>
      <c r="B183" s="12" t="n">
        <v>46202</v>
      </c>
      <c r="C183" s="10" t="inlineStr">
        <is>
          <t>RDO364</t>
        </is>
      </c>
      <c r="D183" s="10" t="inlineStr">
        <is>
          <t>ENGECOM PARA</t>
        </is>
      </c>
      <c r="E183" s="10" t="inlineStr">
        <is>
          <t>Parauapebas</t>
        </is>
      </c>
      <c r="F183" s="10" t="inlineStr">
        <is>
          <t>Preventiva PARAUAPEBAS</t>
        </is>
      </c>
      <c r="G183" s="10" t="inlineStr">
        <is>
          <t>Leandro Soares Dias</t>
        </is>
      </c>
      <c r="H183" s="10" t="inlineStr">
        <is>
          <t>2.1.5</t>
        </is>
      </c>
      <c r="I183" s="10" t="inlineStr">
        <is>
          <t>Limpeza De Valeta, Sarjetas E Meio Fio</t>
        </is>
      </c>
      <c r="J183" s="10" t="inlineStr">
        <is>
          <t>M</t>
        </is>
      </c>
      <c r="K183" s="13" t="n">
        <v>203.1</v>
      </c>
      <c r="L183" s="10" t="n">
        <v>11</v>
      </c>
      <c r="M183" s="13" t="n">
        <v>9</v>
      </c>
      <c r="N183" s="13" t="n">
        <v>12.3090909090909</v>
      </c>
      <c r="O183" s="13">
        <f>IF(N183=0,0,K183/(L183*N183))</f>
        <v/>
      </c>
      <c r="P183" s="13">
        <f>IF(O183=0,0,K183/(L183*O183))</f>
        <v/>
      </c>
      <c r="Q183" s="14">
        <f>IF(M183=0,0,P183/M183)</f>
        <v/>
      </c>
      <c r="R183" s="13">
        <f>L183*O183</f>
        <v/>
      </c>
    </row>
    <row r="184">
      <c r="A184" s="12" t="n">
        <v>46203</v>
      </c>
      <c r="B184" s="12" t="n">
        <v>46203</v>
      </c>
      <c r="C184" s="10" t="inlineStr">
        <is>
          <t>RDO382</t>
        </is>
      </c>
      <c r="D184" s="10" t="inlineStr">
        <is>
          <t>ENGECOM PARA</t>
        </is>
      </c>
      <c r="E184" s="10" t="inlineStr">
        <is>
          <t>Marabá</t>
        </is>
      </c>
      <c r="F184" s="10" t="inlineStr">
        <is>
          <t>Preventiva MARABA</t>
        </is>
      </c>
      <c r="G184" s="10" t="inlineStr">
        <is>
          <t>Jose Domingos Lopes</t>
        </is>
      </c>
      <c r="H184" s="10" t="inlineStr">
        <is>
          <t>2.2.1</t>
        </is>
      </c>
      <c r="I184" s="10" t="inlineStr">
        <is>
          <t>Roçada</t>
        </is>
      </c>
      <c r="J184" s="10" t="inlineStr">
        <is>
          <t>M2</t>
        </is>
      </c>
      <c r="K184" s="13" t="n">
        <v>426</v>
      </c>
      <c r="L184" s="10" t="n">
        <v>10</v>
      </c>
      <c r="M184" s="13" t="n">
        <v>50</v>
      </c>
      <c r="N184" s="13" t="n">
        <v>56.8</v>
      </c>
      <c r="O184" s="13">
        <f>IF(N184=0,0,K184/(L184*N184))</f>
        <v/>
      </c>
      <c r="P184" s="13">
        <f>IF(O184=0,0,K184/(L184*O184))</f>
        <v/>
      </c>
      <c r="Q184" s="14">
        <f>IF(M184=0,0,P184/M184)</f>
        <v/>
      </c>
      <c r="R184" s="13">
        <f>L184*O184</f>
        <v/>
      </c>
    </row>
    <row r="185">
      <c r="A185" s="12" t="n">
        <v>46203</v>
      </c>
      <c r="B185" s="12" t="n">
        <v>46203</v>
      </c>
      <c r="C185" s="10" t="inlineStr">
        <is>
          <t>RDO382</t>
        </is>
      </c>
      <c r="D185" s="10" t="inlineStr">
        <is>
          <t>ENGECOM PARA</t>
        </is>
      </c>
      <c r="E185" s="10" t="inlineStr">
        <is>
          <t>Marabá</t>
        </is>
      </c>
      <c r="F185" s="10" t="inlineStr">
        <is>
          <t>Preventiva MARABA</t>
        </is>
      </c>
      <c r="G185" s="10" t="inlineStr">
        <is>
          <t>Jose Domingos Lopes</t>
        </is>
      </c>
      <c r="H185" s="10" t="inlineStr">
        <is>
          <t>2.1.3</t>
        </is>
      </c>
      <c r="I185" s="10" t="inlineStr">
        <is>
          <t>Limpeza De Canaleta Em Corte E Aterro Ate Meia Seção</t>
        </is>
      </c>
      <c r="J185" s="10" t="inlineStr">
        <is>
          <t>M</t>
        </is>
      </c>
      <c r="K185" s="13" t="n">
        <v>213</v>
      </c>
      <c r="L185" s="10" t="n">
        <v>10</v>
      </c>
      <c r="M185" s="13" t="n">
        <v>15</v>
      </c>
      <c r="N185" s="13" t="n">
        <v>12.1714285714286</v>
      </c>
      <c r="O185" s="13">
        <f>IF(N185=0,0,K185/(L185*N185))</f>
        <v/>
      </c>
      <c r="P185" s="13">
        <f>IF(O185=0,0,K185/(L185*O185))</f>
        <v/>
      </c>
      <c r="Q185" s="14">
        <f>IF(M185=0,0,P185/M185)</f>
        <v/>
      </c>
      <c r="R185" s="13">
        <f>L185*O185</f>
        <v/>
      </c>
    </row>
    <row r="186">
      <c r="A186" s="12" t="n">
        <v>46203</v>
      </c>
      <c r="B186" s="12" t="n">
        <v>46203</v>
      </c>
      <c r="C186" s="10" t="inlineStr">
        <is>
          <t>RDO382</t>
        </is>
      </c>
      <c r="D186" s="10" t="inlineStr">
        <is>
          <t>ENGECOM PARA</t>
        </is>
      </c>
      <c r="E186" s="10" t="inlineStr">
        <is>
          <t>Marabá</t>
        </is>
      </c>
      <c r="F186" s="10" t="inlineStr">
        <is>
          <t>Preventiva MARABA</t>
        </is>
      </c>
      <c r="G186" s="10" t="inlineStr">
        <is>
          <t>Jose Domingos Lopes</t>
        </is>
      </c>
      <c r="H186" s="10" t="inlineStr">
        <is>
          <t>2.1.7</t>
        </is>
      </c>
      <c r="I186" s="10" t="inlineStr">
        <is>
          <t>Recuperação De Drenagem Tipo Canaleta/Valeta Em Taludes, Limitando-Se A 100M De Extensão</t>
        </is>
      </c>
      <c r="J186" s="10" t="inlineStr">
        <is>
          <t>M</t>
        </is>
      </c>
      <c r="K186" s="13" t="n">
        <v>6.7</v>
      </c>
      <c r="L186" s="10" t="n">
        <v>2</v>
      </c>
      <c r="M186" s="13" t="n">
        <v>1</v>
      </c>
      <c r="N186" s="13" t="n">
        <v>3.35</v>
      </c>
      <c r="O186" s="13">
        <f>IF(N186=0,0,K186/(L186*N186))</f>
        <v/>
      </c>
      <c r="P186" s="13">
        <f>IF(O186=0,0,K186/(L186*O186))</f>
        <v/>
      </c>
      <c r="Q186" s="14">
        <f>IF(M186=0,0,P186/M186)</f>
        <v/>
      </c>
      <c r="R186" s="13">
        <f>L186*O186</f>
        <v/>
      </c>
    </row>
    <row r="187">
      <c r="A187" s="12" t="n">
        <v>46203</v>
      </c>
      <c r="B187" s="12" t="n">
        <v>46203</v>
      </c>
      <c r="C187" s="10" t="inlineStr">
        <is>
          <t>RDO382</t>
        </is>
      </c>
      <c r="D187" s="10" t="inlineStr">
        <is>
          <t>ENGECOM PARA</t>
        </is>
      </c>
      <c r="E187" s="10" t="inlineStr">
        <is>
          <t>Marabá</t>
        </is>
      </c>
      <c r="F187" s="10" t="inlineStr">
        <is>
          <t>Preventiva MARABA</t>
        </is>
      </c>
      <c r="G187" s="10" t="inlineStr">
        <is>
          <t>Jose Domingos Lopes</t>
        </is>
      </c>
      <c r="H187" s="10" t="inlineStr">
        <is>
          <t>2.2.1</t>
        </is>
      </c>
      <c r="I187" s="10" t="inlineStr">
        <is>
          <t>Roçada</t>
        </is>
      </c>
      <c r="J187" s="10" t="inlineStr">
        <is>
          <t>M2</t>
        </is>
      </c>
      <c r="K187" s="13" t="n">
        <v>386</v>
      </c>
      <c r="L187" s="10" t="n">
        <v>10</v>
      </c>
      <c r="M187" s="13" t="n">
        <v>50</v>
      </c>
      <c r="N187" s="13" t="n">
        <v>19.3</v>
      </c>
      <c r="O187" s="13">
        <f>IF(N187=0,0,K187/(L187*N187))</f>
        <v/>
      </c>
      <c r="P187" s="13">
        <f>IF(O187=0,0,K187/(L187*O187))</f>
        <v/>
      </c>
      <c r="Q187" s="14">
        <f>IF(M187=0,0,P187/M187)</f>
        <v/>
      </c>
      <c r="R187" s="13">
        <f>L187*O187</f>
        <v/>
      </c>
    </row>
    <row r="188">
      <c r="A188" s="12" t="n">
        <v>46203</v>
      </c>
      <c r="B188" s="12" t="n">
        <v>46203</v>
      </c>
      <c r="C188" s="10" t="inlineStr">
        <is>
          <t>RDO382</t>
        </is>
      </c>
      <c r="D188" s="10" t="inlineStr">
        <is>
          <t>ENGECOM PARA</t>
        </is>
      </c>
      <c r="E188" s="10" t="inlineStr">
        <is>
          <t>Marabá</t>
        </is>
      </c>
      <c r="F188" s="10" t="inlineStr">
        <is>
          <t>Preventiva MARABA</t>
        </is>
      </c>
      <c r="G188" s="10" t="inlineStr">
        <is>
          <t>Jose Domingos Lopes</t>
        </is>
      </c>
      <c r="H188" s="10" t="inlineStr">
        <is>
          <t>2.2.1</t>
        </is>
      </c>
      <c r="I188" s="10" t="inlineStr">
        <is>
          <t>Roçada</t>
        </is>
      </c>
      <c r="J188" s="10" t="inlineStr">
        <is>
          <t>M2</t>
        </is>
      </c>
      <c r="K188" s="13" t="n">
        <v>330</v>
      </c>
      <c r="L188" s="10" t="n">
        <v>10</v>
      </c>
      <c r="M188" s="13" t="n">
        <v>50</v>
      </c>
      <c r="N188" s="13" t="n">
        <v>16.5</v>
      </c>
      <c r="O188" s="13">
        <f>IF(N188=0,0,K188/(L188*N188))</f>
        <v/>
      </c>
      <c r="P188" s="13">
        <f>IF(O188=0,0,K188/(L188*O188))</f>
        <v/>
      </c>
      <c r="Q188" s="14">
        <f>IF(M188=0,0,P188/M188)</f>
        <v/>
      </c>
      <c r="R188" s="13">
        <f>L188*O188</f>
        <v/>
      </c>
    </row>
    <row r="189">
      <c r="A189" s="12" t="n">
        <v>46203</v>
      </c>
      <c r="B189" s="12" t="n">
        <v>46203</v>
      </c>
      <c r="C189" s="10" t="inlineStr">
        <is>
          <t>RDO394</t>
        </is>
      </c>
      <c r="D189" s="10" t="inlineStr">
        <is>
          <t>ENGECOM PARA</t>
        </is>
      </c>
      <c r="E189" s="10" t="inlineStr">
        <is>
          <t>Parauapebas</t>
        </is>
      </c>
      <c r="F189" s="10" t="inlineStr">
        <is>
          <t>Preventiva PARAUAPEBAS</t>
        </is>
      </c>
      <c r="G189" s="10" t="inlineStr">
        <is>
          <t>Leandro Soares Dias</t>
        </is>
      </c>
      <c r="H189" s="10" t="inlineStr">
        <is>
          <t>2.2.1</t>
        </is>
      </c>
      <c r="I189" s="10" t="inlineStr">
        <is>
          <t>Roçada</t>
        </is>
      </c>
      <c r="J189" s="10" t="inlineStr">
        <is>
          <t>M2</t>
        </is>
      </c>
      <c r="K189" s="13" t="n">
        <v>2800.12</v>
      </c>
      <c r="L189" s="10" t="n">
        <v>11</v>
      </c>
      <c r="M189" s="13" t="n">
        <v>50</v>
      </c>
      <c r="N189" s="13" t="n">
        <v>72.73038961038959</v>
      </c>
      <c r="O189" s="13">
        <f>IF(N189=0,0,K189/(L189*N189))</f>
        <v/>
      </c>
      <c r="P189" s="13">
        <f>IF(O189=0,0,K189/(L189*O189))</f>
        <v/>
      </c>
      <c r="Q189" s="14">
        <f>IF(M189=0,0,P189/M189)</f>
        <v/>
      </c>
      <c r="R189" s="13">
        <f>L189*O189</f>
        <v/>
      </c>
    </row>
    <row r="190">
      <c r="A190" s="12" t="n">
        <v>46203</v>
      </c>
      <c r="B190" s="12" t="n">
        <v>46203</v>
      </c>
      <c r="C190" s="10" t="inlineStr">
        <is>
          <t>RDO394</t>
        </is>
      </c>
      <c r="D190" s="10" t="inlineStr">
        <is>
          <t>ENGECOM PARA</t>
        </is>
      </c>
      <c r="E190" s="10" t="inlineStr">
        <is>
          <t>Parauapebas</t>
        </is>
      </c>
      <c r="F190" s="10" t="inlineStr">
        <is>
          <t>Preventiva PARAUAPEBAS</t>
        </is>
      </c>
      <c r="G190" s="10" t="inlineStr">
        <is>
          <t>Leandro Soares Dias</t>
        </is>
      </c>
      <c r="H190" s="10" t="inlineStr">
        <is>
          <t>2.1.5</t>
        </is>
      </c>
      <c r="I190" s="10" t="inlineStr">
        <is>
          <t>Limpeza De Valeta, Sarjetas E Meio Fio</t>
        </is>
      </c>
      <c r="J190" s="10" t="inlineStr">
        <is>
          <t>M</t>
        </is>
      </c>
      <c r="K190" s="13" t="n">
        <v>432.5</v>
      </c>
      <c r="L190" s="10" t="n">
        <v>11</v>
      </c>
      <c r="M190" s="13" t="n">
        <v>9</v>
      </c>
      <c r="N190" s="13" t="n">
        <v>11.2337662337662</v>
      </c>
      <c r="O190" s="13">
        <f>IF(N190=0,0,K190/(L190*N190))</f>
        <v/>
      </c>
      <c r="P190" s="13">
        <f>IF(O190=0,0,K190/(L190*O190))</f>
        <v/>
      </c>
      <c r="Q190" s="14">
        <f>IF(M190=0,0,P190/M190)</f>
        <v/>
      </c>
      <c r="R190" s="13">
        <f>L190*O190</f>
        <v/>
      </c>
    </row>
    <row r="191">
      <c r="A191" s="12" t="n">
        <v>46204</v>
      </c>
      <c r="B191" s="12" t="n">
        <v>46204</v>
      </c>
      <c r="C191" s="10" t="inlineStr">
        <is>
          <t>RDO387</t>
        </is>
      </c>
      <c r="D191" s="10" t="inlineStr">
        <is>
          <t>ENGECOM PARA</t>
        </is>
      </c>
      <c r="E191" s="10" t="inlineStr">
        <is>
          <t>Marabá</t>
        </is>
      </c>
      <c r="F191" s="10" t="inlineStr">
        <is>
          <t>Preventiva MARABA</t>
        </is>
      </c>
      <c r="G191" s="10" t="inlineStr">
        <is>
          <t>Jose Domingos Lopes</t>
        </is>
      </c>
      <c r="H191" s="10" t="inlineStr">
        <is>
          <t>2.2.1</t>
        </is>
      </c>
      <c r="I191" s="10" t="inlineStr">
        <is>
          <t>Roçada</t>
        </is>
      </c>
      <c r="J191" s="10" t="inlineStr">
        <is>
          <t>M2</t>
        </is>
      </c>
      <c r="K191" s="13" t="n">
        <v>1486.8</v>
      </c>
      <c r="L191" s="10" t="n">
        <v>6</v>
      </c>
      <c r="M191" s="13" t="n">
        <v>50</v>
      </c>
      <c r="N191" s="13" t="n">
        <v>123.9</v>
      </c>
      <c r="O191" s="13">
        <f>IF(N191=0,0,K191/(L191*N191))</f>
        <v/>
      </c>
      <c r="P191" s="13">
        <f>IF(O191=0,0,K191/(L191*O191))</f>
        <v/>
      </c>
      <c r="Q191" s="14">
        <f>IF(M191=0,0,P191/M191)</f>
        <v/>
      </c>
      <c r="R191" s="13">
        <f>L191*O191</f>
        <v/>
      </c>
    </row>
    <row r="192">
      <c r="A192" s="12" t="n">
        <v>46204</v>
      </c>
      <c r="B192" s="12" t="n">
        <v>46204</v>
      </c>
      <c r="C192" s="10" t="inlineStr">
        <is>
          <t>RDO387</t>
        </is>
      </c>
      <c r="D192" s="10" t="inlineStr">
        <is>
          <t>ENGECOM PARA</t>
        </is>
      </c>
      <c r="E192" s="10" t="inlineStr">
        <is>
          <t>Marabá</t>
        </is>
      </c>
      <c r="F192" s="10" t="inlineStr">
        <is>
          <t>Preventiva MARABA</t>
        </is>
      </c>
      <c r="G192" s="10" t="inlineStr">
        <is>
          <t>Jose Domingos Lopes</t>
        </is>
      </c>
      <c r="H192" s="10" t="inlineStr">
        <is>
          <t>2.1.3</t>
        </is>
      </c>
      <c r="I192" s="10" t="inlineStr">
        <is>
          <t>Limpeza De Canaleta Em Corte E Aterro Ate Meia Seção</t>
        </is>
      </c>
      <c r="J192" s="10" t="inlineStr">
        <is>
          <t>M</t>
        </is>
      </c>
      <c r="K192" s="13" t="n">
        <v>243</v>
      </c>
      <c r="L192" s="10" t="n">
        <v>6</v>
      </c>
      <c r="M192" s="13" t="n">
        <v>15</v>
      </c>
      <c r="N192" s="13" t="n">
        <v>27</v>
      </c>
      <c r="O192" s="13">
        <f>IF(N192=0,0,K192/(L192*N192))</f>
        <v/>
      </c>
      <c r="P192" s="13">
        <f>IF(O192=0,0,K192/(L192*O192))</f>
        <v/>
      </c>
      <c r="Q192" s="14">
        <f>IF(M192=0,0,P192/M192)</f>
        <v/>
      </c>
      <c r="R192" s="13">
        <f>L192*O192</f>
        <v/>
      </c>
    </row>
    <row r="193">
      <c r="A193" s="12" t="n">
        <v>46204</v>
      </c>
      <c r="B193" s="12" t="n">
        <v>46204</v>
      </c>
      <c r="C193" s="10" t="inlineStr">
        <is>
          <t>RDO387</t>
        </is>
      </c>
      <c r="D193" s="10" t="inlineStr">
        <is>
          <t>ENGECOM PARA</t>
        </is>
      </c>
      <c r="E193" s="10" t="inlineStr">
        <is>
          <t>Marabá</t>
        </is>
      </c>
      <c r="F193" s="10" t="inlineStr">
        <is>
          <t>Preventiva MARABA</t>
        </is>
      </c>
      <c r="G193" s="10" t="inlineStr">
        <is>
          <t>Jose Domingos Lopes</t>
        </is>
      </c>
      <c r="H193" s="10" t="inlineStr">
        <is>
          <t>2.2.1</t>
        </is>
      </c>
      <c r="I193" s="10" t="inlineStr">
        <is>
          <t>Roçada</t>
        </is>
      </c>
      <c r="J193" s="10" t="inlineStr">
        <is>
          <t>M2</t>
        </is>
      </c>
      <c r="K193" s="13" t="n">
        <v>460</v>
      </c>
      <c r="L193" s="10" t="n">
        <v>12</v>
      </c>
      <c r="M193" s="13" t="n">
        <v>50</v>
      </c>
      <c r="N193" s="13" t="n">
        <v>19.1666666666667</v>
      </c>
      <c r="O193" s="13">
        <f>IF(N193=0,0,K193/(L193*N193))</f>
        <v/>
      </c>
      <c r="P193" s="13">
        <f>IF(O193=0,0,K193/(L193*O193))</f>
        <v/>
      </c>
      <c r="Q193" s="14">
        <f>IF(M193=0,0,P193/M193)</f>
        <v/>
      </c>
      <c r="R193" s="13">
        <f>L193*O193</f>
        <v/>
      </c>
    </row>
    <row r="194">
      <c r="A194" s="12" t="n">
        <v>46204</v>
      </c>
      <c r="B194" s="12" t="n">
        <v>46204</v>
      </c>
      <c r="C194" s="10" t="inlineStr">
        <is>
          <t>RDO387</t>
        </is>
      </c>
      <c r="D194" s="10" t="inlineStr">
        <is>
          <t>ENGECOM PARA</t>
        </is>
      </c>
      <c r="E194" s="10" t="inlineStr">
        <is>
          <t>Marabá</t>
        </is>
      </c>
      <c r="F194" s="10" t="inlineStr">
        <is>
          <t>Preventiva MARABA</t>
        </is>
      </c>
      <c r="G194" s="10" t="inlineStr">
        <is>
          <t>Jose Domingos Lopes</t>
        </is>
      </c>
      <c r="H194" s="10" t="inlineStr">
        <is>
          <t>2.2.1</t>
        </is>
      </c>
      <c r="I194" s="10" t="inlineStr">
        <is>
          <t>Roçada</t>
        </is>
      </c>
      <c r="J194" s="10" t="inlineStr">
        <is>
          <t>M2</t>
        </is>
      </c>
      <c r="K194" s="13" t="n">
        <v>950</v>
      </c>
      <c r="L194" s="10" t="n">
        <v>12</v>
      </c>
      <c r="M194" s="13" t="n">
        <v>50</v>
      </c>
      <c r="N194" s="13" t="n">
        <v>39.5833333333333</v>
      </c>
      <c r="O194" s="13">
        <f>IF(N194=0,0,K194/(L194*N194))</f>
        <v/>
      </c>
      <c r="P194" s="13">
        <f>IF(O194=0,0,K194/(L194*O194))</f>
        <v/>
      </c>
      <c r="Q194" s="14">
        <f>IF(M194=0,0,P194/M194)</f>
        <v/>
      </c>
      <c r="R194" s="13">
        <f>L194*O194</f>
        <v/>
      </c>
    </row>
    <row r="195">
      <c r="A195" s="12" t="n">
        <v>46204</v>
      </c>
      <c r="B195" s="12" t="n">
        <v>46204</v>
      </c>
      <c r="C195" s="10" t="inlineStr">
        <is>
          <t>RDO367</t>
        </is>
      </c>
      <c r="D195" s="10" t="inlineStr">
        <is>
          <t>ENGECOM PARA</t>
        </is>
      </c>
      <c r="E195" s="10" t="inlineStr">
        <is>
          <t>Parauapebas</t>
        </is>
      </c>
      <c r="F195" s="10" t="inlineStr">
        <is>
          <t>Preventiva PARAUAPEBAS</t>
        </is>
      </c>
      <c r="G195" s="10" t="inlineStr">
        <is>
          <t>Leandro Soares Dias</t>
        </is>
      </c>
      <c r="H195" s="10" t="inlineStr">
        <is>
          <t>2.2.1</t>
        </is>
      </c>
      <c r="I195" s="10" t="inlineStr">
        <is>
          <t>Roçada</t>
        </is>
      </c>
      <c r="J195" s="10" t="inlineStr">
        <is>
          <t>M2</t>
        </is>
      </c>
      <c r="K195" s="13" t="n">
        <v>301</v>
      </c>
      <c r="L195" s="10" t="n">
        <v>11</v>
      </c>
      <c r="M195" s="13" t="n">
        <v>50</v>
      </c>
      <c r="N195" s="13" t="n">
        <v>6.84090909090909</v>
      </c>
      <c r="O195" s="13">
        <f>IF(N195=0,0,K195/(L195*N195))</f>
        <v/>
      </c>
      <c r="P195" s="13">
        <f>IF(O195=0,0,K195/(L195*O195))</f>
        <v/>
      </c>
      <c r="Q195" s="14">
        <f>IF(M195=0,0,P195/M195)</f>
        <v/>
      </c>
      <c r="R195" s="13">
        <f>L195*O195</f>
        <v/>
      </c>
    </row>
    <row r="196">
      <c r="A196" s="12" t="n">
        <v>46204</v>
      </c>
      <c r="B196" s="12" t="n">
        <v>46204</v>
      </c>
      <c r="C196" s="10" t="inlineStr">
        <is>
          <t>RDO367</t>
        </is>
      </c>
      <c r="D196" s="10" t="inlineStr">
        <is>
          <t>ENGECOM PARA</t>
        </is>
      </c>
      <c r="E196" s="10" t="inlineStr">
        <is>
          <t>Parauapebas</t>
        </is>
      </c>
      <c r="F196" s="10" t="inlineStr">
        <is>
          <t>Preventiva PARAUAPEBAS</t>
        </is>
      </c>
      <c r="G196" s="10" t="inlineStr">
        <is>
          <t>Leandro Soares Dias</t>
        </is>
      </c>
      <c r="H196" s="10" t="inlineStr">
        <is>
          <t>2.2.1</t>
        </is>
      </c>
      <c r="I196" s="10" t="inlineStr">
        <is>
          <t>Roçada</t>
        </is>
      </c>
      <c r="J196" s="10" t="inlineStr">
        <is>
          <t>M2</t>
        </is>
      </c>
      <c r="K196" s="13" t="n">
        <v>1820</v>
      </c>
      <c r="L196" s="10" t="n">
        <v>11</v>
      </c>
      <c r="M196" s="13" t="n">
        <v>50</v>
      </c>
      <c r="N196" s="13" t="n">
        <v>47.2727272727273</v>
      </c>
      <c r="O196" s="13">
        <f>IF(N196=0,0,K196/(L196*N196))</f>
        <v/>
      </c>
      <c r="P196" s="13">
        <f>IF(O196=0,0,K196/(L196*O196))</f>
        <v/>
      </c>
      <c r="Q196" s="14">
        <f>IF(M196=0,0,P196/M196)</f>
        <v/>
      </c>
      <c r="R196" s="13">
        <f>L196*O196</f>
        <v/>
      </c>
    </row>
    <row r="197">
      <c r="A197" s="12" t="n">
        <v>46205</v>
      </c>
      <c r="B197" s="12" t="n">
        <v>46205</v>
      </c>
      <c r="C197" s="10" t="inlineStr">
        <is>
          <t>RDO386</t>
        </is>
      </c>
      <c r="D197" s="10" t="inlineStr">
        <is>
          <t>ENGECOM PARA</t>
        </is>
      </c>
      <c r="E197" s="10" t="inlineStr">
        <is>
          <t>Marabá</t>
        </is>
      </c>
      <c r="F197" s="10" t="inlineStr">
        <is>
          <t>Preventiva MARABA</t>
        </is>
      </c>
      <c r="G197" s="10" t="inlineStr">
        <is>
          <t>Jose Domingos Lopes</t>
        </is>
      </c>
      <c r="H197" s="10" t="inlineStr">
        <is>
          <t>2.2.1</t>
        </is>
      </c>
      <c r="I197" s="10" t="inlineStr">
        <is>
          <t>Roçada</t>
        </is>
      </c>
      <c r="J197" s="10" t="inlineStr">
        <is>
          <t>M2</t>
        </is>
      </c>
      <c r="K197" s="13" t="n">
        <v>300</v>
      </c>
      <c r="L197" s="10" t="n">
        <v>12</v>
      </c>
      <c r="M197" s="13" t="n">
        <v>50</v>
      </c>
      <c r="N197" s="13" t="n">
        <v>18.75</v>
      </c>
      <c r="O197" s="13">
        <f>IF(N197=0,0,K197/(L197*N197))</f>
        <v/>
      </c>
      <c r="P197" s="13">
        <f>IF(O197=0,0,K197/(L197*O197))</f>
        <v/>
      </c>
      <c r="Q197" s="14">
        <f>IF(M197=0,0,P197/M197)</f>
        <v/>
      </c>
      <c r="R197" s="13">
        <f>L197*O197</f>
        <v/>
      </c>
    </row>
    <row r="198">
      <c r="A198" s="12" t="n">
        <v>46205</v>
      </c>
      <c r="B198" s="12" t="n">
        <v>46205</v>
      </c>
      <c r="C198" s="10" t="inlineStr">
        <is>
          <t>RDO386</t>
        </is>
      </c>
      <c r="D198" s="10" t="inlineStr">
        <is>
          <t>ENGECOM PARA</t>
        </is>
      </c>
      <c r="E198" s="10" t="inlineStr">
        <is>
          <t>Marabá</t>
        </is>
      </c>
      <c r="F198" s="10" t="inlineStr">
        <is>
          <t>Preventiva MARABA</t>
        </is>
      </c>
      <c r="G198" s="10" t="inlineStr">
        <is>
          <t>Jose Domingos Lopes</t>
        </is>
      </c>
      <c r="H198" s="10" t="inlineStr">
        <is>
          <t>2.1.5</t>
        </is>
      </c>
      <c r="I198" s="10" t="inlineStr">
        <is>
          <t>Limpeza De Valeta, Sarjetas E Meio Fio</t>
        </is>
      </c>
      <c r="J198" s="10" t="inlineStr">
        <is>
          <t>M</t>
        </is>
      </c>
      <c r="K198" s="13" t="n">
        <v>30</v>
      </c>
      <c r="L198" s="10" t="n">
        <v>12</v>
      </c>
      <c r="M198" s="13" t="n">
        <v>9</v>
      </c>
      <c r="N198" s="13" t="n">
        <v>5</v>
      </c>
      <c r="O198" s="13">
        <f>IF(N198=0,0,K198/(L198*N198))</f>
        <v/>
      </c>
      <c r="P198" s="13">
        <f>IF(O198=0,0,K198/(L198*O198))</f>
        <v/>
      </c>
      <c r="Q198" s="14">
        <f>IF(M198=0,0,P198/M198)</f>
        <v/>
      </c>
      <c r="R198" s="13">
        <f>L198*O198</f>
        <v/>
      </c>
    </row>
    <row r="199">
      <c r="A199" s="12" t="n">
        <v>46205</v>
      </c>
      <c r="B199" s="12" t="n">
        <v>46205</v>
      </c>
      <c r="C199" s="10" t="inlineStr">
        <is>
          <t>RDO386</t>
        </is>
      </c>
      <c r="D199" s="10" t="inlineStr">
        <is>
          <t>ENGECOM PARA</t>
        </is>
      </c>
      <c r="E199" s="10" t="inlineStr">
        <is>
          <t>Marabá</t>
        </is>
      </c>
      <c r="F199" s="10" t="inlineStr">
        <is>
          <t>Preventiva MARABA</t>
        </is>
      </c>
      <c r="G199" s="10" t="inlineStr">
        <is>
          <t>Jose Domingos Lopes</t>
        </is>
      </c>
      <c r="H199" s="10" t="inlineStr">
        <is>
          <t>2.2.1</t>
        </is>
      </c>
      <c r="I199" s="10" t="inlineStr">
        <is>
          <t>Roçada</t>
        </is>
      </c>
      <c r="J199" s="10" t="inlineStr">
        <is>
          <t>M2</t>
        </is>
      </c>
      <c r="K199" s="13" t="n">
        <v>300</v>
      </c>
      <c r="L199" s="10" t="n">
        <v>12</v>
      </c>
      <c r="M199" s="13" t="n">
        <v>50</v>
      </c>
      <c r="N199" s="13" t="n">
        <v>25</v>
      </c>
      <c r="O199" s="13">
        <f>IF(N199=0,0,K199/(L199*N199))</f>
        <v/>
      </c>
      <c r="P199" s="13">
        <f>IF(O199=0,0,K199/(L199*O199))</f>
        <v/>
      </c>
      <c r="Q199" s="14">
        <f>IF(M199=0,0,P199/M199)</f>
        <v/>
      </c>
      <c r="R199" s="13">
        <f>L199*O199</f>
        <v/>
      </c>
    </row>
    <row r="200">
      <c r="A200" s="12" t="n">
        <v>46205</v>
      </c>
      <c r="B200" s="12" t="n">
        <v>46205</v>
      </c>
      <c r="C200" s="10" t="inlineStr">
        <is>
          <t>RDO386</t>
        </is>
      </c>
      <c r="D200" s="10" t="inlineStr">
        <is>
          <t>ENGECOM PARA</t>
        </is>
      </c>
      <c r="E200" s="10" t="inlineStr">
        <is>
          <t>Marabá</t>
        </is>
      </c>
      <c r="F200" s="10" t="inlineStr">
        <is>
          <t>Preventiva MARABA</t>
        </is>
      </c>
      <c r="G200" s="10" t="inlineStr">
        <is>
          <t>Jose Domingos Lopes</t>
        </is>
      </c>
      <c r="H200" s="10" t="inlineStr">
        <is>
          <t>2.2.1</t>
        </is>
      </c>
      <c r="I200" s="10" t="inlineStr">
        <is>
          <t>Roçada</t>
        </is>
      </c>
      <c r="J200" s="10" t="inlineStr">
        <is>
          <t>M2</t>
        </is>
      </c>
      <c r="K200" s="13" t="n">
        <v>190.4</v>
      </c>
      <c r="L200" s="10" t="n">
        <v>12</v>
      </c>
      <c r="M200" s="13" t="n">
        <v>50</v>
      </c>
      <c r="N200" s="13" t="n">
        <v>3.96666666666667</v>
      </c>
      <c r="O200" s="13">
        <f>IF(N200=0,0,K200/(L200*N200))</f>
        <v/>
      </c>
      <c r="P200" s="13">
        <f>IF(O200=0,0,K200/(L200*O200))</f>
        <v/>
      </c>
      <c r="Q200" s="14">
        <f>IF(M200=0,0,P200/M200)</f>
        <v/>
      </c>
      <c r="R200" s="13">
        <f>L200*O200</f>
        <v/>
      </c>
    </row>
    <row r="201">
      <c r="A201" s="12" t="n">
        <v>46205</v>
      </c>
      <c r="B201" s="12" t="n">
        <v>46205</v>
      </c>
      <c r="C201" s="10" t="inlineStr">
        <is>
          <t>RDO368</t>
        </is>
      </c>
      <c r="D201" s="10" t="inlineStr">
        <is>
          <t>ENGECOM PARA</t>
        </is>
      </c>
      <c r="E201" s="10" t="inlineStr">
        <is>
          <t>Parauapebas</t>
        </is>
      </c>
      <c r="F201" s="10" t="inlineStr">
        <is>
          <t>Preventiva PARAUAPEBAS</t>
        </is>
      </c>
      <c r="G201" s="10" t="inlineStr">
        <is>
          <t>Leandro Soares Dias</t>
        </is>
      </c>
      <c r="H201" s="10" t="inlineStr">
        <is>
          <t>2.2.1</t>
        </is>
      </c>
      <c r="I201" s="10" t="inlineStr">
        <is>
          <t>Roçada</t>
        </is>
      </c>
      <c r="J201" s="10" t="inlineStr">
        <is>
          <t>M2</t>
        </is>
      </c>
      <c r="K201" s="13" t="n">
        <v>547.26</v>
      </c>
      <c r="L201" s="10" t="n">
        <v>11</v>
      </c>
      <c r="M201" s="13" t="n">
        <v>50</v>
      </c>
      <c r="N201" s="13" t="n">
        <v>49.7509090909091</v>
      </c>
      <c r="O201" s="13">
        <f>IF(N201=0,0,K201/(L201*N201))</f>
        <v/>
      </c>
      <c r="P201" s="13">
        <f>IF(O201=0,0,K201/(L201*O201))</f>
        <v/>
      </c>
      <c r="Q201" s="14">
        <f>IF(M201=0,0,P201/M201)</f>
        <v/>
      </c>
      <c r="R201" s="13">
        <f>L201*O201</f>
        <v/>
      </c>
    </row>
    <row r="202">
      <c r="A202" s="12" t="n">
        <v>46205</v>
      </c>
      <c r="B202" s="12" t="n">
        <v>46205</v>
      </c>
      <c r="C202" s="10" t="inlineStr">
        <is>
          <t>RDO368</t>
        </is>
      </c>
      <c r="D202" s="10" t="inlineStr">
        <is>
          <t>ENGECOM PARA</t>
        </is>
      </c>
      <c r="E202" s="10" t="inlineStr">
        <is>
          <t>Parauapebas</t>
        </is>
      </c>
      <c r="F202" s="10" t="inlineStr">
        <is>
          <t>Preventiva PARAUAPEBAS</t>
        </is>
      </c>
      <c r="G202" s="10" t="inlineStr">
        <is>
          <t>Leandro Soares Dias</t>
        </is>
      </c>
      <c r="H202" s="10" t="inlineStr">
        <is>
          <t>2.1.5</t>
        </is>
      </c>
      <c r="I202" s="10" t="inlineStr">
        <is>
          <t>Limpeza De Valeta, Sarjetas E Meio Fio</t>
        </is>
      </c>
      <c r="J202" s="10" t="inlineStr">
        <is>
          <t>M</t>
        </is>
      </c>
      <c r="K202" s="13" t="n">
        <v>253.1</v>
      </c>
      <c r="L202" s="10" t="n">
        <v>11</v>
      </c>
      <c r="M202" s="13" t="n">
        <v>9</v>
      </c>
      <c r="N202" s="13" t="n">
        <v>11.5045454545455</v>
      </c>
      <c r="O202" s="13">
        <f>IF(N202=0,0,K202/(L202*N202))</f>
        <v/>
      </c>
      <c r="P202" s="13">
        <f>IF(O202=0,0,K202/(L202*O202))</f>
        <v/>
      </c>
      <c r="Q202" s="14">
        <f>IF(M202=0,0,P202/M202)</f>
        <v/>
      </c>
      <c r="R202" s="13">
        <f>L202*O202</f>
        <v/>
      </c>
    </row>
    <row r="203">
      <c r="A203" s="12" t="n">
        <v>46205</v>
      </c>
      <c r="B203" s="12" t="n">
        <v>46205</v>
      </c>
      <c r="C203" s="10" t="inlineStr">
        <is>
          <t>RDO368</t>
        </is>
      </c>
      <c r="D203" s="10" t="inlineStr">
        <is>
          <t>ENGECOM PARA</t>
        </is>
      </c>
      <c r="E203" s="10" t="inlineStr">
        <is>
          <t>Parauapebas</t>
        </is>
      </c>
      <c r="F203" s="10" t="inlineStr">
        <is>
          <t>Preventiva PARAUAPEBAS</t>
        </is>
      </c>
      <c r="G203" s="10" t="inlineStr">
        <is>
          <t>Leandro Soares Dias</t>
        </is>
      </c>
      <c r="H203" s="10" t="inlineStr">
        <is>
          <t>2.1.8</t>
        </is>
      </c>
      <c r="I203" s="10" t="inlineStr">
        <is>
          <t>Recuperação De Drenagem Tipop Sarjeta/Meio-Fio Em Plataforma, Limitando-Se A 100M De Extensão</t>
        </is>
      </c>
      <c r="J203" s="10" t="inlineStr">
        <is>
          <t>M</t>
        </is>
      </c>
      <c r="K203" s="13" t="n">
        <v>34.22</v>
      </c>
      <c r="L203" s="10" t="n">
        <v>11</v>
      </c>
      <c r="M203" s="13" t="n">
        <v>1</v>
      </c>
      <c r="N203" s="13" t="n">
        <v>0.888831168831169</v>
      </c>
      <c r="O203" s="13">
        <f>IF(N203=0,0,K203/(L203*N203))</f>
        <v/>
      </c>
      <c r="P203" s="13">
        <f>IF(O203=0,0,K203/(L203*O203))</f>
        <v/>
      </c>
      <c r="Q203" s="14">
        <f>IF(M203=0,0,P203/M203)</f>
        <v/>
      </c>
      <c r="R203" s="13">
        <f>L203*O203</f>
        <v/>
      </c>
    </row>
    <row r="204">
      <c r="A204" s="12" t="n">
        <v>46206</v>
      </c>
      <c r="B204" s="12" t="n">
        <v>46206</v>
      </c>
      <c r="C204" s="10" t="inlineStr">
        <is>
          <t>RDO385</t>
        </is>
      </c>
      <c r="D204" s="10" t="inlineStr">
        <is>
          <t>ENGECOM PARA</t>
        </is>
      </c>
      <c r="E204" s="10" t="inlineStr">
        <is>
          <t>Marabá</t>
        </is>
      </c>
      <c r="F204" s="10" t="inlineStr">
        <is>
          <t>Preventiva MARABA</t>
        </is>
      </c>
      <c r="G204" s="10" t="inlineStr">
        <is>
          <t>Jose Domingos Lopes</t>
        </is>
      </c>
      <c r="H204" s="10" t="inlineStr">
        <is>
          <t>2.2.1</t>
        </is>
      </c>
      <c r="I204" s="10" t="inlineStr">
        <is>
          <t>Roçada</t>
        </is>
      </c>
      <c r="J204" s="10" t="inlineStr">
        <is>
          <t>M2</t>
        </is>
      </c>
      <c r="K204" s="13" t="n">
        <v>85.40000000000001</v>
      </c>
      <c r="L204" s="10" t="n">
        <v>12</v>
      </c>
      <c r="M204" s="13" t="n">
        <v>50</v>
      </c>
      <c r="N204" s="13" t="n">
        <v>5.69333333333333</v>
      </c>
      <c r="O204" s="13">
        <f>IF(N204=0,0,K204/(L204*N204))</f>
        <v/>
      </c>
      <c r="P204" s="13">
        <f>IF(O204=0,0,K204/(L204*O204))</f>
        <v/>
      </c>
      <c r="Q204" s="14">
        <f>IF(M204=0,0,P204/M204)</f>
        <v/>
      </c>
      <c r="R204" s="13">
        <f>L204*O204</f>
        <v/>
      </c>
    </row>
    <row r="205">
      <c r="A205" s="12" t="n">
        <v>46206</v>
      </c>
      <c r="B205" s="12" t="n">
        <v>46206</v>
      </c>
      <c r="C205" s="10" t="inlineStr">
        <is>
          <t>RDO385</t>
        </is>
      </c>
      <c r="D205" s="10" t="inlineStr">
        <is>
          <t>ENGECOM PARA</t>
        </is>
      </c>
      <c r="E205" s="10" t="inlineStr">
        <is>
          <t>Marabá</t>
        </is>
      </c>
      <c r="F205" s="10" t="inlineStr">
        <is>
          <t>Preventiva MARABA</t>
        </is>
      </c>
      <c r="G205" s="10" t="inlineStr">
        <is>
          <t>Jose Domingos Lopes</t>
        </is>
      </c>
      <c r="H205" s="10" t="inlineStr">
        <is>
          <t>2.2.1</t>
        </is>
      </c>
      <c r="I205" s="10" t="inlineStr">
        <is>
          <t>Roçada</t>
        </is>
      </c>
      <c r="J205" s="10" t="inlineStr">
        <is>
          <t>M2</t>
        </is>
      </c>
      <c r="K205" s="13" t="n">
        <v>113.44</v>
      </c>
      <c r="L205" s="10" t="n">
        <v>12</v>
      </c>
      <c r="M205" s="13" t="n">
        <v>50</v>
      </c>
      <c r="N205" s="13" t="n">
        <v>6.30222222222222</v>
      </c>
      <c r="O205" s="13">
        <f>IF(N205=0,0,K205/(L205*N205))</f>
        <v/>
      </c>
      <c r="P205" s="13">
        <f>IF(O205=0,0,K205/(L205*O205))</f>
        <v/>
      </c>
      <c r="Q205" s="14">
        <f>IF(M205=0,0,P205/M205)</f>
        <v/>
      </c>
      <c r="R205" s="13">
        <f>L205*O205</f>
        <v/>
      </c>
    </row>
    <row r="206">
      <c r="A206" s="12" t="n">
        <v>46206</v>
      </c>
      <c r="B206" s="12" t="n">
        <v>46206</v>
      </c>
      <c r="C206" s="10" t="inlineStr">
        <is>
          <t>RDO385</t>
        </is>
      </c>
      <c r="D206" s="10" t="inlineStr">
        <is>
          <t>ENGECOM PARA</t>
        </is>
      </c>
      <c r="E206" s="10" t="inlineStr">
        <is>
          <t>Marabá</t>
        </is>
      </c>
      <c r="F206" s="10" t="inlineStr">
        <is>
          <t>Preventiva MARABA</t>
        </is>
      </c>
      <c r="G206" s="10" t="inlineStr">
        <is>
          <t>Jose Domingos Lopes</t>
        </is>
      </c>
      <c r="H206" s="10" t="inlineStr">
        <is>
          <t>2.1.2</t>
        </is>
      </c>
      <c r="I206" s="10" t="inlineStr">
        <is>
          <t>Limpeza De Bueiros</t>
        </is>
      </c>
      <c r="J206" s="10" t="inlineStr">
        <is>
          <t>M3</t>
        </is>
      </c>
      <c r="K206" s="13" t="n">
        <v>5.4</v>
      </c>
      <c r="L206" s="10" t="n">
        <v>12</v>
      </c>
      <c r="M206" s="13" t="n">
        <v>1</v>
      </c>
      <c r="N206" s="13" t="n">
        <v>0.3</v>
      </c>
      <c r="O206" s="13">
        <f>IF(N206=0,0,K206/(L206*N206))</f>
        <v/>
      </c>
      <c r="P206" s="13">
        <f>IF(O206=0,0,K206/(L206*O206))</f>
        <v/>
      </c>
      <c r="Q206" s="14">
        <f>IF(M206=0,0,P206/M206)</f>
        <v/>
      </c>
      <c r="R206" s="13">
        <f>L206*O206</f>
        <v/>
      </c>
    </row>
    <row r="207">
      <c r="A207" s="12" t="n">
        <v>46206</v>
      </c>
      <c r="B207" s="12" t="n">
        <v>46206</v>
      </c>
      <c r="C207" s="10" t="inlineStr">
        <is>
          <t>RDO385</t>
        </is>
      </c>
      <c r="D207" s="10" t="inlineStr">
        <is>
          <t>ENGECOM PARA</t>
        </is>
      </c>
      <c r="E207" s="10" t="inlineStr">
        <is>
          <t>Marabá</t>
        </is>
      </c>
      <c r="F207" s="10" t="inlineStr">
        <is>
          <t>Preventiva MARABA</t>
        </is>
      </c>
      <c r="G207" s="10" t="inlineStr">
        <is>
          <t>Jose Domingos Lopes</t>
        </is>
      </c>
      <c r="H207" s="10" t="inlineStr">
        <is>
          <t>2.2.1</t>
        </is>
      </c>
      <c r="I207" s="10" t="inlineStr">
        <is>
          <t>Roçada</t>
        </is>
      </c>
      <c r="J207" s="10" t="inlineStr">
        <is>
          <t>M2</t>
        </is>
      </c>
      <c r="K207" s="13" t="n">
        <v>70.25</v>
      </c>
      <c r="L207" s="10" t="n">
        <v>12</v>
      </c>
      <c r="M207" s="13" t="n">
        <v>50</v>
      </c>
      <c r="N207" s="13" t="n">
        <v>5.85416666666667</v>
      </c>
      <c r="O207" s="13">
        <f>IF(N207=0,0,K207/(L207*N207))</f>
        <v/>
      </c>
      <c r="P207" s="13">
        <f>IF(O207=0,0,K207/(L207*O207))</f>
        <v/>
      </c>
      <c r="Q207" s="14">
        <f>IF(M207=0,0,P207/M207)</f>
        <v/>
      </c>
      <c r="R207" s="13">
        <f>L207*O207</f>
        <v/>
      </c>
    </row>
    <row r="208">
      <c r="A208" s="12" t="n">
        <v>46206</v>
      </c>
      <c r="B208" s="12" t="n">
        <v>46206</v>
      </c>
      <c r="C208" s="10" t="inlineStr">
        <is>
          <t>RDO385</t>
        </is>
      </c>
      <c r="D208" s="10" t="inlineStr">
        <is>
          <t>ENGECOM PARA</t>
        </is>
      </c>
      <c r="E208" s="10" t="inlineStr">
        <is>
          <t>Marabá</t>
        </is>
      </c>
      <c r="F208" s="10" t="inlineStr">
        <is>
          <t>Preventiva MARABA</t>
        </is>
      </c>
      <c r="G208" s="10" t="inlineStr">
        <is>
          <t>Jose Domingos Lopes</t>
        </is>
      </c>
      <c r="H208" s="10" t="inlineStr">
        <is>
          <t>2.2.1</t>
        </is>
      </c>
      <c r="I208" s="10" t="inlineStr">
        <is>
          <t>Roçada</t>
        </is>
      </c>
      <c r="J208" s="10" t="inlineStr">
        <is>
          <t>M2</t>
        </is>
      </c>
      <c r="K208" s="13" t="n">
        <v>88.3</v>
      </c>
      <c r="L208" s="10" t="n">
        <v>12</v>
      </c>
      <c r="M208" s="13" t="n">
        <v>50</v>
      </c>
      <c r="N208" s="13" t="n">
        <v>7.35833333333333</v>
      </c>
      <c r="O208" s="13">
        <f>IF(N208=0,0,K208/(L208*N208))</f>
        <v/>
      </c>
      <c r="P208" s="13">
        <f>IF(O208=0,0,K208/(L208*O208))</f>
        <v/>
      </c>
      <c r="Q208" s="14">
        <f>IF(M208=0,0,P208/M208)</f>
        <v/>
      </c>
      <c r="R208" s="13">
        <f>L208*O208</f>
        <v/>
      </c>
    </row>
    <row r="209">
      <c r="A209" s="12" t="n">
        <v>46206</v>
      </c>
      <c r="B209" s="12" t="n">
        <v>46206</v>
      </c>
      <c r="C209" s="10" t="inlineStr">
        <is>
          <t>RDO385</t>
        </is>
      </c>
      <c r="D209" s="10" t="inlineStr">
        <is>
          <t>ENGECOM PARA</t>
        </is>
      </c>
      <c r="E209" s="10" t="inlineStr">
        <is>
          <t>Marabá</t>
        </is>
      </c>
      <c r="F209" s="10" t="inlineStr">
        <is>
          <t>Preventiva MARABA</t>
        </is>
      </c>
      <c r="G209" s="10" t="inlineStr">
        <is>
          <t>Jose Domingos Lopes</t>
        </is>
      </c>
      <c r="H209" s="10" t="inlineStr">
        <is>
          <t>2.1.3</t>
        </is>
      </c>
      <c r="I209" s="10" t="inlineStr">
        <is>
          <t>Limpeza De Canaleta Em Corte E Aterro Ate Meia Seção</t>
        </is>
      </c>
      <c r="J209" s="10" t="inlineStr">
        <is>
          <t>M</t>
        </is>
      </c>
      <c r="K209" s="13" t="n">
        <v>11.5</v>
      </c>
      <c r="L209" s="10" t="n">
        <v>12</v>
      </c>
      <c r="M209" s="13" t="n">
        <v>15</v>
      </c>
      <c r="N209" s="13" t="n">
        <v>1.91666666666667</v>
      </c>
      <c r="O209" s="13">
        <f>IF(N209=0,0,K209/(L209*N209))</f>
        <v/>
      </c>
      <c r="P209" s="13">
        <f>IF(O209=0,0,K209/(L209*O209))</f>
        <v/>
      </c>
      <c r="Q209" s="14">
        <f>IF(M209=0,0,P209/M209)</f>
        <v/>
      </c>
      <c r="R209" s="13">
        <f>L209*O209</f>
        <v/>
      </c>
    </row>
    <row r="210">
      <c r="A210" s="12" t="n">
        <v>46206</v>
      </c>
      <c r="B210" s="12" t="n">
        <v>46206</v>
      </c>
      <c r="C210" s="10" t="inlineStr">
        <is>
          <t>RDO385</t>
        </is>
      </c>
      <c r="D210" s="10" t="inlineStr">
        <is>
          <t>ENGECOM PARA</t>
        </is>
      </c>
      <c r="E210" s="10" t="inlineStr">
        <is>
          <t>Marabá</t>
        </is>
      </c>
      <c r="F210" s="10" t="inlineStr">
        <is>
          <t>Preventiva MARABA</t>
        </is>
      </c>
      <c r="G210" s="10" t="inlineStr">
        <is>
          <t>Jose Domingos Lopes</t>
        </is>
      </c>
      <c r="H210" s="10" t="inlineStr">
        <is>
          <t>2.1.4</t>
        </is>
      </c>
      <c r="I210" s="10" t="inlineStr">
        <is>
          <t>Limpeza De Canaleta Em Corte E Aterro Com Seção Plena</t>
        </is>
      </c>
      <c r="J210" s="10" t="inlineStr">
        <is>
          <t>M</t>
        </is>
      </c>
      <c r="K210" s="13" t="n">
        <v>1.5</v>
      </c>
      <c r="L210" s="10" t="n">
        <v>12</v>
      </c>
      <c r="M210" s="13" t="n">
        <v>2.82</v>
      </c>
      <c r="N210" s="13" t="n">
        <v>0.375</v>
      </c>
      <c r="O210" s="13">
        <f>IF(N210=0,0,K210/(L210*N210))</f>
        <v/>
      </c>
      <c r="P210" s="13">
        <f>IF(O210=0,0,K210/(L210*O210))</f>
        <v/>
      </c>
      <c r="Q210" s="14">
        <f>IF(M210=0,0,P210/M210)</f>
        <v/>
      </c>
      <c r="R210" s="13">
        <f>L210*O210</f>
        <v/>
      </c>
    </row>
    <row r="211">
      <c r="A211" s="12" t="n">
        <v>46206</v>
      </c>
      <c r="B211" s="12" t="n">
        <v>46206</v>
      </c>
      <c r="C211" s="10" t="inlineStr">
        <is>
          <t>RDO385</t>
        </is>
      </c>
      <c r="D211" s="10" t="inlineStr">
        <is>
          <t>ENGECOM PARA</t>
        </is>
      </c>
      <c r="E211" s="10" t="inlineStr">
        <is>
          <t>Marabá</t>
        </is>
      </c>
      <c r="F211" s="10" t="inlineStr">
        <is>
          <t>Preventiva MARABA</t>
        </is>
      </c>
      <c r="G211" s="10" t="inlineStr">
        <is>
          <t>Jose Domingos Lopes</t>
        </is>
      </c>
      <c r="H211" s="10" t="inlineStr">
        <is>
          <t>2.1.2</t>
        </is>
      </c>
      <c r="I211" s="10" t="inlineStr">
        <is>
          <t>Limpeza De Bueiros</t>
        </is>
      </c>
      <c r="J211" s="10" t="inlineStr">
        <is>
          <t>M3</t>
        </is>
      </c>
      <c r="K211" s="13" t="n">
        <v>3.38</v>
      </c>
      <c r="L211" s="10" t="n">
        <v>12</v>
      </c>
      <c r="M211" s="13" t="n">
        <v>1</v>
      </c>
      <c r="N211" s="13" t="n">
        <v>0.241428571428571</v>
      </c>
      <c r="O211" s="13">
        <f>IF(N211=0,0,K211/(L211*N211))</f>
        <v/>
      </c>
      <c r="P211" s="13">
        <f>IF(O211=0,0,K211/(L211*O211))</f>
        <v/>
      </c>
      <c r="Q211" s="14">
        <f>IF(M211=0,0,P211/M211)</f>
        <v/>
      </c>
      <c r="R211" s="13">
        <f>L211*O211</f>
        <v/>
      </c>
    </row>
    <row r="212">
      <c r="A212" s="12" t="n">
        <v>46206</v>
      </c>
      <c r="B212" s="12" t="n">
        <v>46206</v>
      </c>
      <c r="C212" s="10" t="inlineStr">
        <is>
          <t>RDO395</t>
        </is>
      </c>
      <c r="D212" s="10" t="inlineStr">
        <is>
          <t>ENGECOM PARA</t>
        </is>
      </c>
      <c r="E212" s="10" t="inlineStr">
        <is>
          <t>Parauapebas</t>
        </is>
      </c>
      <c r="F212" s="10" t="inlineStr">
        <is>
          <t>Preventiva PARAUAPEBAS</t>
        </is>
      </c>
      <c r="G212" s="10" t="inlineStr">
        <is>
          <t>Leandro Soares Dias</t>
        </is>
      </c>
      <c r="H212" s="10" t="inlineStr">
        <is>
          <t>2.2.1</t>
        </is>
      </c>
      <c r="I212" s="10" t="inlineStr">
        <is>
          <t>Roçada</t>
        </is>
      </c>
      <c r="J212" s="10" t="inlineStr">
        <is>
          <t>M2</t>
        </is>
      </c>
      <c r="K212" s="13" t="n">
        <v>480</v>
      </c>
      <c r="L212" s="10" t="n">
        <v>11</v>
      </c>
      <c r="M212" s="13" t="n">
        <v>50</v>
      </c>
      <c r="N212" s="13" t="n">
        <v>21.8181818181818</v>
      </c>
      <c r="O212" s="13">
        <f>IF(N212=0,0,K212/(L212*N212))</f>
        <v/>
      </c>
      <c r="P212" s="13">
        <f>IF(O212=0,0,K212/(L212*O212))</f>
        <v/>
      </c>
      <c r="Q212" s="14">
        <f>IF(M212=0,0,P212/M212)</f>
        <v/>
      </c>
      <c r="R212" s="13">
        <f>L212*O212</f>
        <v/>
      </c>
    </row>
    <row r="213">
      <c r="A213" s="12" t="n">
        <v>46206</v>
      </c>
      <c r="B213" s="12" t="n">
        <v>46206</v>
      </c>
      <c r="C213" s="10" t="inlineStr">
        <is>
          <t>RDO395</t>
        </is>
      </c>
      <c r="D213" s="10" t="inlineStr">
        <is>
          <t>ENGECOM PARA</t>
        </is>
      </c>
      <c r="E213" s="10" t="inlineStr">
        <is>
          <t>Parauapebas</t>
        </is>
      </c>
      <c r="F213" s="10" t="inlineStr">
        <is>
          <t>Preventiva PARAUAPEBAS</t>
        </is>
      </c>
      <c r="G213" s="10" t="inlineStr">
        <is>
          <t>Leandro Soares Dias</t>
        </is>
      </c>
      <c r="H213" s="10" t="inlineStr">
        <is>
          <t>2.2.1</t>
        </is>
      </c>
      <c r="I213" s="10" t="inlineStr">
        <is>
          <t>Roçada</t>
        </is>
      </c>
      <c r="J213" s="10" t="inlineStr">
        <is>
          <t>M2</t>
        </is>
      </c>
      <c r="K213" s="13" t="n">
        <v>468</v>
      </c>
      <c r="L213" s="10" t="n">
        <v>11</v>
      </c>
      <c r="M213" s="13" t="n">
        <v>50</v>
      </c>
      <c r="N213" s="13" t="n">
        <v>42.5454545454545</v>
      </c>
      <c r="O213" s="13">
        <f>IF(N213=0,0,K213/(L213*N213))</f>
        <v/>
      </c>
      <c r="P213" s="13">
        <f>IF(O213=0,0,K213/(L213*O213))</f>
        <v/>
      </c>
      <c r="Q213" s="14">
        <f>IF(M213=0,0,P213/M213)</f>
        <v/>
      </c>
      <c r="R213" s="13">
        <f>L213*O213</f>
        <v/>
      </c>
    </row>
    <row r="214">
      <c r="A214" s="12" t="n">
        <v>46206</v>
      </c>
      <c r="B214" s="12" t="n">
        <v>46206</v>
      </c>
      <c r="C214" s="10" t="inlineStr">
        <is>
          <t>RDO395</t>
        </is>
      </c>
      <c r="D214" s="10" t="inlineStr">
        <is>
          <t>ENGECOM PARA</t>
        </is>
      </c>
      <c r="E214" s="10" t="inlineStr">
        <is>
          <t>Parauapebas</t>
        </is>
      </c>
      <c r="F214" s="10" t="inlineStr">
        <is>
          <t>Preventiva PARAUAPEBAS</t>
        </is>
      </c>
      <c r="G214" s="10" t="inlineStr">
        <is>
          <t>Leandro Soares Dias</t>
        </is>
      </c>
      <c r="H214" s="10" t="inlineStr">
        <is>
          <t>2.2.1</t>
        </is>
      </c>
      <c r="I214" s="10" t="inlineStr">
        <is>
          <t>Roçada</t>
        </is>
      </c>
      <c r="J214" s="10" t="inlineStr">
        <is>
          <t>M2</t>
        </is>
      </c>
      <c r="K214" s="13" t="n">
        <v>225</v>
      </c>
      <c r="L214" s="10" t="n">
        <v>11</v>
      </c>
      <c r="M214" s="13" t="n">
        <v>50</v>
      </c>
      <c r="N214" s="13" t="n">
        <v>20.4545454545455</v>
      </c>
      <c r="O214" s="13">
        <f>IF(N214=0,0,K214/(L214*N214))</f>
        <v/>
      </c>
      <c r="P214" s="13">
        <f>IF(O214=0,0,K214/(L214*O214))</f>
        <v/>
      </c>
      <c r="Q214" s="14">
        <f>IF(M214=0,0,P214/M214)</f>
        <v/>
      </c>
      <c r="R214" s="13">
        <f>L214*O214</f>
        <v/>
      </c>
    </row>
    <row r="215">
      <c r="A215" s="12" t="n">
        <v>46206</v>
      </c>
      <c r="B215" s="12" t="n">
        <v>46206</v>
      </c>
      <c r="C215" s="10" t="inlineStr">
        <is>
          <t>RDO395</t>
        </is>
      </c>
      <c r="D215" s="10" t="inlineStr">
        <is>
          <t>ENGECOM PARA</t>
        </is>
      </c>
      <c r="E215" s="10" t="inlineStr">
        <is>
          <t>Parauapebas</t>
        </is>
      </c>
      <c r="F215" s="10" t="inlineStr">
        <is>
          <t>Preventiva PARAUAPEBAS</t>
        </is>
      </c>
      <c r="G215" s="10" t="inlineStr">
        <is>
          <t>Leandro Soares Dias</t>
        </is>
      </c>
      <c r="H215" s="10" t="inlineStr">
        <is>
          <t>2.2.1</t>
        </is>
      </c>
      <c r="I215" s="10" t="inlineStr">
        <is>
          <t>Roçada</t>
        </is>
      </c>
      <c r="J215" s="10" t="inlineStr">
        <is>
          <t>M2</t>
        </is>
      </c>
      <c r="K215" s="13" t="n">
        <v>476</v>
      </c>
      <c r="L215" s="10" t="n">
        <v>11</v>
      </c>
      <c r="M215" s="13" t="n">
        <v>50</v>
      </c>
      <c r="N215" s="13" t="n">
        <v>28.8484848484848</v>
      </c>
      <c r="O215" s="13">
        <f>IF(N215=0,0,K215/(L215*N215))</f>
        <v/>
      </c>
      <c r="P215" s="13">
        <f>IF(O215=0,0,K215/(L215*O215))</f>
        <v/>
      </c>
      <c r="Q215" s="14">
        <f>IF(M215=0,0,P215/M215)</f>
        <v/>
      </c>
      <c r="R215" s="13">
        <f>L215*O215</f>
        <v/>
      </c>
    </row>
    <row r="216">
      <c r="A216" s="12" t="n">
        <v>46209</v>
      </c>
      <c r="B216" s="12" t="n">
        <v>46206</v>
      </c>
      <c r="C216" s="10" t="inlineStr">
        <is>
          <t>RDO383</t>
        </is>
      </c>
      <c r="D216" s="10" t="inlineStr">
        <is>
          <t>ENGECOM PARA</t>
        </is>
      </c>
      <c r="E216" s="10" t="inlineStr">
        <is>
          <t>Parauapebas</t>
        </is>
      </c>
      <c r="F216" s="10" t="inlineStr">
        <is>
          <t>Preventiva PARAUAPEBAS</t>
        </is>
      </c>
      <c r="G216" s="10" t="inlineStr">
        <is>
          <t>Leandro Soares Dias</t>
        </is>
      </c>
      <c r="H216" s="10" t="inlineStr">
        <is>
          <t>2.2.1</t>
        </is>
      </c>
      <c r="I216" s="10" t="inlineStr">
        <is>
          <t>Roçada</t>
        </is>
      </c>
      <c r="J216" s="10" t="inlineStr">
        <is>
          <t>M2</t>
        </is>
      </c>
      <c r="K216" s="13" t="n">
        <v>480</v>
      </c>
      <c r="L216" s="10" t="n">
        <v>11</v>
      </c>
      <c r="M216" s="13" t="n">
        <v>50</v>
      </c>
      <c r="N216" s="13" t="n">
        <v>43.6363636363636</v>
      </c>
      <c r="O216" s="13">
        <f>IF(N216=0,0,K216/(L216*N216))</f>
        <v/>
      </c>
      <c r="P216" s="13">
        <f>IF(O216=0,0,K216/(L216*O216))</f>
        <v/>
      </c>
      <c r="Q216" s="14">
        <f>IF(M216=0,0,P216/M216)</f>
        <v/>
      </c>
      <c r="R216" s="13">
        <f>L216*O216</f>
        <v/>
      </c>
    </row>
    <row r="217">
      <c r="A217" s="12" t="n">
        <v>46209</v>
      </c>
      <c r="B217" s="12" t="n">
        <v>46206</v>
      </c>
      <c r="C217" s="10" t="inlineStr">
        <is>
          <t>RDO383</t>
        </is>
      </c>
      <c r="D217" s="10" t="inlineStr">
        <is>
          <t>ENGECOM PARA</t>
        </is>
      </c>
      <c r="E217" s="10" t="inlineStr">
        <is>
          <t>Parauapebas</t>
        </is>
      </c>
      <c r="F217" s="10" t="inlineStr">
        <is>
          <t>Preventiva PARAUAPEBAS</t>
        </is>
      </c>
      <c r="G217" s="10" t="inlineStr">
        <is>
          <t>Leandro Soares Dias</t>
        </is>
      </c>
      <c r="H217" s="10" t="inlineStr">
        <is>
          <t>2.2.1</t>
        </is>
      </c>
      <c r="I217" s="10" t="inlineStr">
        <is>
          <t>Roçada</t>
        </is>
      </c>
      <c r="J217" s="10" t="inlineStr">
        <is>
          <t>M2</t>
        </is>
      </c>
      <c r="K217" s="13" t="n">
        <v>468</v>
      </c>
      <c r="L217" s="10" t="n">
        <v>11</v>
      </c>
      <c r="M217" s="13" t="n">
        <v>50</v>
      </c>
      <c r="N217" s="13" t="n">
        <v>28.3636363636364</v>
      </c>
      <c r="O217" s="13">
        <f>IF(N217=0,0,K217/(L217*N217))</f>
        <v/>
      </c>
      <c r="P217" s="13">
        <f>IF(O217=0,0,K217/(L217*O217))</f>
        <v/>
      </c>
      <c r="Q217" s="14">
        <f>IF(M217=0,0,P217/M217)</f>
        <v/>
      </c>
      <c r="R217" s="13">
        <f>L217*O217</f>
        <v/>
      </c>
    </row>
    <row r="218">
      <c r="A218" s="12" t="n">
        <v>46209</v>
      </c>
      <c r="B218" s="12" t="n">
        <v>46206</v>
      </c>
      <c r="C218" s="10" t="inlineStr">
        <is>
          <t>RDO383</t>
        </is>
      </c>
      <c r="D218" s="10" t="inlineStr">
        <is>
          <t>ENGECOM PARA</t>
        </is>
      </c>
      <c r="E218" s="10" t="inlineStr">
        <is>
          <t>Parauapebas</t>
        </is>
      </c>
      <c r="F218" s="10" t="inlineStr">
        <is>
          <t>Preventiva PARAUAPEBAS</t>
        </is>
      </c>
      <c r="G218" s="10" t="inlineStr">
        <is>
          <t>Leandro Soares Dias</t>
        </is>
      </c>
      <c r="H218" s="10" t="inlineStr">
        <is>
          <t>2.2.1</t>
        </is>
      </c>
      <c r="I218" s="10" t="inlineStr">
        <is>
          <t>Roçada</t>
        </is>
      </c>
      <c r="J218" s="10" t="inlineStr">
        <is>
          <t>M2</t>
        </is>
      </c>
      <c r="K218" s="13" t="n">
        <v>225</v>
      </c>
      <c r="L218" s="10" t="n">
        <v>11</v>
      </c>
      <c r="M218" s="13" t="n">
        <v>50</v>
      </c>
      <c r="N218" s="13" t="n">
        <v>10.2272727272727</v>
      </c>
      <c r="O218" s="13">
        <f>IF(N218=0,0,K218/(L218*N218))</f>
        <v/>
      </c>
      <c r="P218" s="13">
        <f>IF(O218=0,0,K218/(L218*O218))</f>
        <v/>
      </c>
      <c r="Q218" s="14">
        <f>IF(M218=0,0,P218/M218)</f>
        <v/>
      </c>
      <c r="R218" s="13">
        <f>L218*O218</f>
        <v/>
      </c>
    </row>
    <row r="219">
      <c r="A219" s="12" t="n">
        <v>46209</v>
      </c>
      <c r="B219" s="12" t="n">
        <v>46206</v>
      </c>
      <c r="C219" s="10" t="inlineStr">
        <is>
          <t>RDO383</t>
        </is>
      </c>
      <c r="D219" s="10" t="inlineStr">
        <is>
          <t>ENGECOM PARA</t>
        </is>
      </c>
      <c r="E219" s="10" t="inlineStr">
        <is>
          <t>Parauapebas</t>
        </is>
      </c>
      <c r="F219" s="10" t="inlineStr">
        <is>
          <t>Preventiva PARAUAPEBAS</t>
        </is>
      </c>
      <c r="G219" s="10" t="inlineStr">
        <is>
          <t>Leandro Soares Dias</t>
        </is>
      </c>
      <c r="H219" s="10" t="inlineStr">
        <is>
          <t>2.2.1</t>
        </is>
      </c>
      <c r="I219" s="10" t="inlineStr">
        <is>
          <t>Roçada</t>
        </is>
      </c>
      <c r="J219" s="10" t="inlineStr">
        <is>
          <t>M2</t>
        </is>
      </c>
      <c r="K219" s="13" t="n">
        <v>466</v>
      </c>
      <c r="L219" s="10" t="n">
        <v>11</v>
      </c>
      <c r="M219" s="13" t="n">
        <v>50</v>
      </c>
      <c r="N219" s="13" t="n">
        <v>28.2424242424242</v>
      </c>
      <c r="O219" s="13">
        <f>IF(N219=0,0,K219/(L219*N219))</f>
        <v/>
      </c>
      <c r="P219" s="13">
        <f>IF(O219=0,0,K219/(L219*O219))</f>
        <v/>
      </c>
      <c r="Q219" s="14">
        <f>IF(M219=0,0,P219/M219)</f>
        <v/>
      </c>
      <c r="R219" s="13">
        <f>L219*O219</f>
        <v/>
      </c>
    </row>
    <row r="220">
      <c r="A220" s="12" t="n">
        <v>46216</v>
      </c>
      <c r="B220" s="12" t="n">
        <v>46216</v>
      </c>
      <c r="C220" s="10" t="inlineStr">
        <is>
          <t>RDO396</t>
        </is>
      </c>
      <c r="D220" s="10" t="inlineStr">
        <is>
          <t>ENGECOM PARA</t>
        </is>
      </c>
      <c r="E220" s="10" t="inlineStr">
        <is>
          <t>Parauapebas</t>
        </is>
      </c>
      <c r="F220" s="10" t="inlineStr">
        <is>
          <t>Preventiva PARAUAPEBAS</t>
        </is>
      </c>
      <c r="G220" s="10" t="inlineStr">
        <is>
          <t>Leandro Soares Dias</t>
        </is>
      </c>
      <c r="H220" s="10" t="inlineStr">
        <is>
          <t>2.1.5</t>
        </is>
      </c>
      <c r="I220" s="10" t="inlineStr">
        <is>
          <t>Limpeza De Valeta, Sarjetas E Meio Fio</t>
        </is>
      </c>
      <c r="J220" s="10" t="inlineStr">
        <is>
          <t>M</t>
        </is>
      </c>
      <c r="K220" s="13" t="n">
        <v>205.8</v>
      </c>
      <c r="L220" s="10" t="n">
        <v>11</v>
      </c>
      <c r="M220" s="13" t="n">
        <v>9</v>
      </c>
      <c r="N220" s="13" t="n">
        <v>7.48363636363636</v>
      </c>
      <c r="O220" s="13">
        <f>IF(N220=0,0,K220/(L220*N220))</f>
        <v/>
      </c>
      <c r="P220" s="13">
        <f>IF(O220=0,0,K220/(L220*O220))</f>
        <v/>
      </c>
      <c r="Q220" s="14">
        <f>IF(M220=0,0,P220/M220)</f>
        <v/>
      </c>
      <c r="R220" s="13">
        <f>L220*O220</f>
        <v/>
      </c>
    </row>
    <row r="221">
      <c r="A221" s="12" t="n">
        <v>46216</v>
      </c>
      <c r="B221" s="12" t="n">
        <v>46216</v>
      </c>
      <c r="C221" s="10" t="inlineStr">
        <is>
          <t>RDO396</t>
        </is>
      </c>
      <c r="D221" s="10" t="inlineStr">
        <is>
          <t>ENGECOM PARA</t>
        </is>
      </c>
      <c r="E221" s="10" t="inlineStr">
        <is>
          <t>Parauapebas</t>
        </is>
      </c>
      <c r="F221" s="10" t="inlineStr">
        <is>
          <t>Preventiva PARAUAPEBAS</t>
        </is>
      </c>
      <c r="G221" s="10" t="inlineStr">
        <is>
          <t>Leandro Soares Dias</t>
        </is>
      </c>
      <c r="H221" s="10" t="inlineStr">
        <is>
          <t>2.1.5</t>
        </is>
      </c>
      <c r="I221" s="10" t="inlineStr">
        <is>
          <t>Limpeza De Valeta, Sarjetas E Meio Fio</t>
        </is>
      </c>
      <c r="J221" s="10" t="inlineStr">
        <is>
          <t>M</t>
        </is>
      </c>
      <c r="K221" s="13" t="n">
        <v>200</v>
      </c>
      <c r="L221" s="10" t="n">
        <v>11</v>
      </c>
      <c r="M221" s="13" t="n">
        <v>9</v>
      </c>
      <c r="N221" s="13" t="n">
        <v>5.19480519480519</v>
      </c>
      <c r="O221" s="13">
        <f>IF(N221=0,0,K221/(L221*N221))</f>
        <v/>
      </c>
      <c r="P221" s="13">
        <f>IF(O221=0,0,K221/(L221*O221))</f>
        <v/>
      </c>
      <c r="Q221" s="14">
        <f>IF(M221=0,0,P221/M221)</f>
        <v/>
      </c>
      <c r="R221" s="13">
        <f>L221*O221</f>
        <v/>
      </c>
    </row>
    <row r="222">
      <c r="A222" s="12" t="n">
        <v>46224</v>
      </c>
      <c r="B222" s="12" t="n">
        <v>46224</v>
      </c>
      <c r="C222" s="10" t="inlineStr">
        <is>
          <t>RDO438</t>
        </is>
      </c>
      <c r="D222" s="10" t="inlineStr">
        <is>
          <t>ENGECOM GERAL</t>
        </is>
      </c>
      <c r="E222" s="10" t="inlineStr">
        <is>
          <t>Canaã</t>
        </is>
      </c>
      <c r="F222" s="10" t="inlineStr">
        <is>
          <t>Preventiva CANNÃ DOS CARAJAS</t>
        </is>
      </c>
      <c r="G222" s="10" t="inlineStr">
        <is>
          <t>Gilvandro Borges Dos Santos</t>
        </is>
      </c>
      <c r="H222" s="10" t="inlineStr">
        <is>
          <t>2.2.1</t>
        </is>
      </c>
      <c r="I222" s="10" t="inlineStr">
        <is>
          <t>Roçada</t>
        </is>
      </c>
      <c r="J222" s="10" t="inlineStr">
        <is>
          <t>M2</t>
        </is>
      </c>
      <c r="K222" s="13" t="n">
        <v>1</v>
      </c>
      <c r="L222" s="10" t="n">
        <v>1</v>
      </c>
      <c r="M222" s="13" t="n">
        <v>50</v>
      </c>
      <c r="N222" s="13" t="n">
        <v>1.01694915254237</v>
      </c>
      <c r="O222" s="13">
        <f>IF(N222=0,0,K222/(L222*N222))</f>
        <v/>
      </c>
      <c r="P222" s="13">
        <f>IF(O222=0,0,K222/(L222*O222))</f>
        <v/>
      </c>
      <c r="Q222" s="14">
        <f>IF(M222=0,0,P222/M222)</f>
        <v/>
      </c>
      <c r="R222" s="13">
        <f>L222*O222</f>
        <v/>
      </c>
    </row>
    <row r="223">
      <c r="A223" s="12" t="n">
        <v>46224</v>
      </c>
      <c r="B223" s="12" t="n">
        <v>46224</v>
      </c>
      <c r="C223" s="10" t="inlineStr">
        <is>
          <t>RDO439</t>
        </is>
      </c>
      <c r="D223" s="10" t="inlineStr">
        <is>
          <t>ENGECOM GERAL</t>
        </is>
      </c>
      <c r="E223" s="10" t="inlineStr">
        <is>
          <t>Canaã</t>
        </is>
      </c>
      <c r="F223" s="10" t="inlineStr">
        <is>
          <t>Preventiva CANNÃ DOS CARAJAS</t>
        </is>
      </c>
      <c r="G223" s="10" t="inlineStr">
        <is>
          <t>Gilvandro Borges Dos Santos</t>
        </is>
      </c>
      <c r="H223" s="10" t="inlineStr">
        <is>
          <t>2.2.1</t>
        </is>
      </c>
      <c r="I223" s="10" t="inlineStr">
        <is>
          <t>Roçada</t>
        </is>
      </c>
      <c r="J223" s="10" t="inlineStr">
        <is>
          <t>M2</t>
        </is>
      </c>
      <c r="K223" s="13" t="n">
        <v>1</v>
      </c>
      <c r="L223" s="10" t="n">
        <v>1</v>
      </c>
      <c r="M223" s="13" t="n">
        <v>50</v>
      </c>
      <c r="N223" s="13" t="n">
        <v>3</v>
      </c>
      <c r="O223" s="13">
        <f>IF(N223=0,0,K223/(L223*N223))</f>
        <v/>
      </c>
      <c r="P223" s="13">
        <f>IF(O223=0,0,K223/(L223*O223))</f>
        <v/>
      </c>
      <c r="Q223" s="14">
        <f>IF(M223=0,0,P223/M223)</f>
        <v/>
      </c>
      <c r="R223" s="13">
        <f>L223*O223</f>
        <v/>
      </c>
    </row>
    <row r="224">
      <c r="A224" s="12" t="n">
        <v>46224</v>
      </c>
      <c r="B224" s="12" t="n">
        <v>46224</v>
      </c>
      <c r="C224" s="10" t="inlineStr">
        <is>
          <t>RDO439</t>
        </is>
      </c>
      <c r="D224" s="10" t="inlineStr">
        <is>
          <t>ENGECOM GERAL</t>
        </is>
      </c>
      <c r="E224" s="10" t="inlineStr">
        <is>
          <t>Canaã</t>
        </is>
      </c>
      <c r="F224" s="10" t="inlineStr">
        <is>
          <t>Preventiva CANNÃ DOS CARAJAS</t>
        </is>
      </c>
      <c r="G224" s="10" t="inlineStr">
        <is>
          <t>Gilvandro Borges Dos Santos</t>
        </is>
      </c>
      <c r="H224" s="10" t="inlineStr">
        <is>
          <t>2.2.2</t>
        </is>
      </c>
      <c r="I224" s="10" t="inlineStr">
        <is>
          <t>Capina</t>
        </is>
      </c>
      <c r="J224" s="10" t="inlineStr">
        <is>
          <t>M2</t>
        </is>
      </c>
      <c r="K224" s="13" t="n">
        <v>54</v>
      </c>
      <c r="L224" s="10" t="n">
        <v>1</v>
      </c>
      <c r="M224" s="13" t="n">
        <v>4</v>
      </c>
      <c r="N224" s="13" t="n">
        <v>36</v>
      </c>
      <c r="O224" s="13">
        <f>IF(N224=0,0,K224/(L224*N224))</f>
        <v/>
      </c>
      <c r="P224" s="13">
        <f>IF(O224=0,0,K224/(L224*O224))</f>
        <v/>
      </c>
      <c r="Q224" s="14">
        <f>IF(M224=0,0,P224/M224)</f>
        <v/>
      </c>
      <c r="R224" s="13">
        <f>L224*O224</f>
        <v/>
      </c>
    </row>
    <row r="225">
      <c r="A225" s="12" t="n">
        <v>46224</v>
      </c>
      <c r="B225" s="12" t="n">
        <v>46224</v>
      </c>
      <c r="C225" s="10" t="inlineStr">
        <is>
          <t>RDO460</t>
        </is>
      </c>
      <c r="D225" s="10" t="inlineStr">
        <is>
          <t>ENGECOM PARA</t>
        </is>
      </c>
      <c r="E225" s="10" t="inlineStr">
        <is>
          <t>Canaã</t>
        </is>
      </c>
      <c r="F225" s="10" t="inlineStr">
        <is>
          <t>Preventiva CANNÃ DOS CARAJAS</t>
        </is>
      </c>
      <c r="G225" s="10" t="inlineStr">
        <is>
          <t>Gilvandro Borges Dos Santos</t>
        </is>
      </c>
      <c r="H225" s="10" t="inlineStr">
        <is>
          <t>2.2.1</t>
        </is>
      </c>
      <c r="I225" s="10" t="inlineStr">
        <is>
          <t>Roçada</t>
        </is>
      </c>
      <c r="J225" s="10" t="inlineStr">
        <is>
          <t>M2</t>
        </is>
      </c>
      <c r="K225" s="13" t="n">
        <v>1600</v>
      </c>
      <c r="L225" s="10" t="n">
        <v>11</v>
      </c>
      <c r="M225" s="13" t="n">
        <v>50</v>
      </c>
      <c r="N225" s="13" t="n">
        <v>38.7878787878788</v>
      </c>
      <c r="O225" s="13">
        <f>IF(N225=0,0,K225/(L225*N225))</f>
        <v/>
      </c>
      <c r="P225" s="13">
        <f>IF(O225=0,0,K225/(L225*O225))</f>
        <v/>
      </c>
      <c r="Q225" s="14">
        <f>IF(M225=0,0,P225/M225)</f>
        <v/>
      </c>
      <c r="R225" s="13">
        <f>L225*O225</f>
        <v/>
      </c>
    </row>
    <row r="226">
      <c r="A226" s="12" t="n">
        <v>46224</v>
      </c>
      <c r="B226" s="12" t="n">
        <v>46224</v>
      </c>
      <c r="C226" s="10" t="inlineStr">
        <is>
          <t>RDO460</t>
        </is>
      </c>
      <c r="D226" s="10" t="inlineStr">
        <is>
          <t>ENGECOM PARA</t>
        </is>
      </c>
      <c r="E226" s="10" t="inlineStr">
        <is>
          <t>Canaã</t>
        </is>
      </c>
      <c r="F226" s="10" t="inlineStr">
        <is>
          <t>Preventiva CANNÃ DOS CARAJAS</t>
        </is>
      </c>
      <c r="G226" s="10" t="inlineStr">
        <is>
          <t>Gilvandro Borges Dos Santos</t>
        </is>
      </c>
      <c r="H226" s="10" t="inlineStr">
        <is>
          <t>2.1.3</t>
        </is>
      </c>
      <c r="I226" s="10" t="inlineStr">
        <is>
          <t>Limpeza De Canaleta Em Corte E Aterro Ate Meia Seção</t>
        </is>
      </c>
      <c r="J226" s="10" t="inlineStr">
        <is>
          <t>M</t>
        </is>
      </c>
      <c r="K226" s="13" t="n">
        <v>200</v>
      </c>
      <c r="L226" s="10" t="n">
        <v>4</v>
      </c>
      <c r="M226" s="13" t="n">
        <v>15</v>
      </c>
      <c r="N226" s="13" t="n">
        <v>14.2857142857143</v>
      </c>
      <c r="O226" s="13">
        <f>IF(N226=0,0,K226/(L226*N226))</f>
        <v/>
      </c>
      <c r="P226" s="13">
        <f>IF(O226=0,0,K226/(L226*O226))</f>
        <v/>
      </c>
      <c r="Q226" s="14">
        <f>IF(M226=0,0,P226/M226)</f>
        <v/>
      </c>
      <c r="R226" s="13">
        <f>L226*O226</f>
        <v/>
      </c>
    </row>
    <row r="227">
      <c r="A227" s="12" t="n">
        <v>46224</v>
      </c>
      <c r="B227" s="12" t="n">
        <v>46224</v>
      </c>
      <c r="C227" s="10" t="inlineStr">
        <is>
          <t>RDO460</t>
        </is>
      </c>
      <c r="D227" s="10" t="inlineStr">
        <is>
          <t>ENGECOM PARA</t>
        </is>
      </c>
      <c r="E227" s="10" t="inlineStr">
        <is>
          <t>Canaã</t>
        </is>
      </c>
      <c r="F227" s="10" t="inlineStr">
        <is>
          <t>Preventiva CANNÃ DOS CARAJAS</t>
        </is>
      </c>
      <c r="G227" s="10" t="inlineStr">
        <is>
          <t>Gilvandro Borges Dos Santos</t>
        </is>
      </c>
      <c r="H227" s="10" t="inlineStr">
        <is>
          <t>2.1.4</t>
        </is>
      </c>
      <c r="I227" s="10" t="inlineStr">
        <is>
          <t>Limpeza De Canaleta Em Corte E Aterro Com Seção Plena</t>
        </is>
      </c>
      <c r="J227" s="10" t="inlineStr">
        <is>
          <t>M</t>
        </is>
      </c>
      <c r="K227" s="13" t="n">
        <v>550</v>
      </c>
      <c r="L227" s="10" t="n">
        <v>7</v>
      </c>
      <c r="M227" s="13" t="n">
        <v>2.82</v>
      </c>
      <c r="N227" s="13" t="n">
        <v>22.4489795918367</v>
      </c>
      <c r="O227" s="13">
        <f>IF(N227=0,0,K227/(L227*N227))</f>
        <v/>
      </c>
      <c r="P227" s="13">
        <f>IF(O227=0,0,K227/(L227*O227))</f>
        <v/>
      </c>
      <c r="Q227" s="14">
        <f>IF(M227=0,0,P227/M227)</f>
        <v/>
      </c>
      <c r="R227" s="13">
        <f>L227*O227</f>
        <v/>
      </c>
    </row>
    <row r="228">
      <c r="A228" s="12" t="n">
        <v>46224</v>
      </c>
      <c r="B228" s="12" t="n">
        <v>46224</v>
      </c>
      <c r="C228" s="10" t="inlineStr">
        <is>
          <t>RDO456</t>
        </is>
      </c>
      <c r="D228" s="10" t="inlineStr">
        <is>
          <t>ENGECOM PARA</t>
        </is>
      </c>
      <c r="E228" s="10" t="inlineStr">
        <is>
          <t>Marabá</t>
        </is>
      </c>
      <c r="F228" s="10" t="inlineStr">
        <is>
          <t>Preventiva MARABA</t>
        </is>
      </c>
      <c r="G228" s="10" t="inlineStr">
        <is>
          <t>Jose Domingos Lopes</t>
        </is>
      </c>
      <c r="H228" s="10" t="inlineStr">
        <is>
          <t>2.2.1</t>
        </is>
      </c>
      <c r="I228" s="10" t="inlineStr">
        <is>
          <t>Roçada</t>
        </is>
      </c>
      <c r="J228" s="10" t="inlineStr">
        <is>
          <t>M2</t>
        </is>
      </c>
      <c r="K228" s="13" t="n">
        <v>684</v>
      </c>
      <c r="L228" s="10" t="n">
        <v>12</v>
      </c>
      <c r="M228" s="13" t="n">
        <v>50</v>
      </c>
      <c r="N228" s="13" t="n">
        <v>20.1176470588235</v>
      </c>
      <c r="O228" s="13">
        <f>IF(N228=0,0,K228/(L228*N228))</f>
        <v/>
      </c>
      <c r="P228" s="13">
        <f>IF(O228=0,0,K228/(L228*O228))</f>
        <v/>
      </c>
      <c r="Q228" s="14">
        <f>IF(M228=0,0,P228/M228)</f>
        <v/>
      </c>
      <c r="R228" s="13">
        <f>L228*O228</f>
        <v/>
      </c>
    </row>
    <row r="229">
      <c r="A229" s="12" t="n">
        <v>46224</v>
      </c>
      <c r="B229" s="12" t="n">
        <v>46224</v>
      </c>
      <c r="C229" s="10" t="inlineStr">
        <is>
          <t>RDO456</t>
        </is>
      </c>
      <c r="D229" s="10" t="inlineStr">
        <is>
          <t>ENGECOM PARA</t>
        </is>
      </c>
      <c r="E229" s="10" t="inlineStr">
        <is>
          <t>Marabá</t>
        </is>
      </c>
      <c r="F229" s="10" t="inlineStr">
        <is>
          <t>Preventiva MARABA</t>
        </is>
      </c>
      <c r="G229" s="10" t="inlineStr">
        <is>
          <t>Jose Domingos Lopes</t>
        </is>
      </c>
      <c r="H229" s="10" t="inlineStr">
        <is>
          <t>2.2.1</t>
        </is>
      </c>
      <c r="I229" s="10" t="inlineStr">
        <is>
          <t>Roçada</t>
        </is>
      </c>
      <c r="J229" s="10" t="inlineStr">
        <is>
          <t>M2</t>
        </is>
      </c>
      <c r="K229" s="13" t="n">
        <v>3168</v>
      </c>
      <c r="L229" s="10" t="n">
        <v>12</v>
      </c>
      <c r="M229" s="13" t="n">
        <v>50</v>
      </c>
      <c r="N229" s="13" t="n">
        <v>70.40000000000001</v>
      </c>
      <c r="O229" s="13">
        <f>IF(N229=0,0,K229/(L229*N229))</f>
        <v/>
      </c>
      <c r="P229" s="13">
        <f>IF(O229=0,0,K229/(L229*O229))</f>
        <v/>
      </c>
      <c r="Q229" s="14">
        <f>IF(M229=0,0,P229/M229)</f>
        <v/>
      </c>
      <c r="R229" s="13">
        <f>L229*O229</f>
        <v/>
      </c>
    </row>
    <row r="230">
      <c r="A230" s="12" t="n">
        <v>46224</v>
      </c>
      <c r="B230" s="12" t="n">
        <v>46224</v>
      </c>
      <c r="C230" s="10" t="inlineStr">
        <is>
          <t>RDO450</t>
        </is>
      </c>
      <c r="D230" s="10" t="inlineStr">
        <is>
          <t>ENGECOM PARA</t>
        </is>
      </c>
      <c r="E230" s="10" t="inlineStr">
        <is>
          <t>Parauapebas</t>
        </is>
      </c>
      <c r="F230" s="10" t="inlineStr">
        <is>
          <t>Preventiva PARAUAPEBAS</t>
        </is>
      </c>
      <c r="G230" s="10" t="inlineStr">
        <is>
          <t>Leandro Soares Dias</t>
        </is>
      </c>
      <c r="H230" s="10" t="inlineStr">
        <is>
          <t>2.2.2</t>
        </is>
      </c>
      <c r="I230" s="10" t="inlineStr">
        <is>
          <t>Capina</t>
        </is>
      </c>
      <c r="J230" s="10" t="inlineStr">
        <is>
          <t>M2</t>
        </is>
      </c>
      <c r="K230" s="13" t="n">
        <v>104.87</v>
      </c>
      <c r="L230" s="10" t="n">
        <v>11</v>
      </c>
      <c r="M230" s="13" t="n">
        <v>4</v>
      </c>
      <c r="N230" s="13" t="n">
        <v>3.17787878787879</v>
      </c>
      <c r="O230" s="13">
        <f>IF(N230=0,0,K230/(L230*N230))</f>
        <v/>
      </c>
      <c r="P230" s="13">
        <f>IF(O230=0,0,K230/(L230*O230))</f>
        <v/>
      </c>
      <c r="Q230" s="14">
        <f>IF(M230=0,0,P230/M230)</f>
        <v/>
      </c>
      <c r="R230" s="13">
        <f>L230*O230</f>
        <v/>
      </c>
    </row>
    <row r="231">
      <c r="A231" s="12" t="n">
        <v>46224</v>
      </c>
      <c r="B231" s="12" t="n">
        <v>46224</v>
      </c>
      <c r="C231" s="10" t="inlineStr">
        <is>
          <t>RDO450</t>
        </is>
      </c>
      <c r="D231" s="10" t="inlineStr">
        <is>
          <t>ENGECOM PARA</t>
        </is>
      </c>
      <c r="E231" s="10" t="inlineStr">
        <is>
          <t>Parauapebas</t>
        </is>
      </c>
      <c r="F231" s="10" t="inlineStr">
        <is>
          <t>Preventiva PARAUAPEBAS</t>
        </is>
      </c>
      <c r="G231" s="10" t="inlineStr">
        <is>
          <t>Leandro Soares Dias</t>
        </is>
      </c>
      <c r="H231" s="10" t="inlineStr">
        <is>
          <t>2.1.5</t>
        </is>
      </c>
      <c r="I231" s="10" t="inlineStr">
        <is>
          <t>Limpeza De Valeta, Sarjetas E Meio Fio</t>
        </is>
      </c>
      <c r="J231" s="10" t="inlineStr">
        <is>
          <t>M</t>
        </is>
      </c>
      <c r="K231" s="13" t="n">
        <v>419.5</v>
      </c>
      <c r="L231" s="10" t="n">
        <v>11</v>
      </c>
      <c r="M231" s="13" t="n">
        <v>9</v>
      </c>
      <c r="N231" s="13" t="n">
        <v>10.8961038961039</v>
      </c>
      <c r="O231" s="13">
        <f>IF(N231=0,0,K231/(L231*N231))</f>
        <v/>
      </c>
      <c r="P231" s="13">
        <f>IF(O231=0,0,K231/(L231*O231))</f>
        <v/>
      </c>
      <c r="Q231" s="14">
        <f>IF(M231=0,0,P231/M231)</f>
        <v/>
      </c>
      <c r="R231" s="13">
        <f>L231*O231</f>
        <v/>
      </c>
    </row>
    <row r="232">
      <c r="A232" s="12" t="n">
        <v>46225</v>
      </c>
      <c r="B232" s="12" t="n">
        <v>46225</v>
      </c>
      <c r="C232" s="10" t="inlineStr">
        <is>
          <t>RDO462</t>
        </is>
      </c>
      <c r="D232" s="10" t="inlineStr">
        <is>
          <t>ENGECOM PARA</t>
        </is>
      </c>
      <c r="E232" s="10" t="inlineStr">
        <is>
          <t>Canaã</t>
        </is>
      </c>
      <c r="F232" s="10" t="inlineStr">
        <is>
          <t>Preventiva CANNÃ DOS CARAJAS</t>
        </is>
      </c>
      <c r="G232" s="10" t="inlineStr">
        <is>
          <t>Gilvandro Borges Dos Santos</t>
        </is>
      </c>
      <c r="H232" s="10" t="inlineStr">
        <is>
          <t>2.1.8</t>
        </is>
      </c>
      <c r="I232" s="10" t="inlineStr">
        <is>
          <t>Recuperação De Drenagem Tipop Sarjeta/Meio-Fio Em Plataforma, Limitando-Se A 100M De Extensão</t>
        </is>
      </c>
      <c r="J232" s="10" t="inlineStr">
        <is>
          <t>M</t>
        </is>
      </c>
      <c r="K232" s="13" t="n">
        <v>12.5</v>
      </c>
      <c r="L232" s="10" t="n">
        <v>11</v>
      </c>
      <c r="M232" s="13" t="n">
        <v>1</v>
      </c>
      <c r="N232" s="13" t="n">
        <v>0.324675324675325</v>
      </c>
      <c r="O232" s="13">
        <f>IF(N232=0,0,K232/(L232*N232))</f>
        <v/>
      </c>
      <c r="P232" s="13">
        <f>IF(O232=0,0,K232/(L232*O232))</f>
        <v/>
      </c>
      <c r="Q232" s="14">
        <f>IF(M232=0,0,P232/M232)</f>
        <v/>
      </c>
      <c r="R232" s="13">
        <f>L232*O232</f>
        <v/>
      </c>
    </row>
    <row r="233">
      <c r="A233" s="12" t="n">
        <v>46225</v>
      </c>
      <c r="B233" s="12" t="n">
        <v>46225</v>
      </c>
      <c r="C233" s="10" t="inlineStr">
        <is>
          <t>RDO462</t>
        </is>
      </c>
      <c r="D233" s="10" t="inlineStr">
        <is>
          <t>ENGECOM PARA</t>
        </is>
      </c>
      <c r="E233" s="10" t="inlineStr">
        <is>
          <t>Canaã</t>
        </is>
      </c>
      <c r="F233" s="10" t="inlineStr">
        <is>
          <t>Preventiva CANNÃ DOS CARAJAS</t>
        </is>
      </c>
      <c r="G233" s="10" t="inlineStr">
        <is>
          <t>Gilvandro Borges Dos Santos</t>
        </is>
      </c>
      <c r="H233" s="10" t="inlineStr">
        <is>
          <t>2.1.8</t>
        </is>
      </c>
      <c r="I233" s="10" t="inlineStr">
        <is>
          <t>Recuperação De Drenagem Tipop Sarjeta/Meio-Fio Em Plataforma, Limitando-Se A 100M De Extensão</t>
        </is>
      </c>
      <c r="J233" s="10" t="inlineStr">
        <is>
          <t>M</t>
        </is>
      </c>
      <c r="K233" s="13" t="n">
        <v>12.5</v>
      </c>
      <c r="L233" s="10" t="n">
        <v>11</v>
      </c>
      <c r="M233" s="13" t="n">
        <v>1</v>
      </c>
      <c r="N233" s="13" t="n">
        <v>0.324675324675325</v>
      </c>
      <c r="O233" s="13">
        <f>IF(N233=0,0,K233/(L233*N233))</f>
        <v/>
      </c>
      <c r="P233" s="13">
        <f>IF(O233=0,0,K233/(L233*O233))</f>
        <v/>
      </c>
      <c r="Q233" s="14">
        <f>IF(M233=0,0,P233/M233)</f>
        <v/>
      </c>
      <c r="R233" s="13">
        <f>L233*O233</f>
        <v/>
      </c>
    </row>
    <row r="234">
      <c r="A234" s="12" t="n">
        <v>46225</v>
      </c>
      <c r="B234" s="12" t="n">
        <v>46225</v>
      </c>
      <c r="C234" s="10" t="inlineStr">
        <is>
          <t>RDO457</t>
        </is>
      </c>
      <c r="D234" s="10" t="inlineStr">
        <is>
          <t>ENGECOM PARA</t>
        </is>
      </c>
      <c r="E234" s="10" t="inlineStr">
        <is>
          <t>Marabá</t>
        </is>
      </c>
      <c r="F234" s="10" t="inlineStr">
        <is>
          <t>Preventiva MARABA</t>
        </is>
      </c>
      <c r="G234" s="10" t="inlineStr">
        <is>
          <t>Jose Domingos Lopes</t>
        </is>
      </c>
      <c r="H234" s="10" t="inlineStr">
        <is>
          <t>2.2.1</t>
        </is>
      </c>
      <c r="I234" s="10" t="inlineStr">
        <is>
          <t>Roçada</t>
        </is>
      </c>
      <c r="J234" s="10" t="inlineStr">
        <is>
          <t>M2</t>
        </is>
      </c>
      <c r="K234" s="13" t="n">
        <v>900</v>
      </c>
      <c r="L234" s="10" t="n">
        <v>12</v>
      </c>
      <c r="M234" s="13" t="n">
        <v>50</v>
      </c>
      <c r="N234" s="13" t="n">
        <v>32.1428571428571</v>
      </c>
      <c r="O234" s="13">
        <f>IF(N234=0,0,K234/(L234*N234))</f>
        <v/>
      </c>
      <c r="P234" s="13">
        <f>IF(O234=0,0,K234/(L234*O234))</f>
        <v/>
      </c>
      <c r="Q234" s="14">
        <f>IF(M234=0,0,P234/M234)</f>
        <v/>
      </c>
      <c r="R234" s="13">
        <f>L234*O234</f>
        <v/>
      </c>
    </row>
    <row r="235">
      <c r="A235" s="12" t="n">
        <v>46225</v>
      </c>
      <c r="B235" s="12" t="n">
        <v>46225</v>
      </c>
      <c r="C235" s="10" t="inlineStr">
        <is>
          <t>RDO457</t>
        </is>
      </c>
      <c r="D235" s="10" t="inlineStr">
        <is>
          <t>ENGECOM PARA</t>
        </is>
      </c>
      <c r="E235" s="10" t="inlineStr">
        <is>
          <t>Marabá</t>
        </is>
      </c>
      <c r="F235" s="10" t="inlineStr">
        <is>
          <t>Preventiva MARABA</t>
        </is>
      </c>
      <c r="G235" s="10" t="inlineStr">
        <is>
          <t>Jose Domingos Lopes</t>
        </is>
      </c>
      <c r="H235" s="10" t="inlineStr">
        <is>
          <t>2.2.1</t>
        </is>
      </c>
      <c r="I235" s="10" t="inlineStr">
        <is>
          <t>Roçada</t>
        </is>
      </c>
      <c r="J235" s="10" t="inlineStr">
        <is>
          <t>M2</t>
        </is>
      </c>
      <c r="K235" s="13" t="n">
        <v>2220</v>
      </c>
      <c r="L235" s="10" t="n">
        <v>12</v>
      </c>
      <c r="M235" s="13" t="n">
        <v>50</v>
      </c>
      <c r="N235" s="13" t="n">
        <v>49.3333333333333</v>
      </c>
      <c r="O235" s="13">
        <f>IF(N235=0,0,K235/(L235*N235))</f>
        <v/>
      </c>
      <c r="P235" s="13">
        <f>IF(O235=0,0,K235/(L235*O235))</f>
        <v/>
      </c>
      <c r="Q235" s="14">
        <f>IF(M235=0,0,P235/M235)</f>
        <v/>
      </c>
      <c r="R235" s="13">
        <f>L235*O235</f>
        <v/>
      </c>
    </row>
    <row r="236">
      <c r="A236" s="12" t="n">
        <v>46225</v>
      </c>
      <c r="B236" s="12" t="n">
        <v>46225</v>
      </c>
      <c r="C236" s="10" t="inlineStr">
        <is>
          <t>RDO451</t>
        </is>
      </c>
      <c r="D236" s="10" t="inlineStr">
        <is>
          <t>ENGECOM PARA</t>
        </is>
      </c>
      <c r="E236" s="10" t="inlineStr">
        <is>
          <t>Parauapebas</t>
        </is>
      </c>
      <c r="F236" s="10" t="inlineStr">
        <is>
          <t>Preventiva PARAUAPEBAS</t>
        </is>
      </c>
      <c r="G236" s="10" t="inlineStr">
        <is>
          <t>Leandro Soares Dias</t>
        </is>
      </c>
      <c r="H236" s="10" t="inlineStr">
        <is>
          <t>2.2.2</t>
        </is>
      </c>
      <c r="I236" s="10" t="inlineStr">
        <is>
          <t>Capina</t>
        </is>
      </c>
      <c r="J236" s="10" t="inlineStr">
        <is>
          <t>M2</t>
        </is>
      </c>
      <c r="K236" s="13" t="n">
        <v>101.2</v>
      </c>
      <c r="L236" s="10" t="n">
        <v>11</v>
      </c>
      <c r="M236" s="13" t="n">
        <v>4</v>
      </c>
      <c r="N236" s="13" t="n">
        <v>3.06666666666667</v>
      </c>
      <c r="O236" s="13">
        <f>IF(N236=0,0,K236/(L236*N236))</f>
        <v/>
      </c>
      <c r="P236" s="13">
        <f>IF(O236=0,0,K236/(L236*O236))</f>
        <v/>
      </c>
      <c r="Q236" s="14">
        <f>IF(M236=0,0,P236/M236)</f>
        <v/>
      </c>
      <c r="R236" s="13">
        <f>L236*O236</f>
        <v/>
      </c>
    </row>
    <row r="237">
      <c r="A237" s="12" t="n">
        <v>46225</v>
      </c>
      <c r="B237" s="12" t="n">
        <v>46225</v>
      </c>
      <c r="C237" s="10" t="inlineStr">
        <is>
          <t>RDO451</t>
        </is>
      </c>
      <c r="D237" s="10" t="inlineStr">
        <is>
          <t>ENGECOM PARA</t>
        </is>
      </c>
      <c r="E237" s="10" t="inlineStr">
        <is>
          <t>Parauapebas</t>
        </is>
      </c>
      <c r="F237" s="10" t="inlineStr">
        <is>
          <t>Preventiva PARAUAPEBAS</t>
        </is>
      </c>
      <c r="G237" s="10" t="inlineStr">
        <is>
          <t>Leandro Soares Dias</t>
        </is>
      </c>
      <c r="H237" s="10" t="inlineStr">
        <is>
          <t>2.1.5</t>
        </is>
      </c>
      <c r="I237" s="10" t="inlineStr">
        <is>
          <t>Limpeza De Valeta, Sarjetas E Meio Fio</t>
        </is>
      </c>
      <c r="J237" s="10" t="inlineStr">
        <is>
          <t>M</t>
        </is>
      </c>
      <c r="K237" s="13" t="n">
        <v>404.8</v>
      </c>
      <c r="L237" s="10" t="n">
        <v>11</v>
      </c>
      <c r="M237" s="13" t="n">
        <v>9</v>
      </c>
      <c r="N237" s="13" t="n">
        <v>10.5142857142857</v>
      </c>
      <c r="O237" s="13">
        <f>IF(N237=0,0,K237/(L237*N237))</f>
        <v/>
      </c>
      <c r="P237" s="13">
        <f>IF(O237=0,0,K237/(L237*O237))</f>
        <v/>
      </c>
      <c r="Q237" s="14">
        <f>IF(M237=0,0,P237/M237)</f>
        <v/>
      </c>
      <c r="R237" s="13">
        <f>L237*O237</f>
        <v/>
      </c>
    </row>
    <row r="238">
      <c r="A238" s="12" t="n">
        <v>46226</v>
      </c>
      <c r="B238" s="12" t="n">
        <v>46226</v>
      </c>
      <c r="C238" s="10" t="inlineStr">
        <is>
          <t>RDO463</t>
        </is>
      </c>
      <c r="D238" s="10" t="inlineStr">
        <is>
          <t>ENGECOM PARA</t>
        </is>
      </c>
      <c r="E238" s="10" t="inlineStr">
        <is>
          <t>Canaã</t>
        </is>
      </c>
      <c r="F238" s="10" t="inlineStr">
        <is>
          <t>Preventiva CANNÃ DOS CARAJAS</t>
        </is>
      </c>
      <c r="G238" s="10" t="inlineStr">
        <is>
          <t>Gilvandro Borges Dos Santos</t>
        </is>
      </c>
      <c r="H238" s="10" t="inlineStr">
        <is>
          <t>2.1.7</t>
        </is>
      </c>
      <c r="I238" s="10" t="inlineStr">
        <is>
          <t>Recuperação De Drenagem Tipo Canaleta/Valeta Em Taludes, Limitando-Se A 100M De Extensão</t>
        </is>
      </c>
      <c r="J238" s="10" t="inlineStr">
        <is>
          <t>M</t>
        </is>
      </c>
      <c r="K238" s="13" t="n">
        <v>30</v>
      </c>
      <c r="L238" s="10" t="n">
        <v>11</v>
      </c>
      <c r="M238" s="13" t="n">
        <v>1</v>
      </c>
      <c r="N238" s="13" t="n">
        <v>0.9090909090909089</v>
      </c>
      <c r="O238" s="13">
        <f>IF(N238=0,0,K238/(L238*N238))</f>
        <v/>
      </c>
      <c r="P238" s="13">
        <f>IF(O238=0,0,K238/(L238*O238))</f>
        <v/>
      </c>
      <c r="Q238" s="14">
        <f>IF(M238=0,0,P238/M238)</f>
        <v/>
      </c>
      <c r="R238" s="13">
        <f>L238*O238</f>
        <v/>
      </c>
    </row>
    <row r="239">
      <c r="A239" s="12" t="n">
        <v>46226</v>
      </c>
      <c r="B239" s="12" t="n">
        <v>46226</v>
      </c>
      <c r="C239" s="10" t="inlineStr">
        <is>
          <t>RDO463</t>
        </is>
      </c>
      <c r="D239" s="10" t="inlineStr">
        <is>
          <t>ENGECOM PARA</t>
        </is>
      </c>
      <c r="E239" s="10" t="inlineStr">
        <is>
          <t>Canaã</t>
        </is>
      </c>
      <c r="F239" s="10" t="inlineStr">
        <is>
          <t>Preventiva CANNÃ DOS CARAJAS</t>
        </is>
      </c>
      <c r="G239" s="10" t="inlineStr">
        <is>
          <t>Gilvandro Borges Dos Santos</t>
        </is>
      </c>
      <c r="H239" s="10" t="inlineStr">
        <is>
          <t>2.2.1</t>
        </is>
      </c>
      <c r="I239" s="10" t="inlineStr">
        <is>
          <t>Roçada</t>
        </is>
      </c>
      <c r="J239" s="10" t="inlineStr">
        <is>
          <t>M2</t>
        </is>
      </c>
      <c r="K239" s="13" t="n">
        <v>80</v>
      </c>
      <c r="L239" s="10" t="n">
        <v>4</v>
      </c>
      <c r="M239" s="13" t="n">
        <v>50</v>
      </c>
      <c r="N239" s="13" t="n">
        <v>20</v>
      </c>
      <c r="O239" s="13">
        <f>IF(N239=0,0,K239/(L239*N239))</f>
        <v/>
      </c>
      <c r="P239" s="13">
        <f>IF(O239=0,0,K239/(L239*O239))</f>
        <v/>
      </c>
      <c r="Q239" s="14">
        <f>IF(M239=0,0,P239/M239)</f>
        <v/>
      </c>
      <c r="R239" s="13">
        <f>L239*O239</f>
        <v/>
      </c>
    </row>
    <row r="240">
      <c r="A240" s="12" t="n">
        <v>46226</v>
      </c>
      <c r="B240" s="12" t="n">
        <v>46226</v>
      </c>
      <c r="C240" s="10" t="inlineStr">
        <is>
          <t>RDO463</t>
        </is>
      </c>
      <c r="D240" s="10" t="inlineStr">
        <is>
          <t>ENGECOM PARA</t>
        </is>
      </c>
      <c r="E240" s="10" t="inlineStr">
        <is>
          <t>Canaã</t>
        </is>
      </c>
      <c r="F240" s="10" t="inlineStr">
        <is>
          <t>Preventiva CANNÃ DOS CARAJAS</t>
        </is>
      </c>
      <c r="G240" s="10" t="inlineStr">
        <is>
          <t>Gilvandro Borges Dos Santos</t>
        </is>
      </c>
      <c r="H240" s="10" t="inlineStr">
        <is>
          <t>2.1.2</t>
        </is>
      </c>
      <c r="I240" s="10" t="inlineStr">
        <is>
          <t>Limpeza De Bueiros</t>
        </is>
      </c>
      <c r="J240" s="10" t="inlineStr">
        <is>
          <t>M3</t>
        </is>
      </c>
      <c r="K240" s="13" t="n">
        <v>11.7</v>
      </c>
      <c r="L240" s="10" t="n">
        <v>7</v>
      </c>
      <c r="M240" s="13" t="n">
        <v>1</v>
      </c>
      <c r="N240" s="13" t="n">
        <v>0.477551020408163</v>
      </c>
      <c r="O240" s="13">
        <f>IF(N240=0,0,K240/(L240*N240))</f>
        <v/>
      </c>
      <c r="P240" s="13">
        <f>IF(O240=0,0,K240/(L240*O240))</f>
        <v/>
      </c>
      <c r="Q240" s="14">
        <f>IF(M240=0,0,P240/M240)</f>
        <v/>
      </c>
      <c r="R240" s="13">
        <f>L240*O240</f>
        <v/>
      </c>
    </row>
    <row r="241">
      <c r="A241" s="12" t="n">
        <v>46226</v>
      </c>
      <c r="B241" s="12" t="n">
        <v>46226</v>
      </c>
      <c r="C241" s="10" t="inlineStr">
        <is>
          <t>RDO458</t>
        </is>
      </c>
      <c r="D241" s="10" t="inlineStr">
        <is>
          <t>ENGECOM PARA</t>
        </is>
      </c>
      <c r="E241" s="10" t="inlineStr">
        <is>
          <t>Marabá</t>
        </is>
      </c>
      <c r="F241" s="10" t="inlineStr">
        <is>
          <t>Preventiva MARABA</t>
        </is>
      </c>
      <c r="G241" s="10" t="inlineStr">
        <is>
          <t>Jose Domingos Lopes</t>
        </is>
      </c>
      <c r="H241" s="10" t="inlineStr">
        <is>
          <t>2.2.1</t>
        </is>
      </c>
      <c r="I241" s="10" t="inlineStr">
        <is>
          <t>Roçada</t>
        </is>
      </c>
      <c r="J241" s="10" t="inlineStr">
        <is>
          <t>M2</t>
        </is>
      </c>
      <c r="K241" s="13" t="n">
        <v>3309</v>
      </c>
      <c r="L241" s="10" t="n">
        <v>12</v>
      </c>
      <c r="M241" s="13" t="n">
        <v>50</v>
      </c>
      <c r="N241" s="13" t="n">
        <v>118.178571428571</v>
      </c>
      <c r="O241" s="13">
        <f>IF(N241=0,0,K241/(L241*N241))</f>
        <v/>
      </c>
      <c r="P241" s="13">
        <f>IF(O241=0,0,K241/(L241*O241))</f>
        <v/>
      </c>
      <c r="Q241" s="14">
        <f>IF(M241=0,0,P241/M241)</f>
        <v/>
      </c>
      <c r="R241" s="13">
        <f>L241*O241</f>
        <v/>
      </c>
    </row>
    <row r="242">
      <c r="A242" s="12" t="n">
        <v>46226</v>
      </c>
      <c r="B242" s="12" t="n">
        <v>46226</v>
      </c>
      <c r="C242" s="10" t="inlineStr">
        <is>
          <t>RDO458</t>
        </is>
      </c>
      <c r="D242" s="10" t="inlineStr">
        <is>
          <t>ENGECOM PARA</t>
        </is>
      </c>
      <c r="E242" s="10" t="inlineStr">
        <is>
          <t>Marabá</t>
        </is>
      </c>
      <c r="F242" s="10" t="inlineStr">
        <is>
          <t>Preventiva MARABA</t>
        </is>
      </c>
      <c r="G242" s="10" t="inlineStr">
        <is>
          <t>Jose Domingos Lopes</t>
        </is>
      </c>
      <c r="H242" s="10" t="inlineStr">
        <is>
          <t>2.1.5</t>
        </is>
      </c>
      <c r="I242" s="10" t="inlineStr">
        <is>
          <t>Limpeza De Valeta, Sarjetas E Meio Fio</t>
        </is>
      </c>
      <c r="J242" s="10" t="inlineStr">
        <is>
          <t>M</t>
        </is>
      </c>
      <c r="K242" s="13" t="n">
        <v>91</v>
      </c>
      <c r="L242" s="10" t="n">
        <v>12</v>
      </c>
      <c r="M242" s="13" t="n">
        <v>9</v>
      </c>
      <c r="N242" s="13" t="n">
        <v>2.16666666666667</v>
      </c>
      <c r="O242" s="13">
        <f>IF(N242=0,0,K242/(L242*N242))</f>
        <v/>
      </c>
      <c r="P242" s="13">
        <f>IF(O242=0,0,K242/(L242*O242))</f>
        <v/>
      </c>
      <c r="Q242" s="14">
        <f>IF(M242=0,0,P242/M242)</f>
        <v/>
      </c>
      <c r="R242" s="13">
        <f>L242*O242</f>
        <v/>
      </c>
    </row>
    <row r="243">
      <c r="A243" s="12" t="n">
        <v>46226</v>
      </c>
      <c r="B243" s="12" t="n">
        <v>46226</v>
      </c>
      <c r="C243" s="10" t="inlineStr">
        <is>
          <t>RDO452</t>
        </is>
      </c>
      <c r="D243" s="10" t="inlineStr">
        <is>
          <t>ENGECOM PARA</t>
        </is>
      </c>
      <c r="E243" s="10" t="inlineStr">
        <is>
          <t>Parauapebas</t>
        </is>
      </c>
      <c r="F243" s="10" t="inlineStr">
        <is>
          <t>Preventiva PARAUAPEBAS</t>
        </is>
      </c>
      <c r="G243" s="10" t="inlineStr">
        <is>
          <t>Leandro Soares Dias</t>
        </is>
      </c>
      <c r="H243" s="10" t="inlineStr">
        <is>
          <t>2.1.8</t>
        </is>
      </c>
      <c r="I243" s="10" t="inlineStr">
        <is>
          <t>Recuperação De Drenagem Tipop Sarjeta/Meio-Fio Em Plataforma, Limitando-Se A 100M De Extensão</t>
        </is>
      </c>
      <c r="J243" s="10" t="inlineStr">
        <is>
          <t>M</t>
        </is>
      </c>
      <c r="K243" s="13" t="n">
        <v>50</v>
      </c>
      <c r="L243" s="10" t="n">
        <v>11</v>
      </c>
      <c r="M243" s="13" t="n">
        <v>1</v>
      </c>
      <c r="N243" s="13" t="n">
        <v>1.51515151515152</v>
      </c>
      <c r="O243" s="13">
        <f>IF(N243=0,0,K243/(L243*N243))</f>
        <v/>
      </c>
      <c r="P243" s="13">
        <f>IF(O243=0,0,K243/(L243*O243))</f>
        <v/>
      </c>
      <c r="Q243" s="14">
        <f>IF(M243=0,0,P243/M243)</f>
        <v/>
      </c>
      <c r="R243" s="13">
        <f>L243*O243</f>
        <v/>
      </c>
    </row>
    <row r="244">
      <c r="A244" s="12" t="n">
        <v>46226</v>
      </c>
      <c r="B244" s="12" t="n">
        <v>46226</v>
      </c>
      <c r="C244" s="10" t="inlineStr">
        <is>
          <t>RDO452</t>
        </is>
      </c>
      <c r="D244" s="10" t="inlineStr">
        <is>
          <t>ENGECOM PARA</t>
        </is>
      </c>
      <c r="E244" s="10" t="inlineStr">
        <is>
          <t>Parauapebas</t>
        </is>
      </c>
      <c r="F244" s="10" t="inlineStr">
        <is>
          <t>Preventiva PARAUAPEBAS</t>
        </is>
      </c>
      <c r="G244" s="10" t="inlineStr">
        <is>
          <t>Leandro Soares Dias</t>
        </is>
      </c>
      <c r="H244" s="10" t="inlineStr">
        <is>
          <t>2.1.8</t>
        </is>
      </c>
      <c r="I244" s="10" t="inlineStr">
        <is>
          <t>Recuperação De Drenagem Tipop Sarjeta/Meio-Fio Em Plataforma, Limitando-Se A 100M De Extensão</t>
        </is>
      </c>
      <c r="J244" s="10" t="inlineStr">
        <is>
          <t>M</t>
        </is>
      </c>
      <c r="K244" s="13" t="n">
        <v>65.09999999999999</v>
      </c>
      <c r="L244" s="10" t="n">
        <v>11</v>
      </c>
      <c r="M244" s="13" t="n">
        <v>1</v>
      </c>
      <c r="N244" s="13" t="n">
        <v>1.31515151515151</v>
      </c>
      <c r="O244" s="13">
        <f>IF(N244=0,0,K244/(L244*N244))</f>
        <v/>
      </c>
      <c r="P244" s="13">
        <f>IF(O244=0,0,K244/(L244*O244))</f>
        <v/>
      </c>
      <c r="Q244" s="14">
        <f>IF(M244=0,0,P244/M244)</f>
        <v/>
      </c>
      <c r="R244" s="13">
        <f>L244*O244</f>
        <v/>
      </c>
    </row>
    <row r="245">
      <c r="A245" s="12" t="n">
        <v>46227</v>
      </c>
      <c r="B245" s="12" t="n">
        <v>46227</v>
      </c>
      <c r="C245" s="10" t="inlineStr">
        <is>
          <t>RDO464</t>
        </is>
      </c>
      <c r="D245" s="10" t="inlineStr">
        <is>
          <t>ENGECOM PARA</t>
        </is>
      </c>
      <c r="E245" s="10" t="inlineStr">
        <is>
          <t>Canaã</t>
        </is>
      </c>
      <c r="F245" s="10" t="inlineStr">
        <is>
          <t>Preventiva CANNÃ DOS CARAJAS</t>
        </is>
      </c>
      <c r="G245" s="10" t="inlineStr">
        <is>
          <t>Gilvandro Borges Dos Santos</t>
        </is>
      </c>
      <c r="H245" s="10" t="inlineStr">
        <is>
          <t>2.2.1</t>
        </is>
      </c>
      <c r="I245" s="10" t="inlineStr">
        <is>
          <t>Roçada</t>
        </is>
      </c>
      <c r="J245" s="10" t="inlineStr">
        <is>
          <t>M2</t>
        </is>
      </c>
      <c r="K245" s="13" t="n">
        <v>1462</v>
      </c>
      <c r="L245" s="10" t="n">
        <v>11</v>
      </c>
      <c r="M245" s="13" t="n">
        <v>50</v>
      </c>
      <c r="N245" s="13" t="n">
        <v>31.8981818181818</v>
      </c>
      <c r="O245" s="13">
        <f>IF(N245=0,0,K245/(L245*N245))</f>
        <v/>
      </c>
      <c r="P245" s="13">
        <f>IF(O245=0,0,K245/(L245*O245))</f>
        <v/>
      </c>
      <c r="Q245" s="14">
        <f>IF(M245=0,0,P245/M245)</f>
        <v/>
      </c>
      <c r="R245" s="13">
        <f>L245*O245</f>
        <v/>
      </c>
    </row>
    <row r="246">
      <c r="A246" s="12" t="n">
        <v>46227</v>
      </c>
      <c r="B246" s="12" t="n">
        <v>46227</v>
      </c>
      <c r="C246" s="10" t="inlineStr">
        <is>
          <t>RDO464</t>
        </is>
      </c>
      <c r="D246" s="10" t="inlineStr">
        <is>
          <t>ENGECOM PARA</t>
        </is>
      </c>
      <c r="E246" s="10" t="inlineStr">
        <is>
          <t>Canaã</t>
        </is>
      </c>
      <c r="F246" s="10" t="inlineStr">
        <is>
          <t>Preventiva CANNÃ DOS CARAJAS</t>
        </is>
      </c>
      <c r="G246" s="10" t="inlineStr">
        <is>
          <t>Gilvandro Borges Dos Santos</t>
        </is>
      </c>
      <c r="H246" s="10" t="inlineStr">
        <is>
          <t>2.1.3</t>
        </is>
      </c>
      <c r="I246" s="10" t="inlineStr">
        <is>
          <t>Limpeza De Canaleta Em Corte E Aterro Ate Meia Seção</t>
        </is>
      </c>
      <c r="J246" s="10" t="inlineStr">
        <is>
          <t>M</t>
        </is>
      </c>
      <c r="K246" s="13" t="n">
        <v>676</v>
      </c>
      <c r="L246" s="10" t="n">
        <v>11</v>
      </c>
      <c r="M246" s="13" t="n">
        <v>15</v>
      </c>
      <c r="N246" s="13" t="n">
        <v>61.4545454545455</v>
      </c>
      <c r="O246" s="13">
        <f>IF(N246=0,0,K246/(L246*N246))</f>
        <v/>
      </c>
      <c r="P246" s="13">
        <f>IF(O246=0,0,K246/(L246*O246))</f>
        <v/>
      </c>
      <c r="Q246" s="14">
        <f>IF(M246=0,0,P246/M246)</f>
        <v/>
      </c>
      <c r="R246" s="13">
        <f>L246*O246</f>
        <v/>
      </c>
    </row>
    <row r="247">
      <c r="A247" s="12" t="n">
        <v>46227</v>
      </c>
      <c r="B247" s="12" t="n">
        <v>46227</v>
      </c>
      <c r="C247" s="10" t="inlineStr">
        <is>
          <t>RDO464</t>
        </is>
      </c>
      <c r="D247" s="10" t="inlineStr">
        <is>
          <t>ENGECOM PARA</t>
        </is>
      </c>
      <c r="E247" s="10" t="inlineStr">
        <is>
          <t>Canaã</t>
        </is>
      </c>
      <c r="F247" s="10" t="inlineStr">
        <is>
          <t>Preventiva CANNÃ DOS CARAJAS</t>
        </is>
      </c>
      <c r="G247" s="10" t="inlineStr">
        <is>
          <t>Gilvandro Borges Dos Santos</t>
        </is>
      </c>
      <c r="H247" s="10" t="inlineStr">
        <is>
          <t>2.1.5</t>
        </is>
      </c>
      <c r="I247" s="10" t="inlineStr">
        <is>
          <t>Limpeza De Valeta, Sarjetas E Meio Fio</t>
        </is>
      </c>
      <c r="J247" s="10" t="inlineStr">
        <is>
          <t>M</t>
        </is>
      </c>
      <c r="K247" s="13" t="n">
        <v>25</v>
      </c>
      <c r="L247" s="10" t="n">
        <v>11</v>
      </c>
      <c r="M247" s="13" t="n">
        <v>9</v>
      </c>
      <c r="N247" s="13" t="n">
        <v>4.54545454545455</v>
      </c>
      <c r="O247" s="13">
        <f>IF(N247=0,0,K247/(L247*N247))</f>
        <v/>
      </c>
      <c r="P247" s="13">
        <f>IF(O247=0,0,K247/(L247*O247))</f>
        <v/>
      </c>
      <c r="Q247" s="14">
        <f>IF(M247=0,0,P247/M247)</f>
        <v/>
      </c>
      <c r="R247" s="13">
        <f>L247*O247</f>
        <v/>
      </c>
    </row>
    <row r="248">
      <c r="A248" s="12" t="n">
        <v>46227</v>
      </c>
      <c r="B248" s="12" t="n">
        <v>46227</v>
      </c>
      <c r="C248" s="10" t="inlineStr">
        <is>
          <t>RDO464</t>
        </is>
      </c>
      <c r="D248" s="10" t="inlineStr">
        <is>
          <t>ENGECOM PARA</t>
        </is>
      </c>
      <c r="E248" s="10" t="inlineStr">
        <is>
          <t>Canaã</t>
        </is>
      </c>
      <c r="F248" s="10" t="inlineStr">
        <is>
          <t>Preventiva CANNÃ DOS CARAJAS</t>
        </is>
      </c>
      <c r="G248" s="10" t="inlineStr">
        <is>
          <t>Gilvandro Borges Dos Santos</t>
        </is>
      </c>
      <c r="H248" s="10" t="inlineStr">
        <is>
          <t>2.1.4</t>
        </is>
      </c>
      <c r="I248" s="10" t="inlineStr">
        <is>
          <t>Limpeza De Canaleta Em Corte E Aterro Com Seção Plena</t>
        </is>
      </c>
      <c r="J248" s="10" t="inlineStr">
        <is>
          <t>M</t>
        </is>
      </c>
      <c r="K248" s="13" t="n">
        <v>101</v>
      </c>
      <c r="L248" s="10" t="n">
        <v>11</v>
      </c>
      <c r="M248" s="13" t="n">
        <v>2.82</v>
      </c>
      <c r="N248" s="13" t="n">
        <v>4.59090909090909</v>
      </c>
      <c r="O248" s="13">
        <f>IF(N248=0,0,K248/(L248*N248))</f>
        <v/>
      </c>
      <c r="P248" s="13">
        <f>IF(O248=0,0,K248/(L248*O248))</f>
        <v/>
      </c>
      <c r="Q248" s="14">
        <f>IF(M248=0,0,P248/M248)</f>
        <v/>
      </c>
      <c r="R248" s="13">
        <f>L248*O248</f>
        <v/>
      </c>
    </row>
    <row r="249">
      <c r="A249" s="12" t="n">
        <v>46227</v>
      </c>
      <c r="B249" s="12" t="n">
        <v>46227</v>
      </c>
      <c r="C249" s="10" t="inlineStr">
        <is>
          <t>RDO459</t>
        </is>
      </c>
      <c r="D249" s="10" t="inlineStr">
        <is>
          <t>ENGECOM PARA</t>
        </is>
      </c>
      <c r="E249" s="10" t="inlineStr">
        <is>
          <t>Marabá</t>
        </is>
      </c>
      <c r="F249" s="10" t="inlineStr">
        <is>
          <t>Preventiva MARABA</t>
        </is>
      </c>
      <c r="G249" s="10" t="inlineStr">
        <is>
          <t>Jose Domingos Lopes</t>
        </is>
      </c>
      <c r="H249" s="10" t="inlineStr">
        <is>
          <t>2.2.1</t>
        </is>
      </c>
      <c r="I249" s="10" t="inlineStr">
        <is>
          <t>Roçada</t>
        </is>
      </c>
      <c r="J249" s="10" t="inlineStr">
        <is>
          <t>M2</t>
        </is>
      </c>
      <c r="K249" s="13" t="n">
        <v>2333</v>
      </c>
      <c r="L249" s="10" t="n">
        <v>7</v>
      </c>
      <c r="M249" s="13" t="n">
        <v>50</v>
      </c>
      <c r="N249" s="13" t="n">
        <v>54.046332046332</v>
      </c>
      <c r="O249" s="13">
        <f>IF(N249=0,0,K249/(L249*N249))</f>
        <v/>
      </c>
      <c r="P249" s="13">
        <f>IF(O249=0,0,K249/(L249*O249))</f>
        <v/>
      </c>
      <c r="Q249" s="14">
        <f>IF(M249=0,0,P249/M249)</f>
        <v/>
      </c>
      <c r="R249" s="13">
        <f>L249*O249</f>
        <v/>
      </c>
    </row>
    <row r="250">
      <c r="A250" s="12" t="n">
        <v>46227</v>
      </c>
      <c r="B250" s="12" t="n">
        <v>46227</v>
      </c>
      <c r="C250" s="10" t="inlineStr">
        <is>
          <t>RDO459</t>
        </is>
      </c>
      <c r="D250" s="10" t="inlineStr">
        <is>
          <t>ENGECOM PARA</t>
        </is>
      </c>
      <c r="E250" s="10" t="inlineStr">
        <is>
          <t>Marabá</t>
        </is>
      </c>
      <c r="F250" s="10" t="inlineStr">
        <is>
          <t>Preventiva MARABA</t>
        </is>
      </c>
      <c r="G250" s="10" t="inlineStr">
        <is>
          <t>Jose Domingos Lopes</t>
        </is>
      </c>
      <c r="H250" s="10" t="inlineStr">
        <is>
          <t>2.1.3</t>
        </is>
      </c>
      <c r="I250" s="10" t="inlineStr">
        <is>
          <t>Limpeza De Canaleta Em Corte E Aterro Ate Meia Seção</t>
        </is>
      </c>
      <c r="J250" s="10" t="inlineStr">
        <is>
          <t>M</t>
        </is>
      </c>
      <c r="K250" s="13" t="n">
        <v>579.5</v>
      </c>
      <c r="L250" s="10" t="n">
        <v>5</v>
      </c>
      <c r="M250" s="13" t="n">
        <v>15</v>
      </c>
      <c r="N250" s="13" t="n">
        <v>18.7945945945946</v>
      </c>
      <c r="O250" s="13">
        <f>IF(N250=0,0,K250/(L250*N250))</f>
        <v/>
      </c>
      <c r="P250" s="13">
        <f>IF(O250=0,0,K250/(L250*O250))</f>
        <v/>
      </c>
      <c r="Q250" s="14">
        <f>IF(M250=0,0,P250/M250)</f>
        <v/>
      </c>
      <c r="R250" s="13">
        <f>L250*O250</f>
        <v/>
      </c>
    </row>
    <row r="253">
      <c r="A253" s="3" t="inlineStr">
        <is>
          <t>Nota: Horas_Trabalhadas é retro-calculada a partir do PUS apurado pelo sistema de origem (ver Memorial_Calculo, item 3). PUS_Calculado deve ser igual a PUS_Sistema — é a validação do modelo.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F6F6B"/>
    <outlinePr summaryBelow="1" summaryRight="1"/>
    <pageSetUpPr/>
  </sheetPr>
  <dimension ref="A1:M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6" customWidth="1" min="2" max="2"/>
    <col width="11" customWidth="1" min="3" max="3"/>
    <col width="13" customWidth="1" min="4" max="4"/>
    <col width="11" customWidth="1" min="5" max="5"/>
    <col width="46" customWidth="1" min="6" max="6"/>
    <col width="9" customWidth="1" min="7" max="7"/>
    <col width="11" customWidth="1" min="8" max="8"/>
    <col width="13" customWidth="1" min="9" max="9"/>
    <col width="11" customWidth="1" min="10" max="10"/>
    <col width="17" customWidth="1" min="11" max="11"/>
    <col width="13" customWidth="1" min="12" max="12"/>
    <col width="9" customWidth="1" min="13" max="13"/>
  </cols>
  <sheetData>
    <row r="1">
      <c r="A1" s="9" t="inlineStr">
        <is>
          <t>Ano</t>
        </is>
      </c>
      <c r="B1" s="9" t="inlineStr">
        <is>
          <t>Mes</t>
        </is>
      </c>
      <c r="C1" s="9" t="inlineStr">
        <is>
          <t>MesNome</t>
        </is>
      </c>
      <c r="D1" s="9" t="inlineStr">
        <is>
          <t>Distrito</t>
        </is>
      </c>
      <c r="E1" s="9" t="inlineStr">
        <is>
          <t>Item_Codigo</t>
        </is>
      </c>
      <c r="F1" s="9" t="inlineStr">
        <is>
          <t>Atividade_Descricao</t>
        </is>
      </c>
      <c r="G1" s="9" t="inlineStr">
        <is>
          <t>Unidade</t>
        </is>
      </c>
      <c r="H1" s="9" t="inlineStr">
        <is>
          <t>Producao</t>
        </is>
      </c>
      <c r="I1" s="9" t="inlineStr">
        <is>
          <t>Produtividade_Hora</t>
        </is>
      </c>
      <c r="J1" s="9" t="inlineStr">
        <is>
          <t>Meta_PUS</t>
        </is>
      </c>
      <c r="K1" s="9" t="inlineStr">
        <is>
          <t>Homens_Hora_Implicito</t>
        </is>
      </c>
      <c r="L1" s="9" t="inlineStr">
        <is>
          <t>Eficiencia_Item</t>
        </is>
      </c>
      <c r="M1" s="9" t="inlineStr">
        <is>
          <t>Tem_Meta</t>
        </is>
      </c>
    </row>
    <row r="2">
      <c r="A2" s="10" t="n">
        <v>2026</v>
      </c>
      <c r="B2" s="10" t="n">
        <v>4</v>
      </c>
      <c r="C2" s="10" t="inlineStr">
        <is>
          <t>Abril</t>
        </is>
      </c>
      <c r="D2" s="10" t="inlineStr">
        <is>
          <t>Marabá</t>
        </is>
      </c>
      <c r="E2" s="10" t="inlineStr">
        <is>
          <t>2.1.2</t>
        </is>
      </c>
      <c r="F2" s="10" t="inlineStr">
        <is>
          <t>Limpeza De Bueiros</t>
        </is>
      </c>
      <c r="G2" s="10" t="inlineStr">
        <is>
          <t>M³</t>
        </is>
      </c>
      <c r="H2" s="13" t="n">
        <v>0</v>
      </c>
      <c r="I2" s="13" t="n">
        <v>0</v>
      </c>
      <c r="J2" s="13">
        <f>IFERROR(VLOOKUP(E2,tbl_DimAtividade[#All],4,FALSE),0)</f>
        <v/>
      </c>
      <c r="K2" s="13">
        <f>IF(I2=0,0,H2/I2)</f>
        <v/>
      </c>
      <c r="L2" s="14">
        <f>IF(M2=0,0,I2/J2)</f>
        <v/>
      </c>
      <c r="M2" s="15">
        <f>IF(ISERROR(VLOOKUP(E2,tbl_DimAtividade[#All],4,FALSE)),0,IF(VLOOKUP(E2,tbl_DimAtividade[#All],4,FALSE)=0,0,1))</f>
        <v/>
      </c>
    </row>
    <row r="3">
      <c r="A3" s="10" t="n">
        <v>2026</v>
      </c>
      <c r="B3" s="10" t="n">
        <v>4</v>
      </c>
      <c r="C3" s="10" t="inlineStr">
        <is>
          <t>Abril</t>
        </is>
      </c>
      <c r="D3" s="10" t="inlineStr">
        <is>
          <t>Parauapebas</t>
        </is>
      </c>
      <c r="E3" s="10" t="inlineStr">
        <is>
          <t>2.1.2</t>
        </is>
      </c>
      <c r="F3" s="10" t="inlineStr">
        <is>
          <t>Limpeza De Bueiros</t>
        </is>
      </c>
      <c r="G3" s="10" t="inlineStr">
        <is>
          <t>M³</t>
        </is>
      </c>
      <c r="H3" s="13" t="n">
        <v>2.332</v>
      </c>
      <c r="I3" s="13" t="n">
        <v>0.01665714285714286</v>
      </c>
      <c r="J3" s="13">
        <f>IFERROR(VLOOKUP(E3,tbl_DimAtividade[#All],4,FALSE),0)</f>
        <v/>
      </c>
      <c r="K3" s="13">
        <f>IF(I3=0,0,H3/I3)</f>
        <v/>
      </c>
      <c r="L3" s="14">
        <f>IF(M3=0,0,I3/J3)</f>
        <v/>
      </c>
      <c r="M3" s="15">
        <f>IF(ISERROR(VLOOKUP(E3,tbl_DimAtividade[#All],4,FALSE)),0,IF(VLOOKUP(E3,tbl_DimAtividade[#All],4,FALSE)=0,0,1))</f>
        <v/>
      </c>
    </row>
    <row r="4">
      <c r="A4" s="10" t="n">
        <v>2026</v>
      </c>
      <c r="B4" s="10" t="n">
        <v>4</v>
      </c>
      <c r="C4" s="10" t="inlineStr">
        <is>
          <t>Abril</t>
        </is>
      </c>
      <c r="D4" s="10" t="inlineStr">
        <is>
          <t>Canaã</t>
        </is>
      </c>
      <c r="E4" s="10" t="inlineStr">
        <is>
          <t>2.1.2</t>
        </is>
      </c>
      <c r="F4" s="10" t="inlineStr">
        <is>
          <t>Limpeza De Bueiros</t>
        </is>
      </c>
      <c r="G4" s="10" t="inlineStr">
        <is>
          <t>M³</t>
        </is>
      </c>
      <c r="H4" s="13" t="n">
        <v>0</v>
      </c>
      <c r="I4" s="13" t="n">
        <v>0</v>
      </c>
      <c r="J4" s="13">
        <f>IFERROR(VLOOKUP(E4,tbl_DimAtividade[#All],4,FALSE),0)</f>
        <v/>
      </c>
      <c r="K4" s="13">
        <f>IF(I4=0,0,H4/I4)</f>
        <v/>
      </c>
      <c r="L4" s="14">
        <f>IF(M4=0,0,I4/J4)</f>
        <v/>
      </c>
      <c r="M4" s="15">
        <f>IF(ISERROR(VLOOKUP(E4,tbl_DimAtividade[#All],4,FALSE)),0,IF(VLOOKUP(E4,tbl_DimAtividade[#All],4,FALSE)=0,0,1))</f>
        <v/>
      </c>
    </row>
    <row r="5">
      <c r="A5" s="10" t="n">
        <v>2026</v>
      </c>
      <c r="B5" s="10" t="n">
        <v>4</v>
      </c>
      <c r="C5" s="10" t="inlineStr">
        <is>
          <t>Abril</t>
        </is>
      </c>
      <c r="D5" s="10" t="inlineStr">
        <is>
          <t>Marabá</t>
        </is>
      </c>
      <c r="E5" s="10" t="inlineStr">
        <is>
          <t>2.1.7</t>
        </is>
      </c>
      <c r="F5" s="10" t="inlineStr">
        <is>
          <t>Limpeza De Valas De Bueiros (Montante E Jusante)</t>
        </is>
      </c>
      <c r="G5" s="10" t="inlineStr">
        <is>
          <t>M³</t>
        </is>
      </c>
      <c r="H5" s="13" t="n">
        <v>0</v>
      </c>
      <c r="I5" s="13" t="n">
        <v>0</v>
      </c>
      <c r="J5" s="13">
        <f>IFERROR(VLOOKUP(E5,tbl_DimAtividade[#All],4,FALSE),0)</f>
        <v/>
      </c>
      <c r="K5" s="13">
        <f>IF(I5=0,0,H5/I5)</f>
        <v/>
      </c>
      <c r="L5" s="14">
        <f>IF(M5=0,0,I5/J5)</f>
        <v/>
      </c>
      <c r="M5" s="15">
        <f>IF(ISERROR(VLOOKUP(E5,tbl_DimAtividade[#All],4,FALSE)),0,IF(VLOOKUP(E5,tbl_DimAtividade[#All],4,FALSE)=0,0,1))</f>
        <v/>
      </c>
    </row>
    <row r="6">
      <c r="A6" s="10" t="n">
        <v>2026</v>
      </c>
      <c r="B6" s="10" t="n">
        <v>4</v>
      </c>
      <c r="C6" s="10" t="inlineStr">
        <is>
          <t>Abril</t>
        </is>
      </c>
      <c r="D6" s="10" t="inlineStr">
        <is>
          <t>Parauapebas</t>
        </is>
      </c>
      <c r="E6" s="10" t="inlineStr">
        <is>
          <t>2.1.7</t>
        </is>
      </c>
      <c r="F6" s="10" t="inlineStr">
        <is>
          <t>Limpeza De Valas De Bueiros (Montante E Jusante)</t>
        </is>
      </c>
      <c r="G6" s="10" t="inlineStr">
        <is>
          <t>M³</t>
        </is>
      </c>
      <c r="H6" s="13" t="n">
        <v>0</v>
      </c>
      <c r="I6" s="13" t="n">
        <v>0</v>
      </c>
      <c r="J6" s="13">
        <f>IFERROR(VLOOKUP(E6,tbl_DimAtividade[#All],4,FALSE),0)</f>
        <v/>
      </c>
      <c r="K6" s="13">
        <f>IF(I6=0,0,H6/I6)</f>
        <v/>
      </c>
      <c r="L6" s="14">
        <f>IF(M6=0,0,I6/J6)</f>
        <v/>
      </c>
      <c r="M6" s="15">
        <f>IF(ISERROR(VLOOKUP(E6,tbl_DimAtividade[#All],4,FALSE)),0,IF(VLOOKUP(E6,tbl_DimAtividade[#All],4,FALSE)=0,0,1))</f>
        <v/>
      </c>
    </row>
    <row r="7">
      <c r="A7" s="10" t="n">
        <v>2026</v>
      </c>
      <c r="B7" s="10" t="n">
        <v>4</v>
      </c>
      <c r="C7" s="10" t="inlineStr">
        <is>
          <t>Abril</t>
        </is>
      </c>
      <c r="D7" s="10" t="inlineStr">
        <is>
          <t>Canaã</t>
        </is>
      </c>
      <c r="E7" s="10" t="inlineStr">
        <is>
          <t>2.1.7</t>
        </is>
      </c>
      <c r="F7" s="10" t="inlineStr">
        <is>
          <t>Limpeza De Valas De Bueiros (Montante E Jusante)</t>
        </is>
      </c>
      <c r="G7" s="10" t="inlineStr">
        <is>
          <t>M³</t>
        </is>
      </c>
      <c r="H7" s="13" t="n">
        <v>0</v>
      </c>
      <c r="I7" s="13" t="n">
        <v>0</v>
      </c>
      <c r="J7" s="13">
        <f>IFERROR(VLOOKUP(E7,tbl_DimAtividade[#All],4,FALSE),0)</f>
        <v/>
      </c>
      <c r="K7" s="13">
        <f>IF(I7=0,0,H7/I7)</f>
        <v/>
      </c>
      <c r="L7" s="14">
        <f>IF(M7=0,0,I7/J7)</f>
        <v/>
      </c>
      <c r="M7" s="15">
        <f>IF(ISERROR(VLOOKUP(E7,tbl_DimAtividade[#All],4,FALSE)),0,IF(VLOOKUP(E7,tbl_DimAtividade[#All],4,FALSE)=0,0,1))</f>
        <v/>
      </c>
    </row>
    <row r="8">
      <c r="A8" s="10" t="n">
        <v>2026</v>
      </c>
      <c r="B8" s="10" t="n">
        <v>4</v>
      </c>
      <c r="C8" s="10" t="inlineStr">
        <is>
          <t>Abril</t>
        </is>
      </c>
      <c r="D8" s="10" t="inlineStr">
        <is>
          <t>Marabá</t>
        </is>
      </c>
      <c r="E8" s="10" t="inlineStr">
        <is>
          <t>2.1.3</t>
        </is>
      </c>
      <c r="F8" s="10" t="inlineStr">
        <is>
          <t>Limpeza De Canaleta Em Corte E Aterro Até Meia Seção (M)</t>
        </is>
      </c>
      <c r="G8" s="10" t="inlineStr">
        <is>
          <t>M</t>
        </is>
      </c>
      <c r="H8" s="13" t="n">
        <v>1010.3</v>
      </c>
      <c r="I8" s="13" t="n">
        <v>7.216428571428571</v>
      </c>
      <c r="J8" s="13">
        <f>IFERROR(VLOOKUP(E8,tbl_DimAtividade[#All],4,FALSE),0)</f>
        <v/>
      </c>
      <c r="K8" s="13">
        <f>IF(I8=0,0,H8/I8)</f>
        <v/>
      </c>
      <c r="L8" s="14">
        <f>IF(M8=0,0,I8/J8)</f>
        <v/>
      </c>
      <c r="M8" s="15">
        <f>IF(ISERROR(VLOOKUP(E8,tbl_DimAtividade[#All],4,FALSE)),0,IF(VLOOKUP(E8,tbl_DimAtividade[#All],4,FALSE)=0,0,1))</f>
        <v/>
      </c>
    </row>
    <row r="9">
      <c r="A9" s="10" t="n">
        <v>2026</v>
      </c>
      <c r="B9" s="10" t="n">
        <v>4</v>
      </c>
      <c r="C9" s="10" t="inlineStr">
        <is>
          <t>Abril</t>
        </is>
      </c>
      <c r="D9" s="10" t="inlineStr">
        <is>
          <t>Parauapebas</t>
        </is>
      </c>
      <c r="E9" s="10" t="inlineStr">
        <is>
          <t>2.1.3</t>
        </is>
      </c>
      <c r="F9" s="10" t="inlineStr">
        <is>
          <t>Limpeza De Canaleta Em Corte E Aterro Até Meia Seção (M)</t>
        </is>
      </c>
      <c r="G9" s="10" t="inlineStr">
        <is>
          <t>M</t>
        </is>
      </c>
      <c r="H9" s="13" t="n">
        <v>2417.2</v>
      </c>
      <c r="I9" s="13" t="n">
        <v>17.26571428571429</v>
      </c>
      <c r="J9" s="13">
        <f>IFERROR(VLOOKUP(E9,tbl_DimAtividade[#All],4,FALSE),0)</f>
        <v/>
      </c>
      <c r="K9" s="13">
        <f>IF(I9=0,0,H9/I9)</f>
        <v/>
      </c>
      <c r="L9" s="14">
        <f>IF(M9=0,0,I9/J9)</f>
        <v/>
      </c>
      <c r="M9" s="15">
        <f>IF(ISERROR(VLOOKUP(E9,tbl_DimAtividade[#All],4,FALSE)),0,IF(VLOOKUP(E9,tbl_DimAtividade[#All],4,FALSE)=0,0,1))</f>
        <v/>
      </c>
    </row>
    <row r="10">
      <c r="A10" s="10" t="n">
        <v>2026</v>
      </c>
      <c r="B10" s="10" t="n">
        <v>4</v>
      </c>
      <c r="C10" s="10" t="inlineStr">
        <is>
          <t>Abril</t>
        </is>
      </c>
      <c r="D10" s="10" t="inlineStr">
        <is>
          <t>Canaã</t>
        </is>
      </c>
      <c r="E10" s="10" t="inlineStr">
        <is>
          <t>2.1.3</t>
        </is>
      </c>
      <c r="F10" s="10" t="inlineStr">
        <is>
          <t>Limpeza De Canaleta Em Corte E Aterro Até Meia Seção (M)</t>
        </is>
      </c>
      <c r="G10" s="10" t="inlineStr">
        <is>
          <t>M</t>
        </is>
      </c>
      <c r="H10" s="13" t="n">
        <v>587</v>
      </c>
      <c r="I10" s="13" t="n">
        <v>4.192857142857143</v>
      </c>
      <c r="J10" s="13">
        <f>IFERROR(VLOOKUP(E10,tbl_DimAtividade[#All],4,FALSE),0)</f>
        <v/>
      </c>
      <c r="K10" s="13">
        <f>IF(I10=0,0,H10/I10)</f>
        <v/>
      </c>
      <c r="L10" s="14">
        <f>IF(M10=0,0,I10/J10)</f>
        <v/>
      </c>
      <c r="M10" s="15">
        <f>IF(ISERROR(VLOOKUP(E10,tbl_DimAtividade[#All],4,FALSE)),0,IF(VLOOKUP(E10,tbl_DimAtividade[#All],4,FALSE)=0,0,1))</f>
        <v/>
      </c>
    </row>
    <row r="11">
      <c r="A11" s="10" t="n">
        <v>2026</v>
      </c>
      <c r="B11" s="10" t="n">
        <v>4</v>
      </c>
      <c r="C11" s="10" t="inlineStr">
        <is>
          <t>Abril</t>
        </is>
      </c>
      <c r="D11" s="10" t="inlineStr">
        <is>
          <t>Marabá</t>
        </is>
      </c>
      <c r="E11" s="10" t="inlineStr">
        <is>
          <t>2.1.4</t>
        </is>
      </c>
      <c r="F11" s="10" t="inlineStr">
        <is>
          <t>Limpeza De Canaleta Em Corte E Aterro Com Seção Plena</t>
        </is>
      </c>
      <c r="G11" s="10" t="inlineStr">
        <is>
          <t>M</t>
        </is>
      </c>
      <c r="H11" s="13" t="n">
        <v>1991.8</v>
      </c>
      <c r="I11" s="13" t="n">
        <v>14.22714285714286</v>
      </c>
      <c r="J11" s="13">
        <f>IFERROR(VLOOKUP(E11,tbl_DimAtividade[#All],4,FALSE),0)</f>
        <v/>
      </c>
      <c r="K11" s="13">
        <f>IF(I11=0,0,H11/I11)</f>
        <v/>
      </c>
      <c r="L11" s="14">
        <f>IF(M11=0,0,I11/J11)</f>
        <v/>
      </c>
      <c r="M11" s="15">
        <f>IF(ISERROR(VLOOKUP(E11,tbl_DimAtividade[#All],4,FALSE)),0,IF(VLOOKUP(E11,tbl_DimAtividade[#All],4,FALSE)=0,0,1))</f>
        <v/>
      </c>
    </row>
    <row r="12">
      <c r="A12" s="10" t="n">
        <v>2026</v>
      </c>
      <c r="B12" s="10" t="n">
        <v>4</v>
      </c>
      <c r="C12" s="10" t="inlineStr">
        <is>
          <t>Abril</t>
        </is>
      </c>
      <c r="D12" s="10" t="inlineStr">
        <is>
          <t>Parauapebas</t>
        </is>
      </c>
      <c r="E12" s="10" t="inlineStr">
        <is>
          <t>2.1.4</t>
        </is>
      </c>
      <c r="F12" s="10" t="inlineStr">
        <is>
          <t>Limpeza De Canaleta Em Corte E Aterro Com Seção Plena</t>
        </is>
      </c>
      <c r="G12" s="10" t="inlineStr">
        <is>
          <t>M</t>
        </is>
      </c>
      <c r="H12" s="13" t="n">
        <v>169.6</v>
      </c>
      <c r="I12" s="13" t="n">
        <v>1.211428571428571</v>
      </c>
      <c r="J12" s="13">
        <f>IFERROR(VLOOKUP(E12,tbl_DimAtividade[#All],4,FALSE),0)</f>
        <v/>
      </c>
      <c r="K12" s="13">
        <f>IF(I12=0,0,H12/I12)</f>
        <v/>
      </c>
      <c r="L12" s="14">
        <f>IF(M12=0,0,I12/J12)</f>
        <v/>
      </c>
      <c r="M12" s="15">
        <f>IF(ISERROR(VLOOKUP(E12,tbl_DimAtividade[#All],4,FALSE)),0,IF(VLOOKUP(E12,tbl_DimAtividade[#All],4,FALSE)=0,0,1))</f>
        <v/>
      </c>
    </row>
    <row r="13">
      <c r="A13" s="10" t="n">
        <v>2026</v>
      </c>
      <c r="B13" s="10" t="n">
        <v>4</v>
      </c>
      <c r="C13" s="10" t="inlineStr">
        <is>
          <t>Abril</t>
        </is>
      </c>
      <c r="D13" s="10" t="inlineStr">
        <is>
          <t>Canaã</t>
        </is>
      </c>
      <c r="E13" s="10" t="inlineStr">
        <is>
          <t>2.1.4</t>
        </is>
      </c>
      <c r="F13" s="10" t="inlineStr">
        <is>
          <t>Limpeza De Canaleta Em Corte E Aterro Com Seção Plena</t>
        </is>
      </c>
      <c r="G13" s="10" t="inlineStr">
        <is>
          <t>M</t>
        </is>
      </c>
      <c r="H13" s="13" t="n">
        <v>162</v>
      </c>
      <c r="I13" s="13" t="n">
        <v>1.157142857142857</v>
      </c>
      <c r="J13" s="13">
        <f>IFERROR(VLOOKUP(E13,tbl_DimAtividade[#All],4,FALSE),0)</f>
        <v/>
      </c>
      <c r="K13" s="13">
        <f>IF(I13=0,0,H13/I13)</f>
        <v/>
      </c>
      <c r="L13" s="14">
        <f>IF(M13=0,0,I13/J13)</f>
        <v/>
      </c>
      <c r="M13" s="15">
        <f>IF(ISERROR(VLOOKUP(E13,tbl_DimAtividade[#All],4,FALSE)),0,IF(VLOOKUP(E13,tbl_DimAtividade[#All],4,FALSE)=0,0,1))</f>
        <v/>
      </c>
    </row>
    <row r="14">
      <c r="A14" s="10" t="n">
        <v>2026</v>
      </c>
      <c r="B14" s="10" t="n">
        <v>4</v>
      </c>
      <c r="C14" s="10" t="inlineStr">
        <is>
          <t>Abril</t>
        </is>
      </c>
      <c r="D14" s="10" t="inlineStr">
        <is>
          <t>Marabá</t>
        </is>
      </c>
      <c r="E14" s="10" t="inlineStr">
        <is>
          <t>2.1.5</t>
        </is>
      </c>
      <c r="F14" s="10" t="inlineStr">
        <is>
          <t>Limpeza De Valeta, Sarjetas E Meio Fios</t>
        </is>
      </c>
      <c r="G14" s="10" t="inlineStr">
        <is>
          <t>M</t>
        </is>
      </c>
      <c r="H14" s="13" t="n">
        <v>1873.8</v>
      </c>
      <c r="I14" s="13" t="n">
        <v>13.38428571428571</v>
      </c>
      <c r="J14" s="13">
        <f>IFERROR(VLOOKUP(E14,tbl_DimAtividade[#All],4,FALSE),0)</f>
        <v/>
      </c>
      <c r="K14" s="13">
        <f>IF(I14=0,0,H14/I14)</f>
        <v/>
      </c>
      <c r="L14" s="14">
        <f>IF(M14=0,0,I14/J14)</f>
        <v/>
      </c>
      <c r="M14" s="15">
        <f>IF(ISERROR(VLOOKUP(E14,tbl_DimAtividade[#All],4,FALSE)),0,IF(VLOOKUP(E14,tbl_DimAtividade[#All],4,FALSE)=0,0,1))</f>
        <v/>
      </c>
    </row>
    <row r="15">
      <c r="A15" s="10" t="n">
        <v>2026</v>
      </c>
      <c r="B15" s="10" t="n">
        <v>4</v>
      </c>
      <c r="C15" s="10" t="inlineStr">
        <is>
          <t>Abril</t>
        </is>
      </c>
      <c r="D15" s="10" t="inlineStr">
        <is>
          <t>Parauapebas</t>
        </is>
      </c>
      <c r="E15" s="10" t="inlineStr">
        <is>
          <t>2.1.5</t>
        </is>
      </c>
      <c r="F15" s="10" t="inlineStr">
        <is>
          <t>Limpeza De Valeta, Sarjetas E Meio Fios</t>
        </is>
      </c>
      <c r="G15" s="10" t="inlineStr">
        <is>
          <t>M</t>
        </is>
      </c>
      <c r="H15" s="13" t="n">
        <v>533</v>
      </c>
      <c r="I15" s="13" t="n">
        <v>3.807142857142857</v>
      </c>
      <c r="J15" s="13">
        <f>IFERROR(VLOOKUP(E15,tbl_DimAtividade[#All],4,FALSE),0)</f>
        <v/>
      </c>
      <c r="K15" s="13">
        <f>IF(I15=0,0,H15/I15)</f>
        <v/>
      </c>
      <c r="L15" s="14">
        <f>IF(M15=0,0,I15/J15)</f>
        <v/>
      </c>
      <c r="M15" s="15">
        <f>IF(ISERROR(VLOOKUP(E15,tbl_DimAtividade[#All],4,FALSE)),0,IF(VLOOKUP(E15,tbl_DimAtividade[#All],4,FALSE)=0,0,1))</f>
        <v/>
      </c>
    </row>
    <row r="16">
      <c r="A16" s="10" t="n">
        <v>2026</v>
      </c>
      <c r="B16" s="10" t="n">
        <v>4</v>
      </c>
      <c r="C16" s="10" t="inlineStr">
        <is>
          <t>Abril</t>
        </is>
      </c>
      <c r="D16" s="10" t="inlineStr">
        <is>
          <t>Canaã</t>
        </is>
      </c>
      <c r="E16" s="10" t="inlineStr">
        <is>
          <t>2.1.5</t>
        </is>
      </c>
      <c r="F16" s="10" t="inlineStr">
        <is>
          <t>Limpeza De Valeta, Sarjetas E Meio Fios</t>
        </is>
      </c>
      <c r="G16" s="10" t="inlineStr">
        <is>
          <t>M</t>
        </is>
      </c>
      <c r="H16" s="13" t="n">
        <v>0</v>
      </c>
      <c r="I16" s="13" t="n">
        <v>0</v>
      </c>
      <c r="J16" s="13">
        <f>IFERROR(VLOOKUP(E16,tbl_DimAtividade[#All],4,FALSE),0)</f>
        <v/>
      </c>
      <c r="K16" s="13">
        <f>IF(I16=0,0,H16/I16)</f>
        <v/>
      </c>
      <c r="L16" s="14">
        <f>IF(M16=0,0,I16/J16)</f>
        <v/>
      </c>
      <c r="M16" s="15">
        <f>IF(ISERROR(VLOOKUP(E16,tbl_DimAtividade[#All],4,FALSE)),0,IF(VLOOKUP(E16,tbl_DimAtividade[#All],4,FALSE)=0,0,1))</f>
        <v/>
      </c>
    </row>
    <row r="17">
      <c r="A17" s="10" t="n">
        <v>2026</v>
      </c>
      <c r="B17" s="10" t="n">
        <v>4</v>
      </c>
      <c r="C17" s="10" t="inlineStr">
        <is>
          <t>Abril</t>
        </is>
      </c>
      <c r="D17" s="10" t="inlineStr">
        <is>
          <t>Marabá</t>
        </is>
      </c>
      <c r="E17" s="10" t="inlineStr">
        <is>
          <t>2.1.6</t>
        </is>
      </c>
      <c r="F17" s="10" t="inlineStr">
        <is>
          <t>Rejuntamento De Bueiro - Estimar 20% Da Quantidade De Bueiros</t>
        </is>
      </c>
      <c r="G17" s="10" t="inlineStr">
        <is>
          <t>M³</t>
        </is>
      </c>
      <c r="H17" s="13" t="n">
        <v>0</v>
      </c>
      <c r="I17" s="13" t="n">
        <v>0</v>
      </c>
      <c r="J17" s="13">
        <f>IFERROR(VLOOKUP(E17,tbl_DimAtividade[#All],4,FALSE),0)</f>
        <v/>
      </c>
      <c r="K17" s="13">
        <f>IF(I17=0,0,H17/I17)</f>
        <v/>
      </c>
      <c r="L17" s="14">
        <f>IF(M17=0,0,I17/J17)</f>
        <v/>
      </c>
      <c r="M17" s="15">
        <f>IF(ISERROR(VLOOKUP(E17,tbl_DimAtividade[#All],4,FALSE)),0,IF(VLOOKUP(E17,tbl_DimAtividade[#All],4,FALSE)=0,0,1))</f>
        <v/>
      </c>
    </row>
    <row r="18">
      <c r="A18" s="10" t="n">
        <v>2026</v>
      </c>
      <c r="B18" s="10" t="n">
        <v>4</v>
      </c>
      <c r="C18" s="10" t="inlineStr">
        <is>
          <t>Abril</t>
        </is>
      </c>
      <c r="D18" s="10" t="inlineStr">
        <is>
          <t>Parauapebas</t>
        </is>
      </c>
      <c r="E18" s="10" t="inlineStr">
        <is>
          <t>2.1.6</t>
        </is>
      </c>
      <c r="F18" s="10" t="inlineStr">
        <is>
          <t>Rejuntamento De Bueiro - Estimar 20% Da Quantidade De Bueiros</t>
        </is>
      </c>
      <c r="G18" s="10" t="inlineStr">
        <is>
          <t>M³</t>
        </is>
      </c>
      <c r="H18" s="13" t="n">
        <v>0</v>
      </c>
      <c r="I18" s="13" t="n">
        <v>0</v>
      </c>
      <c r="J18" s="13">
        <f>IFERROR(VLOOKUP(E18,tbl_DimAtividade[#All],4,FALSE),0)</f>
        <v/>
      </c>
      <c r="K18" s="13">
        <f>IF(I18=0,0,H18/I18)</f>
        <v/>
      </c>
      <c r="L18" s="14">
        <f>IF(M18=0,0,I18/J18)</f>
        <v/>
      </c>
      <c r="M18" s="15">
        <f>IF(ISERROR(VLOOKUP(E18,tbl_DimAtividade[#All],4,FALSE)),0,IF(VLOOKUP(E18,tbl_DimAtividade[#All],4,FALSE)=0,0,1))</f>
        <v/>
      </c>
    </row>
    <row r="19">
      <c r="A19" s="10" t="n">
        <v>2026</v>
      </c>
      <c r="B19" s="10" t="n">
        <v>4</v>
      </c>
      <c r="C19" s="10" t="inlineStr">
        <is>
          <t>Abril</t>
        </is>
      </c>
      <c r="D19" s="10" t="inlineStr">
        <is>
          <t>Canaã</t>
        </is>
      </c>
      <c r="E19" s="10" t="inlineStr">
        <is>
          <t>2.1.6</t>
        </is>
      </c>
      <c r="F19" s="10" t="inlineStr">
        <is>
          <t>Rejuntamento De Bueiro - Estimar 20% Da Quantidade De Bueiros</t>
        </is>
      </c>
      <c r="G19" s="10" t="inlineStr">
        <is>
          <t>M³</t>
        </is>
      </c>
      <c r="H19" s="13" t="n">
        <v>0</v>
      </c>
      <c r="I19" s="13" t="n">
        <v>0</v>
      </c>
      <c r="J19" s="13">
        <f>IFERROR(VLOOKUP(E19,tbl_DimAtividade[#All],4,FALSE),0)</f>
        <v/>
      </c>
      <c r="K19" s="13">
        <f>IF(I19=0,0,H19/I19)</f>
        <v/>
      </c>
      <c r="L19" s="14">
        <f>IF(M19=0,0,I19/J19)</f>
        <v/>
      </c>
      <c r="M19" s="15">
        <f>IF(ISERROR(VLOOKUP(E19,tbl_DimAtividade[#All],4,FALSE)),0,IF(VLOOKUP(E19,tbl_DimAtividade[#All],4,FALSE)=0,0,1))</f>
        <v/>
      </c>
    </row>
    <row r="20">
      <c r="A20" s="10" t="n">
        <v>2026</v>
      </c>
      <c r="B20" s="10" t="n">
        <v>4</v>
      </c>
      <c r="C20" s="10" t="inlineStr">
        <is>
          <t>Abril</t>
        </is>
      </c>
      <c r="D20" s="10" t="inlineStr">
        <is>
          <t>Marabá</t>
        </is>
      </c>
      <c r="E20" s="10" t="inlineStr">
        <is>
          <t>2.1.7</t>
        </is>
      </c>
      <c r="F20" s="10" t="inlineStr">
        <is>
          <t>Recuperação De Drenagem Tipo Canaleta/Valeta Em Taludes, Limitando-Se A 100M De Extensão(M)</t>
        </is>
      </c>
      <c r="G20" s="10" t="inlineStr">
        <is>
          <t>M</t>
        </is>
      </c>
      <c r="H20" s="13" t="n">
        <v>129.41</v>
      </c>
      <c r="I20" s="13" t="n">
        <v>0.9243571428571429</v>
      </c>
      <c r="J20" s="13">
        <f>IFERROR(VLOOKUP(E20,tbl_DimAtividade[#All],4,FALSE),0)</f>
        <v/>
      </c>
      <c r="K20" s="13">
        <f>IF(I20=0,0,H20/I20)</f>
        <v/>
      </c>
      <c r="L20" s="14">
        <f>IF(M20=0,0,I20/J20)</f>
        <v/>
      </c>
      <c r="M20" s="15">
        <f>IF(ISERROR(VLOOKUP(E20,tbl_DimAtividade[#All],4,FALSE)),0,IF(VLOOKUP(E20,tbl_DimAtividade[#All],4,FALSE)=0,0,1))</f>
        <v/>
      </c>
    </row>
    <row r="21">
      <c r="A21" s="10" t="n">
        <v>2026</v>
      </c>
      <c r="B21" s="10" t="n">
        <v>4</v>
      </c>
      <c r="C21" s="10" t="inlineStr">
        <is>
          <t>Abril</t>
        </is>
      </c>
      <c r="D21" s="10" t="inlineStr">
        <is>
          <t>Parauapebas</t>
        </is>
      </c>
      <c r="E21" s="10" t="inlineStr">
        <is>
          <t>2.1.7</t>
        </is>
      </c>
      <c r="F21" s="10" t="inlineStr">
        <is>
          <t>Recuperação De Drenagem Tipo Canaleta/Valeta Em Taludes, Limitando-Se A 100M De Extensão(M)</t>
        </is>
      </c>
      <c r="G21" s="10" t="inlineStr">
        <is>
          <t>M</t>
        </is>
      </c>
      <c r="H21" s="13" t="n">
        <v>42.39</v>
      </c>
      <c r="I21" s="13" t="n">
        <v>0.3027857142857143</v>
      </c>
      <c r="J21" s="13">
        <f>IFERROR(VLOOKUP(E21,tbl_DimAtividade[#All],4,FALSE),0)</f>
        <v/>
      </c>
      <c r="K21" s="13">
        <f>IF(I21=0,0,H21/I21)</f>
        <v/>
      </c>
      <c r="L21" s="14">
        <f>IF(M21=0,0,I21/J21)</f>
        <v/>
      </c>
      <c r="M21" s="15">
        <f>IF(ISERROR(VLOOKUP(E21,tbl_DimAtividade[#All],4,FALSE)),0,IF(VLOOKUP(E21,tbl_DimAtividade[#All],4,FALSE)=0,0,1))</f>
        <v/>
      </c>
    </row>
    <row r="22">
      <c r="A22" s="10" t="n">
        <v>2026</v>
      </c>
      <c r="B22" s="10" t="n">
        <v>4</v>
      </c>
      <c r="C22" s="10" t="inlineStr">
        <is>
          <t>Abril</t>
        </is>
      </c>
      <c r="D22" s="10" t="inlineStr">
        <is>
          <t>Canaã</t>
        </is>
      </c>
      <c r="E22" s="10" t="inlineStr">
        <is>
          <t>2.1.7</t>
        </is>
      </c>
      <c r="F22" s="10" t="inlineStr">
        <is>
          <t>Recuperação De Drenagem Tipo Canaleta/Valeta Em Taludes, Limitando-Se A 100M De Extensão(M)</t>
        </is>
      </c>
      <c r="G22" s="10" t="inlineStr">
        <is>
          <t>M</t>
        </is>
      </c>
      <c r="H22" s="13" t="n">
        <v>10</v>
      </c>
      <c r="I22" s="13" t="n">
        <v>0.07142857142857142</v>
      </c>
      <c r="J22" s="13">
        <f>IFERROR(VLOOKUP(E22,tbl_DimAtividade[#All],4,FALSE),0)</f>
        <v/>
      </c>
      <c r="K22" s="13">
        <f>IF(I22=0,0,H22/I22)</f>
        <v/>
      </c>
      <c r="L22" s="14">
        <f>IF(M22=0,0,I22/J22)</f>
        <v/>
      </c>
      <c r="M22" s="15">
        <f>IF(ISERROR(VLOOKUP(E22,tbl_DimAtividade[#All],4,FALSE)),0,IF(VLOOKUP(E22,tbl_DimAtividade[#All],4,FALSE)=0,0,1))</f>
        <v/>
      </c>
    </row>
    <row r="23">
      <c r="A23" s="10" t="n">
        <v>2026</v>
      </c>
      <c r="B23" s="10" t="n">
        <v>4</v>
      </c>
      <c r="C23" s="10" t="inlineStr">
        <is>
          <t>Abril</t>
        </is>
      </c>
      <c r="D23" s="10" t="inlineStr">
        <is>
          <t>Marabá</t>
        </is>
      </c>
      <c r="E23" s="10" t="inlineStr">
        <is>
          <t>2.1.8</t>
        </is>
      </c>
      <c r="F23" s="10" t="inlineStr">
        <is>
          <t>Recuperação De Drenagem Tipo Sarjeta/Meio-Fio Em Plataforma, Limitando- Se A 100M De Extensão</t>
        </is>
      </c>
      <c r="G23" s="10" t="inlineStr">
        <is>
          <t>M</t>
        </is>
      </c>
      <c r="H23" s="13" t="n">
        <v>44.9</v>
      </c>
      <c r="I23" s="13" t="n">
        <v>0.3207142857142857</v>
      </c>
      <c r="J23" s="13">
        <f>IFERROR(VLOOKUP(E23,tbl_DimAtividade[#All],4,FALSE),0)</f>
        <v/>
      </c>
      <c r="K23" s="13">
        <f>IF(I23=0,0,H23/I23)</f>
        <v/>
      </c>
      <c r="L23" s="14">
        <f>IF(M23=0,0,I23/J23)</f>
        <v/>
      </c>
      <c r="M23" s="15">
        <f>IF(ISERROR(VLOOKUP(E23,tbl_DimAtividade[#All],4,FALSE)),0,IF(VLOOKUP(E23,tbl_DimAtividade[#All],4,FALSE)=0,0,1))</f>
        <v/>
      </c>
    </row>
    <row r="24">
      <c r="A24" s="10" t="n">
        <v>2026</v>
      </c>
      <c r="B24" s="10" t="n">
        <v>4</v>
      </c>
      <c r="C24" s="10" t="inlineStr">
        <is>
          <t>Abril</t>
        </is>
      </c>
      <c r="D24" s="10" t="inlineStr">
        <is>
          <t>Parauapebas</t>
        </is>
      </c>
      <c r="E24" s="10" t="inlineStr">
        <is>
          <t>2.1.8</t>
        </is>
      </c>
      <c r="F24" s="10" t="inlineStr">
        <is>
          <t>Recuperação De Drenagem Tipo Sarjeta/Meio-Fio Em Plataforma, Limitando- Se A 100M De Extensão</t>
        </is>
      </c>
      <c r="G24" s="10" t="inlineStr">
        <is>
          <t>M</t>
        </is>
      </c>
      <c r="H24" s="13" t="n">
        <v>12.5</v>
      </c>
      <c r="I24" s="13" t="n">
        <v>0.08928571428571429</v>
      </c>
      <c r="J24" s="13">
        <f>IFERROR(VLOOKUP(E24,tbl_DimAtividade[#All],4,FALSE),0)</f>
        <v/>
      </c>
      <c r="K24" s="13">
        <f>IF(I24=0,0,H24/I24)</f>
        <v/>
      </c>
      <c r="L24" s="14">
        <f>IF(M24=0,0,I24/J24)</f>
        <v/>
      </c>
      <c r="M24" s="15">
        <f>IF(ISERROR(VLOOKUP(E24,tbl_DimAtividade[#All],4,FALSE)),0,IF(VLOOKUP(E24,tbl_DimAtividade[#All],4,FALSE)=0,0,1))</f>
        <v/>
      </c>
    </row>
    <row r="25">
      <c r="A25" s="10" t="n">
        <v>2026</v>
      </c>
      <c r="B25" s="10" t="n">
        <v>4</v>
      </c>
      <c r="C25" s="10" t="inlineStr">
        <is>
          <t>Abril</t>
        </is>
      </c>
      <c r="D25" s="10" t="inlineStr">
        <is>
          <t>Canaã</t>
        </is>
      </c>
      <c r="E25" s="10" t="inlineStr">
        <is>
          <t>2.1.8</t>
        </is>
      </c>
      <c r="F25" s="10" t="inlineStr">
        <is>
          <t>Recuperação De Drenagem Tipo Sarjeta/Meio-Fio Em Plataforma, Limitando- Se A 100M De Extensão</t>
        </is>
      </c>
      <c r="G25" s="10" t="inlineStr">
        <is>
          <t>M</t>
        </is>
      </c>
      <c r="H25" s="13" t="n">
        <v>0</v>
      </c>
      <c r="I25" s="13" t="n">
        <v>0</v>
      </c>
      <c r="J25" s="13">
        <f>IFERROR(VLOOKUP(E25,tbl_DimAtividade[#All],4,FALSE),0)</f>
        <v/>
      </c>
      <c r="K25" s="13">
        <f>IF(I25=0,0,H25/I25)</f>
        <v/>
      </c>
      <c r="L25" s="14">
        <f>IF(M25=0,0,I25/J25)</f>
        <v/>
      </c>
      <c r="M25" s="15">
        <f>IF(ISERROR(VLOOKUP(E25,tbl_DimAtividade[#All],4,FALSE)),0,IF(VLOOKUP(E25,tbl_DimAtividade[#All],4,FALSE)=0,0,1))</f>
        <v/>
      </c>
    </row>
    <row r="26">
      <c r="A26" s="10" t="n">
        <v>2026</v>
      </c>
      <c r="B26" s="10" t="n">
        <v>4</v>
      </c>
      <c r="C26" s="10" t="inlineStr">
        <is>
          <t>Abril</t>
        </is>
      </c>
      <c r="D26" s="10" t="inlineStr">
        <is>
          <t>Marabá</t>
        </is>
      </c>
      <c r="E26" s="10" t="inlineStr">
        <is>
          <t>2.2.1</t>
        </is>
      </c>
      <c r="F26" s="10" t="inlineStr">
        <is>
          <t>Roçada  (M²)</t>
        </is>
      </c>
      <c r="G26" s="10" t="inlineStr">
        <is>
          <t>M²</t>
        </is>
      </c>
      <c r="H26" s="13" t="n">
        <v>37234.89999999999</v>
      </c>
      <c r="I26" s="13" t="n">
        <v>265.9635714285714</v>
      </c>
      <c r="J26" s="13">
        <f>IFERROR(VLOOKUP(E26,tbl_DimAtividade[#All],4,FALSE),0)</f>
        <v/>
      </c>
      <c r="K26" s="13">
        <f>IF(I26=0,0,H26/I26)</f>
        <v/>
      </c>
      <c r="L26" s="14">
        <f>IF(M26=0,0,I26/J26)</f>
        <v/>
      </c>
      <c r="M26" s="15">
        <f>IF(ISERROR(VLOOKUP(E26,tbl_DimAtividade[#All],4,FALSE)),0,IF(VLOOKUP(E26,tbl_DimAtividade[#All],4,FALSE)=0,0,1))</f>
        <v/>
      </c>
    </row>
    <row r="27">
      <c r="A27" s="10" t="n">
        <v>2026</v>
      </c>
      <c r="B27" s="10" t="n">
        <v>4</v>
      </c>
      <c r="C27" s="10" t="inlineStr">
        <is>
          <t>Abril</t>
        </is>
      </c>
      <c r="D27" s="10" t="inlineStr">
        <is>
          <t>Parauapebas</t>
        </is>
      </c>
      <c r="E27" s="10" t="inlineStr">
        <is>
          <t>2.2.1</t>
        </is>
      </c>
      <c r="F27" s="10" t="inlineStr">
        <is>
          <t>Roçada  (M²)</t>
        </is>
      </c>
      <c r="G27" s="10" t="inlineStr">
        <is>
          <t>M²</t>
        </is>
      </c>
      <c r="H27" s="13" t="n">
        <v>32976.41</v>
      </c>
      <c r="I27" s="13" t="n">
        <v>235.5457857142857</v>
      </c>
      <c r="J27" s="13">
        <f>IFERROR(VLOOKUP(E27,tbl_DimAtividade[#All],4,FALSE),0)</f>
        <v/>
      </c>
      <c r="K27" s="13">
        <f>IF(I27=0,0,H27/I27)</f>
        <v/>
      </c>
      <c r="L27" s="14">
        <f>IF(M27=0,0,I27/J27)</f>
        <v/>
      </c>
      <c r="M27" s="15">
        <f>IF(ISERROR(VLOOKUP(E27,tbl_DimAtividade[#All],4,FALSE)),0,IF(VLOOKUP(E27,tbl_DimAtividade[#All],4,FALSE)=0,0,1))</f>
        <v/>
      </c>
    </row>
    <row r="28">
      <c r="A28" s="10" t="n">
        <v>2026</v>
      </c>
      <c r="B28" s="10" t="n">
        <v>4</v>
      </c>
      <c r="C28" s="10" t="inlineStr">
        <is>
          <t>Abril</t>
        </is>
      </c>
      <c r="D28" s="10" t="inlineStr">
        <is>
          <t>Canaã</t>
        </is>
      </c>
      <c r="E28" s="10" t="inlineStr">
        <is>
          <t>2.2.1</t>
        </is>
      </c>
      <c r="F28" s="10" t="inlineStr">
        <is>
          <t>Roçada  (M²)</t>
        </is>
      </c>
      <c r="G28" s="10" t="inlineStr">
        <is>
          <t>M²</t>
        </is>
      </c>
      <c r="H28" s="13" t="n">
        <v>20768.22</v>
      </c>
      <c r="I28" s="13" t="n">
        <v>148.3444285714286</v>
      </c>
      <c r="J28" s="13">
        <f>IFERROR(VLOOKUP(E28,tbl_DimAtividade[#All],4,FALSE),0)</f>
        <v/>
      </c>
      <c r="K28" s="13">
        <f>IF(I28=0,0,H28/I28)</f>
        <v/>
      </c>
      <c r="L28" s="14">
        <f>IF(M28=0,0,I28/J28)</f>
        <v/>
      </c>
      <c r="M28" s="15">
        <f>IF(ISERROR(VLOOKUP(E28,tbl_DimAtividade[#All],4,FALSE)),0,IF(VLOOKUP(E28,tbl_DimAtividade[#All],4,FALSE)=0,0,1))</f>
        <v/>
      </c>
    </row>
    <row r="29">
      <c r="A29" s="10" t="n">
        <v>2026</v>
      </c>
      <c r="B29" s="10" t="n">
        <v>4</v>
      </c>
      <c r="C29" s="10" t="inlineStr">
        <is>
          <t>Abril</t>
        </is>
      </c>
      <c r="D29" s="10" t="inlineStr">
        <is>
          <t>Marabá</t>
        </is>
      </c>
      <c r="E29" s="10" t="inlineStr">
        <is>
          <t>2.2.2</t>
        </is>
      </c>
      <c r="F29" s="10" t="inlineStr">
        <is>
          <t>Capina</t>
        </is>
      </c>
      <c r="G29" s="10" t="inlineStr">
        <is>
          <t>M²</t>
        </is>
      </c>
      <c r="H29" s="13" t="n">
        <v>0</v>
      </c>
      <c r="I29" s="13" t="n">
        <v>0</v>
      </c>
      <c r="J29" s="13">
        <f>IFERROR(VLOOKUP(E29,tbl_DimAtividade[#All],4,FALSE),0)</f>
        <v/>
      </c>
      <c r="K29" s="13">
        <f>IF(I29=0,0,H29/I29)</f>
        <v/>
      </c>
      <c r="L29" s="14">
        <f>IF(M29=0,0,I29/J29)</f>
        <v/>
      </c>
      <c r="M29" s="15">
        <f>IF(ISERROR(VLOOKUP(E29,tbl_DimAtividade[#All],4,FALSE)),0,IF(VLOOKUP(E29,tbl_DimAtividade[#All],4,FALSE)=0,0,1))</f>
        <v/>
      </c>
    </row>
    <row r="30">
      <c r="A30" s="10" t="n">
        <v>2026</v>
      </c>
      <c r="B30" s="10" t="n">
        <v>4</v>
      </c>
      <c r="C30" s="10" t="inlineStr">
        <is>
          <t>Abril</t>
        </is>
      </c>
      <c r="D30" s="10" t="inlineStr">
        <is>
          <t>Parauapebas</t>
        </is>
      </c>
      <c r="E30" s="10" t="inlineStr">
        <is>
          <t>2.2.2</t>
        </is>
      </c>
      <c r="F30" s="10" t="inlineStr">
        <is>
          <t>Capina</t>
        </is>
      </c>
      <c r="G30" s="10" t="inlineStr">
        <is>
          <t>M²</t>
        </is>
      </c>
      <c r="H30" s="13" t="n">
        <v>0</v>
      </c>
      <c r="I30" s="13" t="n">
        <v>0</v>
      </c>
      <c r="J30" s="13">
        <f>IFERROR(VLOOKUP(E30,tbl_DimAtividade[#All],4,FALSE),0)</f>
        <v/>
      </c>
      <c r="K30" s="13">
        <f>IF(I30=0,0,H30/I30)</f>
        <v/>
      </c>
      <c r="L30" s="14">
        <f>IF(M30=0,0,I30/J30)</f>
        <v/>
      </c>
      <c r="M30" s="15">
        <f>IF(ISERROR(VLOOKUP(E30,tbl_DimAtividade[#All],4,FALSE)),0,IF(VLOOKUP(E30,tbl_DimAtividade[#All],4,FALSE)=0,0,1))</f>
        <v/>
      </c>
    </row>
    <row r="31">
      <c r="A31" s="10" t="n">
        <v>2026</v>
      </c>
      <c r="B31" s="10" t="n">
        <v>4</v>
      </c>
      <c r="C31" s="10" t="inlineStr">
        <is>
          <t>Abril</t>
        </is>
      </c>
      <c r="D31" s="10" t="inlineStr">
        <is>
          <t>Canaã</t>
        </is>
      </c>
      <c r="E31" s="10" t="inlineStr">
        <is>
          <t>2.2.2</t>
        </is>
      </c>
      <c r="F31" s="10" t="inlineStr">
        <is>
          <t>Capina</t>
        </is>
      </c>
      <c r="G31" s="10" t="inlineStr">
        <is>
          <t>M²</t>
        </is>
      </c>
      <c r="H31" s="13" t="n">
        <v>0</v>
      </c>
      <c r="I31" s="13" t="n">
        <v>0</v>
      </c>
      <c r="J31" s="13">
        <f>IFERROR(VLOOKUP(E31,tbl_DimAtividade[#All],4,FALSE),0)</f>
        <v/>
      </c>
      <c r="K31" s="13">
        <f>IF(I31=0,0,H31/I31)</f>
        <v/>
      </c>
      <c r="L31" s="14">
        <f>IF(M31=0,0,I31/J31)</f>
        <v/>
      </c>
      <c r="M31" s="15">
        <f>IF(ISERROR(VLOOKUP(E31,tbl_DimAtividade[#All],4,FALSE)),0,IF(VLOOKUP(E31,tbl_DimAtividade[#All],4,FALSE)=0,0,1))</f>
        <v/>
      </c>
    </row>
    <row r="32">
      <c r="A32" s="10" t="n">
        <v>2026</v>
      </c>
      <c r="B32" s="10" t="n">
        <v>4</v>
      </c>
      <c r="C32" s="10" t="inlineStr">
        <is>
          <t>Abril</t>
        </is>
      </c>
      <c r="D32" s="10" t="inlineStr">
        <is>
          <t>Marabá</t>
        </is>
      </c>
      <c r="E32" s="10" t="inlineStr">
        <is>
          <t>2.2.3</t>
        </is>
      </c>
      <c r="F32" s="10" t="inlineStr">
        <is>
          <t>Capina Química Com Equipamento Costal Ou Aplicação Similar</t>
        </is>
      </c>
      <c r="G32" s="10" t="inlineStr">
        <is>
          <t>M²</t>
        </is>
      </c>
      <c r="H32" s="13" t="n">
        <v>0</v>
      </c>
      <c r="I32" s="13" t="n">
        <v>0</v>
      </c>
      <c r="J32" s="13">
        <f>IFERROR(VLOOKUP(E32,tbl_DimAtividade[#All],4,FALSE),0)</f>
        <v/>
      </c>
      <c r="K32" s="13">
        <f>IF(I32=0,0,H32/I32)</f>
        <v/>
      </c>
      <c r="L32" s="14">
        <f>IF(M32=0,0,I32/J32)</f>
        <v/>
      </c>
      <c r="M32" s="15">
        <f>IF(ISERROR(VLOOKUP(E32,tbl_DimAtividade[#All],4,FALSE)),0,IF(VLOOKUP(E32,tbl_DimAtividade[#All],4,FALSE)=0,0,1))</f>
        <v/>
      </c>
    </row>
    <row r="33">
      <c r="A33" s="10" t="n">
        <v>2026</v>
      </c>
      <c r="B33" s="10" t="n">
        <v>4</v>
      </c>
      <c r="C33" s="10" t="inlineStr">
        <is>
          <t>Abril</t>
        </is>
      </c>
      <c r="D33" s="10" t="inlineStr">
        <is>
          <t>Parauapebas</t>
        </is>
      </c>
      <c r="E33" s="10" t="inlineStr">
        <is>
          <t>2.2.3</t>
        </is>
      </c>
      <c r="F33" s="10" t="inlineStr">
        <is>
          <t>Capina Química Com Equipamento Costal Ou Aplicação Similar</t>
        </is>
      </c>
      <c r="G33" s="10" t="inlineStr">
        <is>
          <t>M²</t>
        </is>
      </c>
      <c r="H33" s="13" t="n">
        <v>0</v>
      </c>
      <c r="I33" s="13" t="n">
        <v>0</v>
      </c>
      <c r="J33" s="13">
        <f>IFERROR(VLOOKUP(E33,tbl_DimAtividade[#All],4,FALSE),0)</f>
        <v/>
      </c>
      <c r="K33" s="13">
        <f>IF(I33=0,0,H33/I33)</f>
        <v/>
      </c>
      <c r="L33" s="14">
        <f>IF(M33=0,0,I33/J33)</f>
        <v/>
      </c>
      <c r="M33" s="15">
        <f>IF(ISERROR(VLOOKUP(E33,tbl_DimAtividade[#All],4,FALSE)),0,IF(VLOOKUP(E33,tbl_DimAtividade[#All],4,FALSE)=0,0,1))</f>
        <v/>
      </c>
    </row>
    <row r="34">
      <c r="A34" s="10" t="n">
        <v>2026</v>
      </c>
      <c r="B34" s="10" t="n">
        <v>4</v>
      </c>
      <c r="C34" s="10" t="inlineStr">
        <is>
          <t>Abril</t>
        </is>
      </c>
      <c r="D34" s="10" t="inlineStr">
        <is>
          <t>Canaã</t>
        </is>
      </c>
      <c r="E34" s="10" t="inlineStr">
        <is>
          <t>2.2.3</t>
        </is>
      </c>
      <c r="F34" s="10" t="inlineStr">
        <is>
          <t>Capina Química Com Equipamento Costal Ou Aplicação Similar</t>
        </is>
      </c>
      <c r="G34" s="10" t="inlineStr">
        <is>
          <t>M²</t>
        </is>
      </c>
      <c r="H34" s="13" t="n">
        <v>0</v>
      </c>
      <c r="I34" s="13" t="n">
        <v>0</v>
      </c>
      <c r="J34" s="13">
        <f>IFERROR(VLOOKUP(E34,tbl_DimAtividade[#All],4,FALSE),0)</f>
        <v/>
      </c>
      <c r="K34" s="13">
        <f>IF(I34=0,0,H34/I34)</f>
        <v/>
      </c>
      <c r="L34" s="14">
        <f>IF(M34=0,0,I34/J34)</f>
        <v/>
      </c>
      <c r="M34" s="15">
        <f>IF(ISERROR(VLOOKUP(E34,tbl_DimAtividade[#All],4,FALSE)),0,IF(VLOOKUP(E34,tbl_DimAtividade[#All],4,FALSE)=0,0,1))</f>
        <v/>
      </c>
    </row>
    <row r="35">
      <c r="A35" s="10" t="n">
        <v>2026</v>
      </c>
      <c r="B35" s="10" t="n">
        <v>4</v>
      </c>
      <c r="C35" s="10" t="inlineStr">
        <is>
          <t>Abril</t>
        </is>
      </c>
      <c r="D35" s="10" t="inlineStr">
        <is>
          <t>Marabá</t>
        </is>
      </c>
      <c r="E35" s="10" t="inlineStr">
        <is>
          <t>2.2.4</t>
        </is>
      </c>
      <c r="F35" s="10" t="inlineStr">
        <is>
          <t>Capina Química Com Uso De Drone</t>
        </is>
      </c>
      <c r="G35" s="10" t="inlineStr">
        <is>
          <t>M²</t>
        </is>
      </c>
      <c r="H35" s="13" t="n">
        <v>0</v>
      </c>
      <c r="I35" s="13" t="n">
        <v>0</v>
      </c>
      <c r="J35" s="13">
        <f>IFERROR(VLOOKUP(E35,tbl_DimAtividade[#All],4,FALSE),0)</f>
        <v/>
      </c>
      <c r="K35" s="13">
        <f>IF(I35=0,0,H35/I35)</f>
        <v/>
      </c>
      <c r="L35" s="14">
        <f>IF(M35=0,0,I35/J35)</f>
        <v/>
      </c>
      <c r="M35" s="15">
        <f>IF(ISERROR(VLOOKUP(E35,tbl_DimAtividade[#All],4,FALSE)),0,IF(VLOOKUP(E35,tbl_DimAtividade[#All],4,FALSE)=0,0,1))</f>
        <v/>
      </c>
    </row>
    <row r="36">
      <c r="A36" s="10" t="n">
        <v>2026</v>
      </c>
      <c r="B36" s="10" t="n">
        <v>4</v>
      </c>
      <c r="C36" s="10" t="inlineStr">
        <is>
          <t>Abril</t>
        </is>
      </c>
      <c r="D36" s="10" t="inlineStr">
        <is>
          <t>Parauapebas</t>
        </is>
      </c>
      <c r="E36" s="10" t="inlineStr">
        <is>
          <t>2.2.4</t>
        </is>
      </c>
      <c r="F36" s="10" t="inlineStr">
        <is>
          <t>Capina Química Com Uso De Drone</t>
        </is>
      </c>
      <c r="G36" s="10" t="inlineStr">
        <is>
          <t>M²</t>
        </is>
      </c>
      <c r="H36" s="13" t="n">
        <v>0</v>
      </c>
      <c r="I36" s="13" t="n">
        <v>0</v>
      </c>
      <c r="J36" s="13">
        <f>IFERROR(VLOOKUP(E36,tbl_DimAtividade[#All],4,FALSE),0)</f>
        <v/>
      </c>
      <c r="K36" s="13">
        <f>IF(I36=0,0,H36/I36)</f>
        <v/>
      </c>
      <c r="L36" s="14">
        <f>IF(M36=0,0,I36/J36)</f>
        <v/>
      </c>
      <c r="M36" s="15">
        <f>IF(ISERROR(VLOOKUP(E36,tbl_DimAtividade[#All],4,FALSE)),0,IF(VLOOKUP(E36,tbl_DimAtividade[#All],4,FALSE)=0,0,1))</f>
        <v/>
      </c>
    </row>
    <row r="37">
      <c r="A37" s="10" t="n">
        <v>2026</v>
      </c>
      <c r="B37" s="10" t="n">
        <v>4</v>
      </c>
      <c r="C37" s="10" t="inlineStr">
        <is>
          <t>Abril</t>
        </is>
      </c>
      <c r="D37" s="10" t="inlineStr">
        <is>
          <t>Canaã</t>
        </is>
      </c>
      <c r="E37" s="10" t="inlineStr">
        <is>
          <t>2.2.4</t>
        </is>
      </c>
      <c r="F37" s="10" t="inlineStr">
        <is>
          <t>Capina Química Com Uso De Drone</t>
        </is>
      </c>
      <c r="G37" s="10" t="inlineStr">
        <is>
          <t>M²</t>
        </is>
      </c>
      <c r="H37" s="13" t="n">
        <v>0</v>
      </c>
      <c r="I37" s="13" t="n">
        <v>0</v>
      </c>
      <c r="J37" s="13">
        <f>IFERROR(VLOOKUP(E37,tbl_DimAtividade[#All],4,FALSE),0)</f>
        <v/>
      </c>
      <c r="K37" s="13">
        <f>IF(I37=0,0,H37/I37)</f>
        <v/>
      </c>
      <c r="L37" s="14">
        <f>IF(M37=0,0,I37/J37)</f>
        <v/>
      </c>
      <c r="M37" s="15">
        <f>IF(ISERROR(VLOOKUP(E37,tbl_DimAtividade[#All],4,FALSE)),0,IF(VLOOKUP(E37,tbl_DimAtividade[#All],4,FALSE)=0,0,1))</f>
        <v/>
      </c>
    </row>
    <row r="38">
      <c r="A38" s="10" t="n">
        <v>2026</v>
      </c>
      <c r="B38" s="10" t="n">
        <v>4</v>
      </c>
      <c r="C38" s="10" t="inlineStr">
        <is>
          <t>Abril</t>
        </is>
      </c>
      <c r="D38" s="10" t="inlineStr">
        <is>
          <t>Marabá</t>
        </is>
      </c>
      <c r="E38" s="10" t="inlineStr">
        <is>
          <t>2.2.5</t>
        </is>
      </c>
      <c r="F38" s="10" t="inlineStr">
        <is>
          <t>Remoção De Solo</t>
        </is>
      </c>
      <c r="G38" s="10" t="inlineStr">
        <is>
          <t>M³</t>
        </is>
      </c>
      <c r="H38" s="13" t="n">
        <v>113.28</v>
      </c>
      <c r="I38" s="13" t="n">
        <v>0.8091428571428572</v>
      </c>
      <c r="J38" s="13">
        <f>IFERROR(VLOOKUP(E38,tbl_DimAtividade[#All],4,FALSE),0)</f>
        <v/>
      </c>
      <c r="K38" s="13">
        <f>IF(I38=0,0,H38/I38)</f>
        <v/>
      </c>
      <c r="L38" s="14">
        <f>IF(M38=0,0,I38/J38)</f>
        <v/>
      </c>
      <c r="M38" s="15">
        <f>IF(ISERROR(VLOOKUP(E38,tbl_DimAtividade[#All],4,FALSE)),0,IF(VLOOKUP(E38,tbl_DimAtividade[#All],4,FALSE)=0,0,1))</f>
        <v/>
      </c>
    </row>
    <row r="39">
      <c r="A39" s="10" t="n">
        <v>2026</v>
      </c>
      <c r="B39" s="10" t="n">
        <v>4</v>
      </c>
      <c r="C39" s="10" t="inlineStr">
        <is>
          <t>Abril</t>
        </is>
      </c>
      <c r="D39" s="10" t="inlineStr">
        <is>
          <t>Parauapebas</t>
        </is>
      </c>
      <c r="E39" s="10" t="inlineStr">
        <is>
          <t>2.2.5</t>
        </is>
      </c>
      <c r="F39" s="10" t="inlineStr">
        <is>
          <t>Remoção De Solo</t>
        </is>
      </c>
      <c r="G39" s="10" t="inlineStr">
        <is>
          <t>M³</t>
        </is>
      </c>
      <c r="H39" s="13" t="n">
        <v>0</v>
      </c>
      <c r="I39" s="13" t="n">
        <v>0</v>
      </c>
      <c r="J39" s="13">
        <f>IFERROR(VLOOKUP(E39,tbl_DimAtividade[#All],4,FALSE),0)</f>
        <v/>
      </c>
      <c r="K39" s="13">
        <f>IF(I39=0,0,H39/I39)</f>
        <v/>
      </c>
      <c r="L39" s="14">
        <f>IF(M39=0,0,I39/J39)</f>
        <v/>
      </c>
      <c r="M39" s="15">
        <f>IF(ISERROR(VLOOKUP(E39,tbl_DimAtividade[#All],4,FALSE)),0,IF(VLOOKUP(E39,tbl_DimAtividade[#All],4,FALSE)=0,0,1))</f>
        <v/>
      </c>
    </row>
    <row r="40">
      <c r="A40" s="10" t="n">
        <v>2026</v>
      </c>
      <c r="B40" s="10" t="n">
        <v>4</v>
      </c>
      <c r="C40" s="10" t="inlineStr">
        <is>
          <t>Abril</t>
        </is>
      </c>
      <c r="D40" s="10" t="inlineStr">
        <is>
          <t>Canaã</t>
        </is>
      </c>
      <c r="E40" s="10" t="inlineStr">
        <is>
          <t>2.2.5</t>
        </is>
      </c>
      <c r="F40" s="10" t="inlineStr">
        <is>
          <t>Remoção De Solo</t>
        </is>
      </c>
      <c r="G40" s="10" t="inlineStr">
        <is>
          <t>M³</t>
        </is>
      </c>
      <c r="H40" s="13" t="n">
        <v>0</v>
      </c>
      <c r="I40" s="13" t="n">
        <v>0</v>
      </c>
      <c r="J40" s="13">
        <f>IFERROR(VLOOKUP(E40,tbl_DimAtividade[#All],4,FALSE),0)</f>
        <v/>
      </c>
      <c r="K40" s="13">
        <f>IF(I40=0,0,H40/I40)</f>
        <v/>
      </c>
      <c r="L40" s="14">
        <f>IF(M40=0,0,I40/J40)</f>
        <v/>
      </c>
      <c r="M40" s="15">
        <f>IF(ISERROR(VLOOKUP(E40,tbl_DimAtividade[#All],4,FALSE)),0,IF(VLOOKUP(E40,tbl_DimAtividade[#All],4,FALSE)=0,0,1))</f>
        <v/>
      </c>
    </row>
    <row r="41">
      <c r="A41" s="10" t="n">
        <v>2026</v>
      </c>
      <c r="B41" s="10" t="n">
        <v>4</v>
      </c>
      <c r="C41" s="10" t="inlineStr">
        <is>
          <t>Abril</t>
        </is>
      </c>
      <c r="D41" s="10" t="inlineStr">
        <is>
          <t>Marabá</t>
        </is>
      </c>
      <c r="E41" s="10" t="inlineStr">
        <is>
          <t>2.2.6</t>
        </is>
      </c>
      <c r="F41" s="10" t="inlineStr">
        <is>
          <t>Poda De Árvores Com Auxilio De Equipamentos De Grande Porte Fornecido Pela Vale, Quando Necessário (Plataformas Elevatórias, Caminhões Sky E Outros)</t>
        </is>
      </c>
      <c r="G41" s="10" t="inlineStr">
        <is>
          <t>M²</t>
        </is>
      </c>
      <c r="H41" s="13" t="n">
        <v>0</v>
      </c>
      <c r="I41" s="13" t="n">
        <v>0</v>
      </c>
      <c r="J41" s="13">
        <f>IFERROR(VLOOKUP(E41,tbl_DimAtividade[#All],4,FALSE),0)</f>
        <v/>
      </c>
      <c r="K41" s="13">
        <f>IF(I41=0,0,H41/I41)</f>
        <v/>
      </c>
      <c r="L41" s="14">
        <f>IF(M41=0,0,I41/J41)</f>
        <v/>
      </c>
      <c r="M41" s="15">
        <f>IF(ISERROR(VLOOKUP(E41,tbl_DimAtividade[#All],4,FALSE)),0,IF(VLOOKUP(E41,tbl_DimAtividade[#All],4,FALSE)=0,0,1))</f>
        <v/>
      </c>
    </row>
    <row r="42">
      <c r="A42" s="10" t="n">
        <v>2026</v>
      </c>
      <c r="B42" s="10" t="n">
        <v>4</v>
      </c>
      <c r="C42" s="10" t="inlineStr">
        <is>
          <t>Abril</t>
        </is>
      </c>
      <c r="D42" s="10" t="inlineStr">
        <is>
          <t>Parauapebas</t>
        </is>
      </c>
      <c r="E42" s="10" t="inlineStr">
        <is>
          <t>2.2.6</t>
        </is>
      </c>
      <c r="F42" s="10" t="inlineStr">
        <is>
          <t>Poda De Árvores Com Auxilio De Equipamentos De Grande Porte Fornecido Pela Vale, Quando Necessário (Plataformas Elevatórias, Caminhões Sky E Outros)</t>
        </is>
      </c>
      <c r="G42" s="10" t="inlineStr">
        <is>
          <t>M²</t>
        </is>
      </c>
      <c r="H42" s="13" t="n">
        <v>0</v>
      </c>
      <c r="I42" s="13" t="n">
        <v>0</v>
      </c>
      <c r="J42" s="13">
        <f>IFERROR(VLOOKUP(E42,tbl_DimAtividade[#All],4,FALSE),0)</f>
        <v/>
      </c>
      <c r="K42" s="13">
        <f>IF(I42=0,0,H42/I42)</f>
        <v/>
      </c>
      <c r="L42" s="14">
        <f>IF(M42=0,0,I42/J42)</f>
        <v/>
      </c>
      <c r="M42" s="15">
        <f>IF(ISERROR(VLOOKUP(E42,tbl_DimAtividade[#All],4,FALSE)),0,IF(VLOOKUP(E42,tbl_DimAtividade[#All],4,FALSE)=0,0,1))</f>
        <v/>
      </c>
    </row>
    <row r="43">
      <c r="A43" s="10" t="n">
        <v>2026</v>
      </c>
      <c r="B43" s="10" t="n">
        <v>4</v>
      </c>
      <c r="C43" s="10" t="inlineStr">
        <is>
          <t>Abril</t>
        </is>
      </c>
      <c r="D43" s="10" t="inlineStr">
        <is>
          <t>Canaã</t>
        </is>
      </c>
      <c r="E43" s="10" t="inlineStr">
        <is>
          <t>2.2.6</t>
        </is>
      </c>
      <c r="F43" s="10" t="inlineStr">
        <is>
          <t>Poda De Árvores Com Auxilio De Equipamentos De Grande Porte Fornecido Pela Vale, Quando Necessário (Plataformas Elevatórias, Caminhões Sky E Outros)</t>
        </is>
      </c>
      <c r="G43" s="10" t="inlineStr">
        <is>
          <t>M²</t>
        </is>
      </c>
      <c r="H43" s="13" t="n">
        <v>0</v>
      </c>
      <c r="I43" s="13" t="n">
        <v>0</v>
      </c>
      <c r="J43" s="13">
        <f>IFERROR(VLOOKUP(E43,tbl_DimAtividade[#All],4,FALSE),0)</f>
        <v/>
      </c>
      <c r="K43" s="13">
        <f>IF(I43=0,0,H43/I43)</f>
        <v/>
      </c>
      <c r="L43" s="14">
        <f>IF(M43=0,0,I43/J43)</f>
        <v/>
      </c>
      <c r="M43" s="15">
        <f>IF(ISERROR(VLOOKUP(E43,tbl_DimAtividade[#All],4,FALSE)),0,IF(VLOOKUP(E43,tbl_DimAtividade[#All],4,FALSE)=0,0,1))</f>
        <v/>
      </c>
    </row>
    <row r="44">
      <c r="A44" s="10" t="n">
        <v>2026</v>
      </c>
      <c r="B44" s="10" t="n">
        <v>4</v>
      </c>
      <c r="C44" s="10" t="inlineStr">
        <is>
          <t>Abril</t>
        </is>
      </c>
      <c r="D44" s="10" t="inlineStr">
        <is>
          <t>Marabá</t>
        </is>
      </c>
      <c r="E44" s="10" t="inlineStr">
        <is>
          <t>2.2.7</t>
        </is>
      </c>
      <c r="F44" s="10" t="inlineStr">
        <is>
          <t>Poda De Árvores Com Auxilio De Equipamentos De Grande Porte Fornecido Pela Contratada (M²)</t>
        </is>
      </c>
      <c r="G44" s="10" t="inlineStr">
        <is>
          <t>M²</t>
        </is>
      </c>
      <c r="H44" s="13" t="n">
        <v>0</v>
      </c>
      <c r="I44" s="13" t="n">
        <v>0</v>
      </c>
      <c r="J44" s="13">
        <f>IFERROR(VLOOKUP(E44,tbl_DimAtividade[#All],4,FALSE),0)</f>
        <v/>
      </c>
      <c r="K44" s="13">
        <f>IF(I44=0,0,H44/I44)</f>
        <v/>
      </c>
      <c r="L44" s="14">
        <f>IF(M44=0,0,I44/J44)</f>
        <v/>
      </c>
      <c r="M44" s="15">
        <f>IF(ISERROR(VLOOKUP(E44,tbl_DimAtividade[#All],4,FALSE)),0,IF(VLOOKUP(E44,tbl_DimAtividade[#All],4,FALSE)=0,0,1))</f>
        <v/>
      </c>
    </row>
    <row r="45">
      <c r="A45" s="10" t="n">
        <v>2026</v>
      </c>
      <c r="B45" s="10" t="n">
        <v>4</v>
      </c>
      <c r="C45" s="10" t="inlineStr">
        <is>
          <t>Abril</t>
        </is>
      </c>
      <c r="D45" s="10" t="inlineStr">
        <is>
          <t>Parauapebas</t>
        </is>
      </c>
      <c r="E45" s="10" t="inlineStr">
        <is>
          <t>2.2.7</t>
        </is>
      </c>
      <c r="F45" s="10" t="inlineStr">
        <is>
          <t>Poda De Árvores Com Auxilio De Equipamentos De Grande Porte Fornecido Pela Contratada (M²)</t>
        </is>
      </c>
      <c r="G45" s="10" t="inlineStr">
        <is>
          <t>M²</t>
        </is>
      </c>
      <c r="H45" s="13" t="n">
        <v>0</v>
      </c>
      <c r="I45" s="13" t="n">
        <v>0</v>
      </c>
      <c r="J45" s="13">
        <f>IFERROR(VLOOKUP(E45,tbl_DimAtividade[#All],4,FALSE),0)</f>
        <v/>
      </c>
      <c r="K45" s="13">
        <f>IF(I45=0,0,H45/I45)</f>
        <v/>
      </c>
      <c r="L45" s="14">
        <f>IF(M45=0,0,I45/J45)</f>
        <v/>
      </c>
      <c r="M45" s="15">
        <f>IF(ISERROR(VLOOKUP(E45,tbl_DimAtividade[#All],4,FALSE)),0,IF(VLOOKUP(E45,tbl_DimAtividade[#All],4,FALSE)=0,0,1))</f>
        <v/>
      </c>
    </row>
    <row r="46">
      <c r="A46" s="10" t="n">
        <v>2026</v>
      </c>
      <c r="B46" s="10" t="n">
        <v>4</v>
      </c>
      <c r="C46" s="10" t="inlineStr">
        <is>
          <t>Abril</t>
        </is>
      </c>
      <c r="D46" s="10" t="inlineStr">
        <is>
          <t>Canaã</t>
        </is>
      </c>
      <c r="E46" s="10" t="inlineStr">
        <is>
          <t>2.2.7</t>
        </is>
      </c>
      <c r="F46" s="10" t="inlineStr">
        <is>
          <t>Poda De Árvores Com Auxilio De Equipamentos De Grande Porte Fornecido Pela Contratada (M²)</t>
        </is>
      </c>
      <c r="G46" s="10" t="inlineStr">
        <is>
          <t>M²</t>
        </is>
      </c>
      <c r="H46" s="13" t="n">
        <v>0</v>
      </c>
      <c r="I46" s="13" t="n">
        <v>0</v>
      </c>
      <c r="J46" s="13">
        <f>IFERROR(VLOOKUP(E46,tbl_DimAtividade[#All],4,FALSE),0)</f>
        <v/>
      </c>
      <c r="K46" s="13">
        <f>IF(I46=0,0,H46/I46)</f>
        <v/>
      </c>
      <c r="L46" s="14">
        <f>IF(M46=0,0,I46/J46)</f>
        <v/>
      </c>
      <c r="M46" s="15">
        <f>IF(ISERROR(VLOOKUP(E46,tbl_DimAtividade[#All],4,FALSE)),0,IF(VLOOKUP(E46,tbl_DimAtividade[#All],4,FALSE)=0,0,1))</f>
        <v/>
      </c>
    </row>
    <row r="47">
      <c r="A47" s="10" t="n">
        <v>2026</v>
      </c>
      <c r="B47" s="10" t="n">
        <v>4</v>
      </c>
      <c r="C47" s="10" t="inlineStr">
        <is>
          <t>Abril</t>
        </is>
      </c>
      <c r="D47" s="10" t="inlineStr">
        <is>
          <t>Marabá</t>
        </is>
      </c>
      <c r="E47" s="10" t="inlineStr">
        <is>
          <t>2.2.8</t>
        </is>
      </c>
      <c r="F47" s="10" t="inlineStr">
        <is>
          <t>Corte De Árvores De Pequeno Porte Com Auxilio De Equipamentos De Grande Porte Fornecido Pela Vale, Quando Necessário (Plataformas Elevatórias, Caminhões Sky E Outros)</t>
        </is>
      </c>
      <c r="G47" s="10" t="inlineStr">
        <is>
          <t>UNID</t>
        </is>
      </c>
      <c r="H47" s="13" t="n">
        <v>0</v>
      </c>
      <c r="I47" s="13" t="n">
        <v>0</v>
      </c>
      <c r="J47" s="13">
        <f>IFERROR(VLOOKUP(E47,tbl_DimAtividade[#All],4,FALSE),0)</f>
        <v/>
      </c>
      <c r="K47" s="13">
        <f>IF(I47=0,0,H47/I47)</f>
        <v/>
      </c>
      <c r="L47" s="14">
        <f>IF(M47=0,0,I47/J47)</f>
        <v/>
      </c>
      <c r="M47" s="15">
        <f>IF(ISERROR(VLOOKUP(E47,tbl_DimAtividade[#All],4,FALSE)),0,IF(VLOOKUP(E47,tbl_DimAtividade[#All],4,FALSE)=0,0,1))</f>
        <v/>
      </c>
    </row>
    <row r="48">
      <c r="A48" s="10" t="n">
        <v>2026</v>
      </c>
      <c r="B48" s="10" t="n">
        <v>4</v>
      </c>
      <c r="C48" s="10" t="inlineStr">
        <is>
          <t>Abril</t>
        </is>
      </c>
      <c r="D48" s="10" t="inlineStr">
        <is>
          <t>Parauapebas</t>
        </is>
      </c>
      <c r="E48" s="10" t="inlineStr">
        <is>
          <t>2.2.8</t>
        </is>
      </c>
      <c r="F48" s="10" t="inlineStr">
        <is>
          <t>Corte De Árvores De Pequeno Porte Com Auxilio De Equipamentos De Grande Porte Fornecido Pela Vale, Quando Necessário (Plataformas Elevatórias, Caminhões Sky E Outros)</t>
        </is>
      </c>
      <c r="G48" s="10" t="inlineStr">
        <is>
          <t>UNID</t>
        </is>
      </c>
      <c r="H48" s="13" t="n">
        <v>0</v>
      </c>
      <c r="I48" s="13" t="n">
        <v>0</v>
      </c>
      <c r="J48" s="13">
        <f>IFERROR(VLOOKUP(E48,tbl_DimAtividade[#All],4,FALSE),0)</f>
        <v/>
      </c>
      <c r="K48" s="13">
        <f>IF(I48=0,0,H48/I48)</f>
        <v/>
      </c>
      <c r="L48" s="14">
        <f>IF(M48=0,0,I48/J48)</f>
        <v/>
      </c>
      <c r="M48" s="15">
        <f>IF(ISERROR(VLOOKUP(E48,tbl_DimAtividade[#All],4,FALSE)),0,IF(VLOOKUP(E48,tbl_DimAtividade[#All],4,FALSE)=0,0,1))</f>
        <v/>
      </c>
    </row>
    <row r="49">
      <c r="A49" s="10" t="n">
        <v>2026</v>
      </c>
      <c r="B49" s="10" t="n">
        <v>4</v>
      </c>
      <c r="C49" s="10" t="inlineStr">
        <is>
          <t>Abril</t>
        </is>
      </c>
      <c r="D49" s="10" t="inlineStr">
        <is>
          <t>Canaã</t>
        </is>
      </c>
      <c r="E49" s="10" t="inlineStr">
        <is>
          <t>2.2.8</t>
        </is>
      </c>
      <c r="F49" s="10" t="inlineStr">
        <is>
          <t>Corte De Árvores De Pequeno Porte Com Auxilio De Equipamentos De Grande Porte Fornecido Pela Vale, Quando Necessário (Plataformas Elevatórias, Caminhões Sky E Outros)</t>
        </is>
      </c>
      <c r="G49" s="10" t="inlineStr">
        <is>
          <t>UNID</t>
        </is>
      </c>
      <c r="H49" s="13" t="n">
        <v>0</v>
      </c>
      <c r="I49" s="13" t="n">
        <v>0</v>
      </c>
      <c r="J49" s="13">
        <f>IFERROR(VLOOKUP(E49,tbl_DimAtividade[#All],4,FALSE),0)</f>
        <v/>
      </c>
      <c r="K49" s="13">
        <f>IF(I49=0,0,H49/I49)</f>
        <v/>
      </c>
      <c r="L49" s="14">
        <f>IF(M49=0,0,I49/J49)</f>
        <v/>
      </c>
      <c r="M49" s="15">
        <f>IF(ISERROR(VLOOKUP(E49,tbl_DimAtividade[#All],4,FALSE)),0,IF(VLOOKUP(E49,tbl_DimAtividade[#All],4,FALSE)=0,0,1))</f>
        <v/>
      </c>
    </row>
    <row r="50">
      <c r="A50" s="10" t="n">
        <v>2026</v>
      </c>
      <c r="B50" s="10" t="n">
        <v>4</v>
      </c>
      <c r="C50" s="10" t="inlineStr">
        <is>
          <t>Abril</t>
        </is>
      </c>
      <c r="D50" s="10" t="inlineStr">
        <is>
          <t>Marabá</t>
        </is>
      </c>
      <c r="E50" s="10" t="inlineStr">
        <is>
          <t>2.2.9</t>
        </is>
      </c>
      <c r="F50" s="10" t="inlineStr">
        <is>
          <t>Corte De Árvores De Pequeno Porte Com Auxilio De Equipamentos De Grande Porte Fornecido Pela Contratada</t>
        </is>
      </c>
      <c r="G50" s="10" t="inlineStr">
        <is>
          <t>UNID</t>
        </is>
      </c>
      <c r="H50" s="13" t="n">
        <v>0</v>
      </c>
      <c r="I50" s="13" t="n">
        <v>0</v>
      </c>
      <c r="J50" s="13">
        <f>IFERROR(VLOOKUP(E50,tbl_DimAtividade[#All],4,FALSE),0)</f>
        <v/>
      </c>
      <c r="K50" s="13">
        <f>IF(I50=0,0,H50/I50)</f>
        <v/>
      </c>
      <c r="L50" s="14">
        <f>IF(M50=0,0,I50/J50)</f>
        <v/>
      </c>
      <c r="M50" s="15">
        <f>IF(ISERROR(VLOOKUP(E50,tbl_DimAtividade[#All],4,FALSE)),0,IF(VLOOKUP(E50,tbl_DimAtividade[#All],4,FALSE)=0,0,1))</f>
        <v/>
      </c>
    </row>
    <row r="51">
      <c r="A51" s="10" t="n">
        <v>2026</v>
      </c>
      <c r="B51" s="10" t="n">
        <v>4</v>
      </c>
      <c r="C51" s="10" t="inlineStr">
        <is>
          <t>Abril</t>
        </is>
      </c>
      <c r="D51" s="10" t="inlineStr">
        <is>
          <t>Parauapebas</t>
        </is>
      </c>
      <c r="E51" s="10" t="inlineStr">
        <is>
          <t>2.2.9</t>
        </is>
      </c>
      <c r="F51" s="10" t="inlineStr">
        <is>
          <t>Corte De Árvores De Pequeno Porte Com Auxilio De Equipamentos De Grande Porte Fornecido Pela Contratada</t>
        </is>
      </c>
      <c r="G51" s="10" t="inlineStr">
        <is>
          <t>UNID</t>
        </is>
      </c>
      <c r="H51" s="13" t="n">
        <v>0</v>
      </c>
      <c r="I51" s="13" t="n">
        <v>0</v>
      </c>
      <c r="J51" s="13">
        <f>IFERROR(VLOOKUP(E51,tbl_DimAtividade[#All],4,FALSE),0)</f>
        <v/>
      </c>
      <c r="K51" s="13">
        <f>IF(I51=0,0,H51/I51)</f>
        <v/>
      </c>
      <c r="L51" s="14">
        <f>IF(M51=0,0,I51/J51)</f>
        <v/>
      </c>
      <c r="M51" s="15">
        <f>IF(ISERROR(VLOOKUP(E51,tbl_DimAtividade[#All],4,FALSE)),0,IF(VLOOKUP(E51,tbl_DimAtividade[#All],4,FALSE)=0,0,1))</f>
        <v/>
      </c>
    </row>
    <row r="52">
      <c r="A52" s="10" t="n">
        <v>2026</v>
      </c>
      <c r="B52" s="10" t="n">
        <v>4</v>
      </c>
      <c r="C52" s="10" t="inlineStr">
        <is>
          <t>Abril</t>
        </is>
      </c>
      <c r="D52" s="10" t="inlineStr">
        <is>
          <t>Canaã</t>
        </is>
      </c>
      <c r="E52" s="10" t="inlineStr">
        <is>
          <t>2.2.9</t>
        </is>
      </c>
      <c r="F52" s="10" t="inlineStr">
        <is>
          <t>Corte De Árvores De Pequeno Porte Com Auxilio De Equipamentos De Grande Porte Fornecido Pela Contratada</t>
        </is>
      </c>
      <c r="G52" s="10" t="inlineStr">
        <is>
          <t>UNID</t>
        </is>
      </c>
      <c r="H52" s="13" t="n">
        <v>0</v>
      </c>
      <c r="I52" s="13" t="n">
        <v>0</v>
      </c>
      <c r="J52" s="13">
        <f>IFERROR(VLOOKUP(E52,tbl_DimAtividade[#All],4,FALSE),0)</f>
        <v/>
      </c>
      <c r="K52" s="13">
        <f>IF(I52=0,0,H52/I52)</f>
        <v/>
      </c>
      <c r="L52" s="14">
        <f>IF(M52=0,0,I52/J52)</f>
        <v/>
      </c>
      <c r="M52" s="15">
        <f>IF(ISERROR(VLOOKUP(E52,tbl_DimAtividade[#All],4,FALSE)),0,IF(VLOOKUP(E52,tbl_DimAtividade[#All],4,FALSE)=0,0,1))</f>
        <v/>
      </c>
    </row>
    <row r="53">
      <c r="A53" s="10" t="n">
        <v>2026</v>
      </c>
      <c r="B53" s="10" t="n">
        <v>4</v>
      </c>
      <c r="C53" s="10" t="inlineStr">
        <is>
          <t>Abril</t>
        </is>
      </c>
      <c r="D53" s="10" t="inlineStr">
        <is>
          <t>Marabá</t>
        </is>
      </c>
      <c r="E53" s="10" t="inlineStr">
        <is>
          <t>2.2.10</t>
        </is>
      </c>
      <c r="F53" s="10" t="inlineStr">
        <is>
          <t>Corte De Árvores De Grande Porte Com Auxilio De Equipamentos De Grande Porte Fornecido Pela Vale, Quando Necessário (Plataformas Elevatórias, Caminhões Sky E Outros)</t>
        </is>
      </c>
      <c r="G53" s="10" t="inlineStr">
        <is>
          <t>UNID</t>
        </is>
      </c>
      <c r="H53" s="13" t="n">
        <v>0</v>
      </c>
      <c r="I53" s="13" t="n">
        <v>0</v>
      </c>
      <c r="J53" s="13">
        <f>IFERROR(VLOOKUP(E53,tbl_DimAtividade[#All],4,FALSE),0)</f>
        <v/>
      </c>
      <c r="K53" s="13">
        <f>IF(I53=0,0,H53/I53)</f>
        <v/>
      </c>
      <c r="L53" s="14">
        <f>IF(M53=0,0,I53/J53)</f>
        <v/>
      </c>
      <c r="M53" s="15">
        <f>IF(ISERROR(VLOOKUP(E53,tbl_DimAtividade[#All],4,FALSE)),0,IF(VLOOKUP(E53,tbl_DimAtividade[#All],4,FALSE)=0,0,1))</f>
        <v/>
      </c>
    </row>
    <row r="54">
      <c r="A54" s="10" t="n">
        <v>2026</v>
      </c>
      <c r="B54" s="10" t="n">
        <v>4</v>
      </c>
      <c r="C54" s="10" t="inlineStr">
        <is>
          <t>Abril</t>
        </is>
      </c>
      <c r="D54" s="10" t="inlineStr">
        <is>
          <t>Parauapebas</t>
        </is>
      </c>
      <c r="E54" s="10" t="inlineStr">
        <is>
          <t>2.2.10</t>
        </is>
      </c>
      <c r="F54" s="10" t="inlineStr">
        <is>
          <t>Corte De Árvores De Grande Porte Com Auxilio De Equipamentos De Grande Porte Fornecido Pela Vale, Quando Necessário (Plataformas Elevatórias, Caminhões Sky E Outros)</t>
        </is>
      </c>
      <c r="G54" s="10" t="inlineStr">
        <is>
          <t>UNID</t>
        </is>
      </c>
      <c r="H54" s="13" t="n">
        <v>0</v>
      </c>
      <c r="I54" s="13" t="n">
        <v>0</v>
      </c>
      <c r="J54" s="13">
        <f>IFERROR(VLOOKUP(E54,tbl_DimAtividade[#All],4,FALSE),0)</f>
        <v/>
      </c>
      <c r="K54" s="13">
        <f>IF(I54=0,0,H54/I54)</f>
        <v/>
      </c>
      <c r="L54" s="14">
        <f>IF(M54=0,0,I54/J54)</f>
        <v/>
      </c>
      <c r="M54" s="15">
        <f>IF(ISERROR(VLOOKUP(E54,tbl_DimAtividade[#All],4,FALSE)),0,IF(VLOOKUP(E54,tbl_DimAtividade[#All],4,FALSE)=0,0,1))</f>
        <v/>
      </c>
    </row>
    <row r="55">
      <c r="A55" s="10" t="n">
        <v>2026</v>
      </c>
      <c r="B55" s="10" t="n">
        <v>4</v>
      </c>
      <c r="C55" s="10" t="inlineStr">
        <is>
          <t>Abril</t>
        </is>
      </c>
      <c r="D55" s="10" t="inlineStr">
        <is>
          <t>Canaã</t>
        </is>
      </c>
      <c r="E55" s="10" t="inlineStr">
        <is>
          <t>2.2.10</t>
        </is>
      </c>
      <c r="F55" s="10" t="inlineStr">
        <is>
          <t>Corte De Árvores De Grande Porte Com Auxilio De Equipamentos De Grande Porte Fornecido Pela Vale, Quando Necessário (Plataformas Elevatórias, Caminhões Sky E Outros)</t>
        </is>
      </c>
      <c r="G55" s="10" t="inlineStr">
        <is>
          <t>UNID</t>
        </is>
      </c>
      <c r="H55" s="13" t="n">
        <v>0</v>
      </c>
      <c r="I55" s="13" t="n">
        <v>0</v>
      </c>
      <c r="J55" s="13">
        <f>IFERROR(VLOOKUP(E55,tbl_DimAtividade[#All],4,FALSE),0)</f>
        <v/>
      </c>
      <c r="K55" s="13">
        <f>IF(I55=0,0,H55/I55)</f>
        <v/>
      </c>
      <c r="L55" s="14">
        <f>IF(M55=0,0,I55/J55)</f>
        <v/>
      </c>
      <c r="M55" s="15">
        <f>IF(ISERROR(VLOOKUP(E55,tbl_DimAtividade[#All],4,FALSE)),0,IF(VLOOKUP(E55,tbl_DimAtividade[#All],4,FALSE)=0,0,1))</f>
        <v/>
      </c>
    </row>
    <row r="56">
      <c r="A56" s="10" t="n">
        <v>2026</v>
      </c>
      <c r="B56" s="10" t="n">
        <v>4</v>
      </c>
      <c r="C56" s="10" t="inlineStr">
        <is>
          <t>Abril</t>
        </is>
      </c>
      <c r="D56" s="10" t="inlineStr">
        <is>
          <t>Marabá</t>
        </is>
      </c>
      <c r="E56" s="10" t="inlineStr">
        <is>
          <t>2.2.11</t>
        </is>
      </c>
      <c r="F56" s="10" t="inlineStr">
        <is>
          <t>Corte De Árvores De Grande Porte Com Auxilio De Equipamentos De Grande Porte Fornecido Pela Contratada</t>
        </is>
      </c>
      <c r="G56" s="10" t="inlineStr">
        <is>
          <t>UNID</t>
        </is>
      </c>
      <c r="H56" s="13" t="n">
        <v>0</v>
      </c>
      <c r="I56" s="13" t="n">
        <v>0</v>
      </c>
      <c r="J56" s="13">
        <f>IFERROR(VLOOKUP(E56,tbl_DimAtividade[#All],4,FALSE),0)</f>
        <v/>
      </c>
      <c r="K56" s="13">
        <f>IF(I56=0,0,H56/I56)</f>
        <v/>
      </c>
      <c r="L56" s="14">
        <f>IF(M56=0,0,I56/J56)</f>
        <v/>
      </c>
      <c r="M56" s="15">
        <f>IF(ISERROR(VLOOKUP(E56,tbl_DimAtividade[#All],4,FALSE)),0,IF(VLOOKUP(E56,tbl_DimAtividade[#All],4,FALSE)=0,0,1))</f>
        <v/>
      </c>
    </row>
    <row r="57">
      <c r="A57" s="10" t="n">
        <v>2026</v>
      </c>
      <c r="B57" s="10" t="n">
        <v>4</v>
      </c>
      <c r="C57" s="10" t="inlineStr">
        <is>
          <t>Abril</t>
        </is>
      </c>
      <c r="D57" s="10" t="inlineStr">
        <is>
          <t>Parauapebas</t>
        </is>
      </c>
      <c r="E57" s="10" t="inlineStr">
        <is>
          <t>2.2.11</t>
        </is>
      </c>
      <c r="F57" s="10" t="inlineStr">
        <is>
          <t>Corte De Árvores De Grande Porte Com Auxilio De Equipamentos De Grande Porte Fornecido Pela Contratada</t>
        </is>
      </c>
      <c r="G57" s="10" t="inlineStr">
        <is>
          <t>UNID</t>
        </is>
      </c>
      <c r="H57" s="13" t="n">
        <v>0</v>
      </c>
      <c r="I57" s="13" t="n">
        <v>0</v>
      </c>
      <c r="J57" s="13">
        <f>IFERROR(VLOOKUP(E57,tbl_DimAtividade[#All],4,FALSE),0)</f>
        <v/>
      </c>
      <c r="K57" s="13">
        <f>IF(I57=0,0,H57/I57)</f>
        <v/>
      </c>
      <c r="L57" s="14">
        <f>IF(M57=0,0,I57/J57)</f>
        <v/>
      </c>
      <c r="M57" s="15">
        <f>IF(ISERROR(VLOOKUP(E57,tbl_DimAtividade[#All],4,FALSE)),0,IF(VLOOKUP(E57,tbl_DimAtividade[#All],4,FALSE)=0,0,1))</f>
        <v/>
      </c>
    </row>
    <row r="58">
      <c r="A58" s="10" t="n">
        <v>2026</v>
      </c>
      <c r="B58" s="10" t="n">
        <v>4</v>
      </c>
      <c r="C58" s="10" t="inlineStr">
        <is>
          <t>Abril</t>
        </is>
      </c>
      <c r="D58" s="10" t="inlineStr">
        <is>
          <t>Canaã</t>
        </is>
      </c>
      <c r="E58" s="10" t="inlineStr">
        <is>
          <t>2.2.11</t>
        </is>
      </c>
      <c r="F58" s="10" t="inlineStr">
        <is>
          <t>Corte De Árvores De Grande Porte Com Auxilio De Equipamentos De Grande Porte Fornecido Pela Contratada</t>
        </is>
      </c>
      <c r="G58" s="10" t="inlineStr">
        <is>
          <t>UNID</t>
        </is>
      </c>
      <c r="H58" s="13" t="n">
        <v>0</v>
      </c>
      <c r="I58" s="13" t="n">
        <v>0</v>
      </c>
      <c r="J58" s="13">
        <f>IFERROR(VLOOKUP(E58,tbl_DimAtividade[#All],4,FALSE),0)</f>
        <v/>
      </c>
      <c r="K58" s="13">
        <f>IF(I58=0,0,H58/I58)</f>
        <v/>
      </c>
      <c r="L58" s="14">
        <f>IF(M58=0,0,I58/J58)</f>
        <v/>
      </c>
      <c r="M58" s="15">
        <f>IF(ISERROR(VLOOKUP(E58,tbl_DimAtividade[#All],4,FALSE)),0,IF(VLOOKUP(E58,tbl_DimAtividade[#All],4,FALSE)=0,0,1))</f>
        <v/>
      </c>
    </row>
    <row r="59">
      <c r="A59" s="10" t="n">
        <v>2026</v>
      </c>
      <c r="B59" s="10" t="n">
        <v>4</v>
      </c>
      <c r="C59" s="10" t="inlineStr">
        <is>
          <t>Abril</t>
        </is>
      </c>
      <c r="D59" s="10" t="inlineStr">
        <is>
          <t>Marabá</t>
        </is>
      </c>
      <c r="E59" s="10" t="inlineStr">
        <is>
          <t>2.2.12</t>
        </is>
      </c>
      <c r="F59" s="10" t="inlineStr">
        <is>
          <t>Momento Extraordinário De Transporte</t>
        </is>
      </c>
      <c r="G59" s="10" t="inlineStr">
        <is>
          <t>M³xKM</t>
        </is>
      </c>
      <c r="H59" s="13" t="n">
        <v>0</v>
      </c>
      <c r="I59" s="13" t="n">
        <v>0</v>
      </c>
      <c r="J59" s="13">
        <f>IFERROR(VLOOKUP(E59,tbl_DimAtividade[#All],4,FALSE),0)</f>
        <v/>
      </c>
      <c r="K59" s="13">
        <f>IF(I59=0,0,H59/I59)</f>
        <v/>
      </c>
      <c r="L59" s="14">
        <f>IF(M59=0,0,I59/J59)</f>
        <v/>
      </c>
      <c r="M59" s="15">
        <f>IF(ISERROR(VLOOKUP(E59,tbl_DimAtividade[#All],4,FALSE)),0,IF(VLOOKUP(E59,tbl_DimAtividade[#All],4,FALSE)=0,0,1))</f>
        <v/>
      </c>
    </row>
    <row r="60">
      <c r="A60" s="10" t="n">
        <v>2026</v>
      </c>
      <c r="B60" s="10" t="n">
        <v>4</v>
      </c>
      <c r="C60" s="10" t="inlineStr">
        <is>
          <t>Abril</t>
        </is>
      </c>
      <c r="D60" s="10" t="inlineStr">
        <is>
          <t>Parauapebas</t>
        </is>
      </c>
      <c r="E60" s="10" t="inlineStr">
        <is>
          <t>2.2.12</t>
        </is>
      </c>
      <c r="F60" s="10" t="inlineStr">
        <is>
          <t>Momento Extraordinário De Transporte</t>
        </is>
      </c>
      <c r="G60" s="10" t="inlineStr">
        <is>
          <t>M³xKM</t>
        </is>
      </c>
      <c r="H60" s="13" t="n">
        <v>0</v>
      </c>
      <c r="I60" s="13" t="n">
        <v>0</v>
      </c>
      <c r="J60" s="13">
        <f>IFERROR(VLOOKUP(E60,tbl_DimAtividade[#All],4,FALSE),0)</f>
        <v/>
      </c>
      <c r="K60" s="13">
        <f>IF(I60=0,0,H60/I60)</f>
        <v/>
      </c>
      <c r="L60" s="14">
        <f>IF(M60=0,0,I60/J60)</f>
        <v/>
      </c>
      <c r="M60" s="15">
        <f>IF(ISERROR(VLOOKUP(E60,tbl_DimAtividade[#All],4,FALSE)),0,IF(VLOOKUP(E60,tbl_DimAtividade[#All],4,FALSE)=0,0,1))</f>
        <v/>
      </c>
    </row>
    <row r="61">
      <c r="A61" s="10" t="n">
        <v>2026</v>
      </c>
      <c r="B61" s="10" t="n">
        <v>4</v>
      </c>
      <c r="C61" s="10" t="inlineStr">
        <is>
          <t>Abril</t>
        </is>
      </c>
      <c r="D61" s="10" t="inlineStr">
        <is>
          <t>Canaã</t>
        </is>
      </c>
      <c r="E61" s="10" t="inlineStr">
        <is>
          <t>2.2.12</t>
        </is>
      </c>
      <c r="F61" s="10" t="inlineStr">
        <is>
          <t>Momento Extraordinário De Transporte</t>
        </is>
      </c>
      <c r="G61" s="10" t="inlineStr">
        <is>
          <t>M³xKM</t>
        </is>
      </c>
      <c r="H61" s="13" t="n">
        <v>0</v>
      </c>
      <c r="I61" s="13" t="n">
        <v>0</v>
      </c>
      <c r="J61" s="13">
        <f>IFERROR(VLOOKUP(E61,tbl_DimAtividade[#All],4,FALSE),0)</f>
        <v/>
      </c>
      <c r="K61" s="13">
        <f>IF(I61=0,0,H61/I61)</f>
        <v/>
      </c>
      <c r="L61" s="14">
        <f>IF(M61=0,0,I61/J61)</f>
        <v/>
      </c>
      <c r="M61" s="15">
        <f>IF(ISERROR(VLOOKUP(E61,tbl_DimAtividade[#All],4,FALSE)),0,IF(VLOOKUP(E61,tbl_DimAtividade[#All],4,FALSE)=0,0,1))</f>
        <v/>
      </c>
    </row>
    <row r="62">
      <c r="A62" s="10" t="n">
        <v>2026</v>
      </c>
      <c r="B62" s="10" t="n">
        <v>4</v>
      </c>
      <c r="C62" s="10" t="inlineStr">
        <is>
          <t>Abril</t>
        </is>
      </c>
      <c r="D62" s="10" t="inlineStr">
        <is>
          <t>Marabá</t>
        </is>
      </c>
      <c r="E62" s="10" t="inlineStr">
        <is>
          <t>2.3.1</t>
        </is>
      </c>
      <c r="F62" s="10" t="inlineStr">
        <is>
          <t>Fornecimento E Aplicação De Sinalização Gráfica Vertical Completa (M²)</t>
        </is>
      </c>
      <c r="G62" s="10" t="inlineStr">
        <is>
          <t>M²</t>
        </is>
      </c>
      <c r="H62" s="13" t="n">
        <v>0.25</v>
      </c>
      <c r="I62" s="13" t="n">
        <v>0.001785714285714286</v>
      </c>
      <c r="J62" s="13">
        <f>IFERROR(VLOOKUP(E62,tbl_DimAtividade[#All],4,FALSE),0)</f>
        <v/>
      </c>
      <c r="K62" s="13">
        <f>IF(I62=0,0,H62/I62)</f>
        <v/>
      </c>
      <c r="L62" s="14">
        <f>IF(M62=0,0,I62/J62)</f>
        <v/>
      </c>
      <c r="M62" s="15">
        <f>IF(ISERROR(VLOOKUP(E62,tbl_DimAtividade[#All],4,FALSE)),0,IF(VLOOKUP(E62,tbl_DimAtividade[#All],4,FALSE)=0,0,1))</f>
        <v/>
      </c>
    </row>
    <row r="63">
      <c r="A63" s="10" t="n">
        <v>2026</v>
      </c>
      <c r="B63" s="10" t="n">
        <v>4</v>
      </c>
      <c r="C63" s="10" t="inlineStr">
        <is>
          <t>Abril</t>
        </is>
      </c>
      <c r="D63" s="10" t="inlineStr">
        <is>
          <t>Parauapebas</t>
        </is>
      </c>
      <c r="E63" s="10" t="inlineStr">
        <is>
          <t>2.3.1</t>
        </is>
      </c>
      <c r="F63" s="10" t="inlineStr">
        <is>
          <t>Fornecimento E Aplicação De Sinalização Gráfica Vertical Completa (M²)</t>
        </is>
      </c>
      <c r="G63" s="10" t="inlineStr">
        <is>
          <t>M²</t>
        </is>
      </c>
      <c r="H63" s="13" t="n">
        <v>0.36</v>
      </c>
      <c r="I63" s="13" t="n">
        <v>0.002571428571428571</v>
      </c>
      <c r="J63" s="13">
        <f>IFERROR(VLOOKUP(E63,tbl_DimAtividade[#All],4,FALSE),0)</f>
        <v/>
      </c>
      <c r="K63" s="13">
        <f>IF(I63=0,0,H63/I63)</f>
        <v/>
      </c>
      <c r="L63" s="14">
        <f>IF(M63=0,0,I63/J63)</f>
        <v/>
      </c>
      <c r="M63" s="15">
        <f>IF(ISERROR(VLOOKUP(E63,tbl_DimAtividade[#All],4,FALSE)),0,IF(VLOOKUP(E63,tbl_DimAtividade[#All],4,FALSE)=0,0,1))</f>
        <v/>
      </c>
    </row>
    <row r="64">
      <c r="A64" s="10" t="n">
        <v>2026</v>
      </c>
      <c r="B64" s="10" t="n">
        <v>4</v>
      </c>
      <c r="C64" s="10" t="inlineStr">
        <is>
          <t>Abril</t>
        </is>
      </c>
      <c r="D64" s="10" t="inlineStr">
        <is>
          <t>Canaã</t>
        </is>
      </c>
      <c r="E64" s="10" t="inlineStr">
        <is>
          <t>2.3.1</t>
        </is>
      </c>
      <c r="F64" s="10" t="inlineStr">
        <is>
          <t>Fornecimento E Aplicação De Sinalização Gráfica Vertical Completa (M²)</t>
        </is>
      </c>
      <c r="G64" s="10" t="inlineStr">
        <is>
          <t>M²</t>
        </is>
      </c>
      <c r="H64" s="13" t="n">
        <v>0</v>
      </c>
      <c r="I64" s="13" t="n">
        <v>0</v>
      </c>
      <c r="J64" s="13">
        <f>IFERROR(VLOOKUP(E64,tbl_DimAtividade[#All],4,FALSE),0)</f>
        <v/>
      </c>
      <c r="K64" s="13">
        <f>IF(I64=0,0,H64/I64)</f>
        <v/>
      </c>
      <c r="L64" s="14">
        <f>IF(M64=0,0,I64/J64)</f>
        <v/>
      </c>
      <c r="M64" s="15">
        <f>IF(ISERROR(VLOOKUP(E64,tbl_DimAtividade[#All],4,FALSE)),0,IF(VLOOKUP(E64,tbl_DimAtividade[#All],4,FALSE)=0,0,1))</f>
        <v/>
      </c>
    </row>
    <row r="65">
      <c r="A65" s="10" t="n">
        <v>2026</v>
      </c>
      <c r="B65" s="10" t="n">
        <v>4</v>
      </c>
      <c r="C65" s="10" t="inlineStr">
        <is>
          <t>Abril</t>
        </is>
      </c>
      <c r="D65" s="10" t="inlineStr">
        <is>
          <t>Marabá</t>
        </is>
      </c>
      <c r="E65" s="10" t="inlineStr">
        <is>
          <t>2.3.2</t>
        </is>
      </c>
      <c r="F65" s="10" t="inlineStr">
        <is>
          <t>Aplicação De Trilho Para Cruz De Santo André (Trilho Fornecimento Vale)</t>
        </is>
      </c>
      <c r="G65" s="10" t="inlineStr">
        <is>
          <t>UNID</t>
        </is>
      </c>
      <c r="H65" s="13" t="n">
        <v>0</v>
      </c>
      <c r="I65" s="13" t="n">
        <v>0</v>
      </c>
      <c r="J65" s="13">
        <f>IFERROR(VLOOKUP(E65,tbl_DimAtividade[#All],4,FALSE),0)</f>
        <v/>
      </c>
      <c r="K65" s="13">
        <f>IF(I65=0,0,H65/I65)</f>
        <v/>
      </c>
      <c r="L65" s="14">
        <f>IF(M65=0,0,I65/J65)</f>
        <v/>
      </c>
      <c r="M65" s="15">
        <f>IF(ISERROR(VLOOKUP(E65,tbl_DimAtividade[#All],4,FALSE)),0,IF(VLOOKUP(E65,tbl_DimAtividade[#All],4,FALSE)=0,0,1))</f>
        <v/>
      </c>
    </row>
    <row r="66">
      <c r="A66" s="10" t="n">
        <v>2026</v>
      </c>
      <c r="B66" s="10" t="n">
        <v>4</v>
      </c>
      <c r="C66" s="10" t="inlineStr">
        <is>
          <t>Abril</t>
        </is>
      </c>
      <c r="D66" s="10" t="inlineStr">
        <is>
          <t>Parauapebas</t>
        </is>
      </c>
      <c r="E66" s="10" t="inlineStr">
        <is>
          <t>2.3.2</t>
        </is>
      </c>
      <c r="F66" s="10" t="inlineStr">
        <is>
          <t>Aplicação De Trilho Para Cruz De Santo André (Trilho Fornecimento Vale)</t>
        </is>
      </c>
      <c r="G66" s="10" t="inlineStr">
        <is>
          <t>UNID</t>
        </is>
      </c>
      <c r="H66" s="13" t="n">
        <v>0</v>
      </c>
      <c r="I66" s="13" t="n">
        <v>0</v>
      </c>
      <c r="J66" s="13">
        <f>IFERROR(VLOOKUP(E66,tbl_DimAtividade[#All],4,FALSE),0)</f>
        <v/>
      </c>
      <c r="K66" s="13">
        <f>IF(I66=0,0,H66/I66)</f>
        <v/>
      </c>
      <c r="L66" s="14">
        <f>IF(M66=0,0,I66/J66)</f>
        <v/>
      </c>
      <c r="M66" s="15">
        <f>IF(ISERROR(VLOOKUP(E66,tbl_DimAtividade[#All],4,FALSE)),0,IF(VLOOKUP(E66,tbl_DimAtividade[#All],4,FALSE)=0,0,1))</f>
        <v/>
      </c>
    </row>
    <row r="67">
      <c r="A67" s="10" t="n">
        <v>2026</v>
      </c>
      <c r="B67" s="10" t="n">
        <v>4</v>
      </c>
      <c r="C67" s="10" t="inlineStr">
        <is>
          <t>Abril</t>
        </is>
      </c>
      <c r="D67" s="10" t="inlineStr">
        <is>
          <t>Canaã</t>
        </is>
      </c>
      <c r="E67" s="10" t="inlineStr">
        <is>
          <t>2.3.2</t>
        </is>
      </c>
      <c r="F67" s="10" t="inlineStr">
        <is>
          <t>Aplicação De Trilho Para Cruz De Santo André (Trilho Fornecimento Vale)</t>
        </is>
      </c>
      <c r="G67" s="10" t="inlineStr">
        <is>
          <t>UNID</t>
        </is>
      </c>
      <c r="H67" s="13" t="n">
        <v>0</v>
      </c>
      <c r="I67" s="13" t="n">
        <v>0</v>
      </c>
      <c r="J67" s="13">
        <f>IFERROR(VLOOKUP(E67,tbl_DimAtividade[#All],4,FALSE),0)</f>
        <v/>
      </c>
      <c r="K67" s="13">
        <f>IF(I67=0,0,H67/I67)</f>
        <v/>
      </c>
      <c r="L67" s="14">
        <f>IF(M67=0,0,I67/J67)</f>
        <v/>
      </c>
      <c r="M67" s="15">
        <f>IF(ISERROR(VLOOKUP(E67,tbl_DimAtividade[#All],4,FALSE)),0,IF(VLOOKUP(E67,tbl_DimAtividade[#All],4,FALSE)=0,0,1))</f>
        <v/>
      </c>
    </row>
    <row r="68">
      <c r="A68" s="10" t="n">
        <v>2026</v>
      </c>
      <c r="B68" s="10" t="n">
        <v>5</v>
      </c>
      <c r="C68" s="10" t="inlineStr">
        <is>
          <t>Maio</t>
        </is>
      </c>
      <c r="D68" s="10" t="inlineStr">
        <is>
          <t>Marabá</t>
        </is>
      </c>
      <c r="E68" s="10" t="inlineStr">
        <is>
          <t>2.1.2</t>
        </is>
      </c>
      <c r="F68" s="10" t="inlineStr">
        <is>
          <t>Limpeza De Bueiros</t>
        </is>
      </c>
      <c r="G68" s="10" t="inlineStr">
        <is>
          <t>M³</t>
        </is>
      </c>
      <c r="H68" s="13" t="n">
        <v>0</v>
      </c>
      <c r="I68" s="13" t="n">
        <v>0</v>
      </c>
      <c r="J68" s="13">
        <f>IFERROR(VLOOKUP(E68,tbl_DimAtividade[#All],4,FALSE),0)</f>
        <v/>
      </c>
      <c r="K68" s="13">
        <f>IF(I68=0,0,H68/I68)</f>
        <v/>
      </c>
      <c r="L68" s="14">
        <f>IF(M68=0,0,I68/J68)</f>
        <v/>
      </c>
      <c r="M68" s="15">
        <f>IF(ISERROR(VLOOKUP(E68,tbl_DimAtividade[#All],4,FALSE)),0,IF(VLOOKUP(E68,tbl_DimAtividade[#All],4,FALSE)=0,0,1))</f>
        <v/>
      </c>
    </row>
    <row r="69">
      <c r="A69" s="10" t="n">
        <v>2026</v>
      </c>
      <c r="B69" s="10" t="n">
        <v>5</v>
      </c>
      <c r="C69" s="10" t="inlineStr">
        <is>
          <t>Maio</t>
        </is>
      </c>
      <c r="D69" s="10" t="inlineStr">
        <is>
          <t>Parauapebas</t>
        </is>
      </c>
      <c r="E69" s="10" t="inlineStr">
        <is>
          <t>2.1.2</t>
        </is>
      </c>
      <c r="F69" s="10" t="inlineStr">
        <is>
          <t>Limpeza De Bueiros</t>
        </is>
      </c>
      <c r="G69" s="10" t="inlineStr">
        <is>
          <t>M³</t>
        </is>
      </c>
      <c r="H69" s="13" t="n">
        <v>1.7018</v>
      </c>
      <c r="I69" s="13" t="n">
        <v>0.02431142857142857</v>
      </c>
      <c r="J69" s="13">
        <f>IFERROR(VLOOKUP(E69,tbl_DimAtividade[#All],4,FALSE),0)</f>
        <v/>
      </c>
      <c r="K69" s="13">
        <f>IF(I69=0,0,H69/I69)</f>
        <v/>
      </c>
      <c r="L69" s="14">
        <f>IF(M69=0,0,I69/J69)</f>
        <v/>
      </c>
      <c r="M69" s="15">
        <f>IF(ISERROR(VLOOKUP(E69,tbl_DimAtividade[#All],4,FALSE)),0,IF(VLOOKUP(E69,tbl_DimAtividade[#All],4,FALSE)=0,0,1))</f>
        <v/>
      </c>
    </row>
    <row r="70">
      <c r="A70" s="10" t="n">
        <v>2026</v>
      </c>
      <c r="B70" s="10" t="n">
        <v>5</v>
      </c>
      <c r="C70" s="10" t="inlineStr">
        <is>
          <t>Maio</t>
        </is>
      </c>
      <c r="D70" s="10" t="inlineStr">
        <is>
          <t>Canaã</t>
        </is>
      </c>
      <c r="E70" s="10" t="inlineStr">
        <is>
          <t>2.1.2</t>
        </is>
      </c>
      <c r="F70" s="10" t="inlineStr">
        <is>
          <t>Limpeza De Bueiros</t>
        </is>
      </c>
      <c r="G70" s="10" t="inlineStr">
        <is>
          <t>M³</t>
        </is>
      </c>
      <c r="H70" s="13" t="n">
        <v>0</v>
      </c>
      <c r="I70" s="13" t="n">
        <v>0</v>
      </c>
      <c r="J70" s="13">
        <f>IFERROR(VLOOKUP(E70,tbl_DimAtividade[#All],4,FALSE),0)</f>
        <v/>
      </c>
      <c r="K70" s="13">
        <f>IF(I70=0,0,H70/I70)</f>
        <v/>
      </c>
      <c r="L70" s="14">
        <f>IF(M70=0,0,I70/J70)</f>
        <v/>
      </c>
      <c r="M70" s="15">
        <f>IF(ISERROR(VLOOKUP(E70,tbl_DimAtividade[#All],4,FALSE)),0,IF(VLOOKUP(E70,tbl_DimAtividade[#All],4,FALSE)=0,0,1))</f>
        <v/>
      </c>
    </row>
    <row r="71">
      <c r="A71" s="10" t="n">
        <v>2026</v>
      </c>
      <c r="B71" s="10" t="n">
        <v>5</v>
      </c>
      <c r="C71" s="10" t="inlineStr">
        <is>
          <t>Maio</t>
        </is>
      </c>
      <c r="D71" s="10" t="inlineStr">
        <is>
          <t>Marabá</t>
        </is>
      </c>
      <c r="E71" s="10" t="inlineStr">
        <is>
          <t>2.1.7</t>
        </is>
      </c>
      <c r="F71" s="10" t="inlineStr">
        <is>
          <t>Limpeza De Valas De Bueiros (Montante E Jusante)</t>
        </is>
      </c>
      <c r="G71" s="10" t="inlineStr">
        <is>
          <t>M³</t>
        </is>
      </c>
      <c r="H71" s="13" t="n">
        <v>0</v>
      </c>
      <c r="I71" s="13" t="n">
        <v>0</v>
      </c>
      <c r="J71" s="13">
        <f>IFERROR(VLOOKUP(E71,tbl_DimAtividade[#All],4,FALSE),0)</f>
        <v/>
      </c>
      <c r="K71" s="13">
        <f>IF(I71=0,0,H71/I71)</f>
        <v/>
      </c>
      <c r="L71" s="14">
        <f>IF(M71=0,0,I71/J71)</f>
        <v/>
      </c>
      <c r="M71" s="15">
        <f>IF(ISERROR(VLOOKUP(E71,tbl_DimAtividade[#All],4,FALSE)),0,IF(VLOOKUP(E71,tbl_DimAtividade[#All],4,FALSE)=0,0,1))</f>
        <v/>
      </c>
    </row>
    <row r="72">
      <c r="A72" s="10" t="n">
        <v>2026</v>
      </c>
      <c r="B72" s="10" t="n">
        <v>5</v>
      </c>
      <c r="C72" s="10" t="inlineStr">
        <is>
          <t>Maio</t>
        </is>
      </c>
      <c r="D72" s="10" t="inlineStr">
        <is>
          <t>Parauapebas</t>
        </is>
      </c>
      <c r="E72" s="10" t="inlineStr">
        <is>
          <t>2.1.7</t>
        </is>
      </c>
      <c r="F72" s="10" t="inlineStr">
        <is>
          <t>Limpeza De Valas De Bueiros (Montante E Jusante)</t>
        </is>
      </c>
      <c r="G72" s="10" t="inlineStr">
        <is>
          <t>M³</t>
        </is>
      </c>
      <c r="H72" s="13" t="n">
        <v>0</v>
      </c>
      <c r="I72" s="13" t="n">
        <v>0</v>
      </c>
      <c r="J72" s="13">
        <f>IFERROR(VLOOKUP(E72,tbl_DimAtividade[#All],4,FALSE),0)</f>
        <v/>
      </c>
      <c r="K72" s="13">
        <f>IF(I72=0,0,H72/I72)</f>
        <v/>
      </c>
      <c r="L72" s="14">
        <f>IF(M72=0,0,I72/J72)</f>
        <v/>
      </c>
      <c r="M72" s="15">
        <f>IF(ISERROR(VLOOKUP(E72,tbl_DimAtividade[#All],4,FALSE)),0,IF(VLOOKUP(E72,tbl_DimAtividade[#All],4,FALSE)=0,0,1))</f>
        <v/>
      </c>
    </row>
    <row r="73">
      <c r="A73" s="10" t="n">
        <v>2026</v>
      </c>
      <c r="B73" s="10" t="n">
        <v>5</v>
      </c>
      <c r="C73" s="10" t="inlineStr">
        <is>
          <t>Maio</t>
        </is>
      </c>
      <c r="D73" s="10" t="inlineStr">
        <is>
          <t>Canaã</t>
        </is>
      </c>
      <c r="E73" s="10" t="inlineStr">
        <is>
          <t>2.1.7</t>
        </is>
      </c>
      <c r="F73" s="10" t="inlineStr">
        <is>
          <t>Limpeza De Valas De Bueiros (Montante E Jusante)</t>
        </is>
      </c>
      <c r="G73" s="10" t="inlineStr">
        <is>
          <t>M³</t>
        </is>
      </c>
      <c r="H73" s="13" t="n">
        <v>0</v>
      </c>
      <c r="I73" s="13" t="n">
        <v>0</v>
      </c>
      <c r="J73" s="13">
        <f>IFERROR(VLOOKUP(E73,tbl_DimAtividade[#All],4,FALSE),0)</f>
        <v/>
      </c>
      <c r="K73" s="13">
        <f>IF(I73=0,0,H73/I73)</f>
        <v/>
      </c>
      <c r="L73" s="14">
        <f>IF(M73=0,0,I73/J73)</f>
        <v/>
      </c>
      <c r="M73" s="15">
        <f>IF(ISERROR(VLOOKUP(E73,tbl_DimAtividade[#All],4,FALSE)),0,IF(VLOOKUP(E73,tbl_DimAtividade[#All],4,FALSE)=0,0,1))</f>
        <v/>
      </c>
    </row>
    <row r="74">
      <c r="A74" s="10" t="n">
        <v>2026</v>
      </c>
      <c r="B74" s="10" t="n">
        <v>5</v>
      </c>
      <c r="C74" s="10" t="inlineStr">
        <is>
          <t>Maio</t>
        </is>
      </c>
      <c r="D74" s="10" t="inlineStr">
        <is>
          <t>Marabá</t>
        </is>
      </c>
      <c r="E74" s="10" t="inlineStr">
        <is>
          <t>2.1.3</t>
        </is>
      </c>
      <c r="F74" s="10" t="inlineStr">
        <is>
          <t>Limpeza De Canaleta Em Corte E Aterro Até Meia Seção (M)</t>
        </is>
      </c>
      <c r="G74" s="10" t="inlineStr">
        <is>
          <t>M</t>
        </is>
      </c>
      <c r="H74" s="13" t="n">
        <v>1391.6</v>
      </c>
      <c r="I74" s="13" t="n">
        <v>22.08888888888889</v>
      </c>
      <c r="J74" s="13">
        <f>IFERROR(VLOOKUP(E74,tbl_DimAtividade[#All],4,FALSE),0)</f>
        <v/>
      </c>
      <c r="K74" s="13">
        <f>IF(I74=0,0,H74/I74)</f>
        <v/>
      </c>
      <c r="L74" s="14">
        <f>IF(M74=0,0,I74/J74)</f>
        <v/>
      </c>
      <c r="M74" s="15">
        <f>IF(ISERROR(VLOOKUP(E74,tbl_DimAtividade[#All],4,FALSE)),0,IF(VLOOKUP(E74,tbl_DimAtividade[#All],4,FALSE)=0,0,1))</f>
        <v/>
      </c>
    </row>
    <row r="75">
      <c r="A75" s="10" t="n">
        <v>2026</v>
      </c>
      <c r="B75" s="10" t="n">
        <v>5</v>
      </c>
      <c r="C75" s="10" t="inlineStr">
        <is>
          <t>Maio</t>
        </is>
      </c>
      <c r="D75" s="10" t="inlineStr">
        <is>
          <t>Parauapebas</t>
        </is>
      </c>
      <c r="E75" s="10" t="inlineStr">
        <is>
          <t>2.1.3</t>
        </is>
      </c>
      <c r="F75" s="10" t="inlineStr">
        <is>
          <t>Limpeza De Canaleta Em Corte E Aterro Até Meia Seção (M)</t>
        </is>
      </c>
      <c r="G75" s="10" t="inlineStr">
        <is>
          <t>M</t>
        </is>
      </c>
      <c r="H75" s="13" t="n">
        <v>2810.9</v>
      </c>
      <c r="I75" s="13" t="n">
        <v>40.15571428571429</v>
      </c>
      <c r="J75" s="13">
        <f>IFERROR(VLOOKUP(E75,tbl_DimAtividade[#All],4,FALSE),0)</f>
        <v/>
      </c>
      <c r="K75" s="13">
        <f>IF(I75=0,0,H75/I75)</f>
        <v/>
      </c>
      <c r="L75" s="14">
        <f>IF(M75=0,0,I75/J75)</f>
        <v/>
      </c>
      <c r="M75" s="15">
        <f>IF(ISERROR(VLOOKUP(E75,tbl_DimAtividade[#All],4,FALSE)),0,IF(VLOOKUP(E75,tbl_DimAtividade[#All],4,FALSE)=0,0,1))</f>
        <v/>
      </c>
    </row>
    <row r="76">
      <c r="A76" s="10" t="n">
        <v>2026</v>
      </c>
      <c r="B76" s="10" t="n">
        <v>5</v>
      </c>
      <c r="C76" s="10" t="inlineStr">
        <is>
          <t>Maio</t>
        </is>
      </c>
      <c r="D76" s="10" t="inlineStr">
        <is>
          <t>Canaã</t>
        </is>
      </c>
      <c r="E76" s="10" t="inlineStr">
        <is>
          <t>2.1.3</t>
        </is>
      </c>
      <c r="F76" s="10" t="inlineStr">
        <is>
          <t>Limpeza De Canaleta Em Corte E Aterro Até Meia Seção (M)</t>
        </is>
      </c>
      <c r="G76" s="10" t="inlineStr">
        <is>
          <t>M</t>
        </is>
      </c>
      <c r="H76" s="13" t="n">
        <v>2004</v>
      </c>
      <c r="I76" s="13" t="n">
        <v>26.02597402597403</v>
      </c>
      <c r="J76" s="13">
        <f>IFERROR(VLOOKUP(E76,tbl_DimAtividade[#All],4,FALSE),0)</f>
        <v/>
      </c>
      <c r="K76" s="13">
        <f>IF(I76=0,0,H76/I76)</f>
        <v/>
      </c>
      <c r="L76" s="14">
        <f>IF(M76=0,0,I76/J76)</f>
        <v/>
      </c>
      <c r="M76" s="15">
        <f>IF(ISERROR(VLOOKUP(E76,tbl_DimAtividade[#All],4,FALSE)),0,IF(VLOOKUP(E76,tbl_DimAtividade[#All],4,FALSE)=0,0,1))</f>
        <v/>
      </c>
    </row>
    <row r="77">
      <c r="A77" s="10" t="n">
        <v>2026</v>
      </c>
      <c r="B77" s="10" t="n">
        <v>5</v>
      </c>
      <c r="C77" s="10" t="inlineStr">
        <is>
          <t>Maio</t>
        </is>
      </c>
      <c r="D77" s="10" t="inlineStr">
        <is>
          <t>Marabá</t>
        </is>
      </c>
      <c r="E77" s="10" t="inlineStr">
        <is>
          <t>2.1.4</t>
        </is>
      </c>
      <c r="F77" s="10" t="inlineStr">
        <is>
          <t>Limpeza De Canaleta Em Corte E Aterro Com Seção Plena</t>
        </is>
      </c>
      <c r="G77" s="10" t="inlineStr">
        <is>
          <t>M</t>
        </is>
      </c>
      <c r="H77" s="13" t="n">
        <v>1352.8</v>
      </c>
      <c r="I77" s="13" t="n">
        <v>21.47301587301587</v>
      </c>
      <c r="J77" s="13">
        <f>IFERROR(VLOOKUP(E77,tbl_DimAtividade[#All],4,FALSE),0)</f>
        <v/>
      </c>
      <c r="K77" s="13">
        <f>IF(I77=0,0,H77/I77)</f>
        <v/>
      </c>
      <c r="L77" s="14">
        <f>IF(M77=0,0,I77/J77)</f>
        <v/>
      </c>
      <c r="M77" s="15">
        <f>IF(ISERROR(VLOOKUP(E77,tbl_DimAtividade[#All],4,FALSE)),0,IF(VLOOKUP(E77,tbl_DimAtividade[#All],4,FALSE)=0,0,1))</f>
        <v/>
      </c>
    </row>
    <row r="78">
      <c r="A78" s="10" t="n">
        <v>2026</v>
      </c>
      <c r="B78" s="10" t="n">
        <v>5</v>
      </c>
      <c r="C78" s="10" t="inlineStr">
        <is>
          <t>Maio</t>
        </is>
      </c>
      <c r="D78" s="10" t="inlineStr">
        <is>
          <t>Parauapebas</t>
        </is>
      </c>
      <c r="E78" s="10" t="inlineStr">
        <is>
          <t>2.1.4</t>
        </is>
      </c>
      <c r="F78" s="10" t="inlineStr">
        <is>
          <t>Limpeza De Canaleta Em Corte E Aterro Com Seção Plena</t>
        </is>
      </c>
      <c r="G78" s="10" t="inlineStr">
        <is>
          <t>M</t>
        </is>
      </c>
      <c r="H78" s="13" t="n">
        <v>422.6</v>
      </c>
      <c r="I78" s="13" t="n">
        <v>6.037142857142857</v>
      </c>
      <c r="J78" s="13">
        <f>IFERROR(VLOOKUP(E78,tbl_DimAtividade[#All],4,FALSE),0)</f>
        <v/>
      </c>
      <c r="K78" s="13">
        <f>IF(I78=0,0,H78/I78)</f>
        <v/>
      </c>
      <c r="L78" s="14">
        <f>IF(M78=0,0,I78/J78)</f>
        <v/>
      </c>
      <c r="M78" s="15">
        <f>IF(ISERROR(VLOOKUP(E78,tbl_DimAtividade[#All],4,FALSE)),0,IF(VLOOKUP(E78,tbl_DimAtividade[#All],4,FALSE)=0,0,1))</f>
        <v/>
      </c>
    </row>
    <row r="79">
      <c r="A79" s="10" t="n">
        <v>2026</v>
      </c>
      <c r="B79" s="10" t="n">
        <v>5</v>
      </c>
      <c r="C79" s="10" t="inlineStr">
        <is>
          <t>Maio</t>
        </is>
      </c>
      <c r="D79" s="10" t="inlineStr">
        <is>
          <t>Canaã</t>
        </is>
      </c>
      <c r="E79" s="10" t="inlineStr">
        <is>
          <t>2.1.4</t>
        </is>
      </c>
      <c r="F79" s="10" t="inlineStr">
        <is>
          <t>Limpeza De Canaleta Em Corte E Aterro Com Seção Plena</t>
        </is>
      </c>
      <c r="G79" s="10" t="inlineStr">
        <is>
          <t>M</t>
        </is>
      </c>
      <c r="H79" s="13" t="n">
        <v>0</v>
      </c>
      <c r="I79" s="13" t="n">
        <v>0</v>
      </c>
      <c r="J79" s="13">
        <f>IFERROR(VLOOKUP(E79,tbl_DimAtividade[#All],4,FALSE),0)</f>
        <v/>
      </c>
      <c r="K79" s="13">
        <f>IF(I79=0,0,H79/I79)</f>
        <v/>
      </c>
      <c r="L79" s="14">
        <f>IF(M79=0,0,I79/J79)</f>
        <v/>
      </c>
      <c r="M79" s="15">
        <f>IF(ISERROR(VLOOKUP(E79,tbl_DimAtividade[#All],4,FALSE)),0,IF(VLOOKUP(E79,tbl_DimAtividade[#All],4,FALSE)=0,0,1))</f>
        <v/>
      </c>
    </row>
    <row r="80">
      <c r="A80" s="10" t="n">
        <v>2026</v>
      </c>
      <c r="B80" s="10" t="n">
        <v>5</v>
      </c>
      <c r="C80" s="10" t="inlineStr">
        <is>
          <t>Maio</t>
        </is>
      </c>
      <c r="D80" s="10" t="inlineStr">
        <is>
          <t>Marabá</t>
        </is>
      </c>
      <c r="E80" s="10" t="inlineStr">
        <is>
          <t>2.1.5</t>
        </is>
      </c>
      <c r="F80" s="10" t="inlineStr">
        <is>
          <t>Limpeza De Valeta, Sarjetas E Meio Fios</t>
        </is>
      </c>
      <c r="G80" s="10" t="inlineStr">
        <is>
          <t>M</t>
        </is>
      </c>
      <c r="H80" s="13" t="n">
        <v>1489.5</v>
      </c>
      <c r="I80" s="13" t="n">
        <v>23.64285714285714</v>
      </c>
      <c r="J80" s="13">
        <f>IFERROR(VLOOKUP(E80,tbl_DimAtividade[#All],4,FALSE),0)</f>
        <v/>
      </c>
      <c r="K80" s="13">
        <f>IF(I80=0,0,H80/I80)</f>
        <v/>
      </c>
      <c r="L80" s="14">
        <f>IF(M80=0,0,I80/J80)</f>
        <v/>
      </c>
      <c r="M80" s="15">
        <f>IF(ISERROR(VLOOKUP(E80,tbl_DimAtividade[#All],4,FALSE)),0,IF(VLOOKUP(E80,tbl_DimAtividade[#All],4,FALSE)=0,0,1))</f>
        <v/>
      </c>
    </row>
    <row r="81">
      <c r="A81" s="10" t="n">
        <v>2026</v>
      </c>
      <c r="B81" s="10" t="n">
        <v>5</v>
      </c>
      <c r="C81" s="10" t="inlineStr">
        <is>
          <t>Maio</t>
        </is>
      </c>
      <c r="D81" s="10" t="inlineStr">
        <is>
          <t>Parauapebas</t>
        </is>
      </c>
      <c r="E81" s="10" t="inlineStr">
        <is>
          <t>2.1.5</t>
        </is>
      </c>
      <c r="F81" s="10" t="inlineStr">
        <is>
          <t>Limpeza De Valeta, Sarjetas E Meio Fios</t>
        </is>
      </c>
      <c r="G81" s="10" t="inlineStr">
        <is>
          <t>M</t>
        </is>
      </c>
      <c r="H81" s="13" t="n">
        <v>2453.8</v>
      </c>
      <c r="I81" s="13" t="n">
        <v>35.05428571428572</v>
      </c>
      <c r="J81" s="13">
        <f>IFERROR(VLOOKUP(E81,tbl_DimAtividade[#All],4,FALSE),0)</f>
        <v/>
      </c>
      <c r="K81" s="13">
        <f>IF(I81=0,0,H81/I81)</f>
        <v/>
      </c>
      <c r="L81" s="14">
        <f>IF(M81=0,0,I81/J81)</f>
        <v/>
      </c>
      <c r="M81" s="15">
        <f>IF(ISERROR(VLOOKUP(E81,tbl_DimAtividade[#All],4,FALSE)),0,IF(VLOOKUP(E81,tbl_DimAtividade[#All],4,FALSE)=0,0,1))</f>
        <v/>
      </c>
    </row>
    <row r="82">
      <c r="A82" s="10" t="n">
        <v>2026</v>
      </c>
      <c r="B82" s="10" t="n">
        <v>5</v>
      </c>
      <c r="C82" s="10" t="inlineStr">
        <is>
          <t>Maio</t>
        </is>
      </c>
      <c r="D82" s="10" t="inlineStr">
        <is>
          <t>Canaã</t>
        </is>
      </c>
      <c r="E82" s="10" t="inlineStr">
        <is>
          <t>2.1.5</t>
        </is>
      </c>
      <c r="F82" s="10" t="inlineStr">
        <is>
          <t>Limpeza De Valeta, Sarjetas E Meio Fios</t>
        </is>
      </c>
      <c r="G82" s="10" t="inlineStr">
        <is>
          <t>M</t>
        </is>
      </c>
      <c r="H82" s="13" t="n">
        <v>0</v>
      </c>
      <c r="I82" s="13" t="n">
        <v>0</v>
      </c>
      <c r="J82" s="13">
        <f>IFERROR(VLOOKUP(E82,tbl_DimAtividade[#All],4,FALSE),0)</f>
        <v/>
      </c>
      <c r="K82" s="13">
        <f>IF(I82=0,0,H82/I82)</f>
        <v/>
      </c>
      <c r="L82" s="14">
        <f>IF(M82=0,0,I82/J82)</f>
        <v/>
      </c>
      <c r="M82" s="15">
        <f>IF(ISERROR(VLOOKUP(E82,tbl_DimAtividade[#All],4,FALSE)),0,IF(VLOOKUP(E82,tbl_DimAtividade[#All],4,FALSE)=0,0,1))</f>
        <v/>
      </c>
    </row>
    <row r="83">
      <c r="A83" s="10" t="n">
        <v>2026</v>
      </c>
      <c r="B83" s="10" t="n">
        <v>5</v>
      </c>
      <c r="C83" s="10" t="inlineStr">
        <is>
          <t>Maio</t>
        </is>
      </c>
      <c r="D83" s="10" t="inlineStr">
        <is>
          <t>Marabá</t>
        </is>
      </c>
      <c r="E83" s="10" t="inlineStr">
        <is>
          <t>2.1.6</t>
        </is>
      </c>
      <c r="F83" s="10" t="inlineStr">
        <is>
          <t>Rejuntamento De Bueiro - Estimar 20% Da Quantidade De Bueiros</t>
        </is>
      </c>
      <c r="G83" s="10" t="inlineStr">
        <is>
          <t>M³</t>
        </is>
      </c>
      <c r="H83" s="13" t="n">
        <v>0</v>
      </c>
      <c r="I83" s="13" t="n">
        <v>0</v>
      </c>
      <c r="J83" s="13">
        <f>IFERROR(VLOOKUP(E83,tbl_DimAtividade[#All],4,FALSE),0)</f>
        <v/>
      </c>
      <c r="K83" s="13">
        <f>IF(I83=0,0,H83/I83)</f>
        <v/>
      </c>
      <c r="L83" s="14">
        <f>IF(M83=0,0,I83/J83)</f>
        <v/>
      </c>
      <c r="M83" s="15">
        <f>IF(ISERROR(VLOOKUP(E83,tbl_DimAtividade[#All],4,FALSE)),0,IF(VLOOKUP(E83,tbl_DimAtividade[#All],4,FALSE)=0,0,1))</f>
        <v/>
      </c>
    </row>
    <row r="84">
      <c r="A84" s="10" t="n">
        <v>2026</v>
      </c>
      <c r="B84" s="10" t="n">
        <v>5</v>
      </c>
      <c r="C84" s="10" t="inlineStr">
        <is>
          <t>Maio</t>
        </is>
      </c>
      <c r="D84" s="10" t="inlineStr">
        <is>
          <t>Parauapebas</t>
        </is>
      </c>
      <c r="E84" s="10" t="inlineStr">
        <is>
          <t>2.1.6</t>
        </is>
      </c>
      <c r="F84" s="10" t="inlineStr">
        <is>
          <t>Rejuntamento De Bueiro - Estimar 20% Da Quantidade De Bueiros</t>
        </is>
      </c>
      <c r="G84" s="10" t="inlineStr">
        <is>
          <t>M³</t>
        </is>
      </c>
      <c r="H84" s="13" t="n">
        <v>0</v>
      </c>
      <c r="I84" s="13" t="n">
        <v>0</v>
      </c>
      <c r="J84" s="13">
        <f>IFERROR(VLOOKUP(E84,tbl_DimAtividade[#All],4,FALSE),0)</f>
        <v/>
      </c>
      <c r="K84" s="13">
        <f>IF(I84=0,0,H84/I84)</f>
        <v/>
      </c>
      <c r="L84" s="14">
        <f>IF(M84=0,0,I84/J84)</f>
        <v/>
      </c>
      <c r="M84" s="15">
        <f>IF(ISERROR(VLOOKUP(E84,tbl_DimAtividade[#All],4,FALSE)),0,IF(VLOOKUP(E84,tbl_DimAtividade[#All],4,FALSE)=0,0,1))</f>
        <v/>
      </c>
    </row>
    <row r="85">
      <c r="A85" s="10" t="n">
        <v>2026</v>
      </c>
      <c r="B85" s="10" t="n">
        <v>5</v>
      </c>
      <c r="C85" s="10" t="inlineStr">
        <is>
          <t>Maio</t>
        </is>
      </c>
      <c r="D85" s="10" t="inlineStr">
        <is>
          <t>Canaã</t>
        </is>
      </c>
      <c r="E85" s="10" t="inlineStr">
        <is>
          <t>2.1.6</t>
        </is>
      </c>
      <c r="F85" s="10" t="inlineStr">
        <is>
          <t>Rejuntamento De Bueiro - Estimar 20% Da Quantidade De Bueiros</t>
        </is>
      </c>
      <c r="G85" s="10" t="inlineStr">
        <is>
          <t>M³</t>
        </is>
      </c>
      <c r="H85" s="13" t="n">
        <v>0</v>
      </c>
      <c r="I85" s="13" t="n">
        <v>0</v>
      </c>
      <c r="J85" s="13">
        <f>IFERROR(VLOOKUP(E85,tbl_DimAtividade[#All],4,FALSE),0)</f>
        <v/>
      </c>
      <c r="K85" s="13">
        <f>IF(I85=0,0,H85/I85)</f>
        <v/>
      </c>
      <c r="L85" s="14">
        <f>IF(M85=0,0,I85/J85)</f>
        <v/>
      </c>
      <c r="M85" s="15">
        <f>IF(ISERROR(VLOOKUP(E85,tbl_DimAtividade[#All],4,FALSE)),0,IF(VLOOKUP(E85,tbl_DimAtividade[#All],4,FALSE)=0,0,1))</f>
        <v/>
      </c>
    </row>
    <row r="86">
      <c r="A86" s="10" t="n">
        <v>2026</v>
      </c>
      <c r="B86" s="10" t="n">
        <v>5</v>
      </c>
      <c r="C86" s="10" t="inlineStr">
        <is>
          <t>Maio</t>
        </is>
      </c>
      <c r="D86" s="10" t="inlineStr">
        <is>
          <t>Marabá</t>
        </is>
      </c>
      <c r="E86" s="10" t="inlineStr">
        <is>
          <t>2.1.7</t>
        </is>
      </c>
      <c r="F86" s="10" t="inlineStr">
        <is>
          <t>Recuperação De Drenagem Tipo Canaleta/Valeta Em Taludes, Limitando-Se A 100M De Extensão(M)</t>
        </is>
      </c>
      <c r="G86" s="10" t="inlineStr">
        <is>
          <t>M</t>
        </is>
      </c>
      <c r="H86" s="13" t="n">
        <v>243.06</v>
      </c>
      <c r="I86" s="13" t="n">
        <v>3.858095238095238</v>
      </c>
      <c r="J86" s="13">
        <f>IFERROR(VLOOKUP(E86,tbl_DimAtividade[#All],4,FALSE),0)</f>
        <v/>
      </c>
      <c r="K86" s="13">
        <f>IF(I86=0,0,H86/I86)</f>
        <v/>
      </c>
      <c r="L86" s="14">
        <f>IF(M86=0,0,I86/J86)</f>
        <v/>
      </c>
      <c r="M86" s="15">
        <f>IF(ISERROR(VLOOKUP(E86,tbl_DimAtividade[#All],4,FALSE)),0,IF(VLOOKUP(E86,tbl_DimAtividade[#All],4,FALSE)=0,0,1))</f>
        <v/>
      </c>
    </row>
    <row r="87">
      <c r="A87" s="10" t="n">
        <v>2026</v>
      </c>
      <c r="B87" s="10" t="n">
        <v>5</v>
      </c>
      <c r="C87" s="10" t="inlineStr">
        <is>
          <t>Maio</t>
        </is>
      </c>
      <c r="D87" s="10" t="inlineStr">
        <is>
          <t>Parauapebas</t>
        </is>
      </c>
      <c r="E87" s="10" t="inlineStr">
        <is>
          <t>2.1.7</t>
        </is>
      </c>
      <c r="F87" s="10" t="inlineStr">
        <is>
          <t>Recuperação De Drenagem Tipo Canaleta/Valeta Em Taludes, Limitando-Se A 100M De Extensão(M)</t>
        </is>
      </c>
      <c r="G87" s="10" t="inlineStr">
        <is>
          <t>M</t>
        </is>
      </c>
      <c r="H87" s="13" t="n">
        <v>0</v>
      </c>
      <c r="I87" s="13" t="n">
        <v>0</v>
      </c>
      <c r="J87" s="13">
        <f>IFERROR(VLOOKUP(E87,tbl_DimAtividade[#All],4,FALSE),0)</f>
        <v/>
      </c>
      <c r="K87" s="13">
        <f>IF(I87=0,0,H87/I87)</f>
        <v/>
      </c>
      <c r="L87" s="14">
        <f>IF(M87=0,0,I87/J87)</f>
        <v/>
      </c>
      <c r="M87" s="15">
        <f>IF(ISERROR(VLOOKUP(E87,tbl_DimAtividade[#All],4,FALSE)),0,IF(VLOOKUP(E87,tbl_DimAtividade[#All],4,FALSE)=0,0,1))</f>
        <v/>
      </c>
    </row>
    <row r="88">
      <c r="A88" s="10" t="n">
        <v>2026</v>
      </c>
      <c r="B88" s="10" t="n">
        <v>5</v>
      </c>
      <c r="C88" s="10" t="inlineStr">
        <is>
          <t>Maio</t>
        </is>
      </c>
      <c r="D88" s="10" t="inlineStr">
        <is>
          <t>Canaã</t>
        </is>
      </c>
      <c r="E88" s="10" t="inlineStr">
        <is>
          <t>2.1.7</t>
        </is>
      </c>
      <c r="F88" s="10" t="inlineStr">
        <is>
          <t>Recuperação De Drenagem Tipo Canaleta/Valeta Em Taludes, Limitando-Se A 100M De Extensão(M)</t>
        </is>
      </c>
      <c r="G88" s="10" t="inlineStr">
        <is>
          <t>M</t>
        </is>
      </c>
      <c r="H88" s="13" t="n">
        <v>3</v>
      </c>
      <c r="I88" s="13" t="n">
        <v>0.03896103896103896</v>
      </c>
      <c r="J88" s="13">
        <f>IFERROR(VLOOKUP(E88,tbl_DimAtividade[#All],4,FALSE),0)</f>
        <v/>
      </c>
      <c r="K88" s="13">
        <f>IF(I88=0,0,H88/I88)</f>
        <v/>
      </c>
      <c r="L88" s="14">
        <f>IF(M88=0,0,I88/J88)</f>
        <v/>
      </c>
      <c r="M88" s="15">
        <f>IF(ISERROR(VLOOKUP(E88,tbl_DimAtividade[#All],4,FALSE)),0,IF(VLOOKUP(E88,tbl_DimAtividade[#All],4,FALSE)=0,0,1))</f>
        <v/>
      </c>
    </row>
    <row r="89">
      <c r="A89" s="10" t="n">
        <v>2026</v>
      </c>
      <c r="B89" s="10" t="n">
        <v>5</v>
      </c>
      <c r="C89" s="10" t="inlineStr">
        <is>
          <t>Maio</t>
        </is>
      </c>
      <c r="D89" s="10" t="inlineStr">
        <is>
          <t>Marabá</t>
        </is>
      </c>
      <c r="E89" s="10" t="inlineStr">
        <is>
          <t>2.1.8</t>
        </is>
      </c>
      <c r="F89" s="10" t="inlineStr">
        <is>
          <t>Recuperação De Drenagem Tipo Sarjeta/Meio-Fio Em Plataforma, Limitando- Se A 100M De Extensão</t>
        </is>
      </c>
      <c r="G89" s="10" t="inlineStr">
        <is>
          <t>M</t>
        </is>
      </c>
      <c r="H89" s="13" t="n">
        <v>0</v>
      </c>
      <c r="I89" s="13" t="n">
        <v>0</v>
      </c>
      <c r="J89" s="13">
        <f>IFERROR(VLOOKUP(E89,tbl_DimAtividade[#All],4,FALSE),0)</f>
        <v/>
      </c>
      <c r="K89" s="13">
        <f>IF(I89=0,0,H89/I89)</f>
        <v/>
      </c>
      <c r="L89" s="14">
        <f>IF(M89=0,0,I89/J89)</f>
        <v/>
      </c>
      <c r="M89" s="15">
        <f>IF(ISERROR(VLOOKUP(E89,tbl_DimAtividade[#All],4,FALSE)),0,IF(VLOOKUP(E89,tbl_DimAtividade[#All],4,FALSE)=0,0,1))</f>
        <v/>
      </c>
    </row>
    <row r="90">
      <c r="A90" s="10" t="n">
        <v>2026</v>
      </c>
      <c r="B90" s="10" t="n">
        <v>5</v>
      </c>
      <c r="C90" s="10" t="inlineStr">
        <is>
          <t>Maio</t>
        </is>
      </c>
      <c r="D90" s="10" t="inlineStr">
        <is>
          <t>Parauapebas</t>
        </is>
      </c>
      <c r="E90" s="10" t="inlineStr">
        <is>
          <t>2.1.8</t>
        </is>
      </c>
      <c r="F90" s="10" t="inlineStr">
        <is>
          <t>Recuperação De Drenagem Tipo Sarjeta/Meio-Fio Em Plataforma, Limitando- Se A 100M De Extensão</t>
        </is>
      </c>
      <c r="G90" s="10" t="inlineStr">
        <is>
          <t>M</t>
        </is>
      </c>
      <c r="H90" s="13" t="n">
        <v>33.55</v>
      </c>
      <c r="I90" s="13" t="n">
        <v>0.4792857142857143</v>
      </c>
      <c r="J90" s="13">
        <f>IFERROR(VLOOKUP(E90,tbl_DimAtividade[#All],4,FALSE),0)</f>
        <v/>
      </c>
      <c r="K90" s="13">
        <f>IF(I90=0,0,H90/I90)</f>
        <v/>
      </c>
      <c r="L90" s="14">
        <f>IF(M90=0,0,I90/J90)</f>
        <v/>
      </c>
      <c r="M90" s="15">
        <f>IF(ISERROR(VLOOKUP(E90,tbl_DimAtividade[#All],4,FALSE)),0,IF(VLOOKUP(E90,tbl_DimAtividade[#All],4,FALSE)=0,0,1))</f>
        <v/>
      </c>
    </row>
    <row r="91">
      <c r="A91" s="10" t="n">
        <v>2026</v>
      </c>
      <c r="B91" s="10" t="n">
        <v>5</v>
      </c>
      <c r="C91" s="10" t="inlineStr">
        <is>
          <t>Maio</t>
        </is>
      </c>
      <c r="D91" s="10" t="inlineStr">
        <is>
          <t>Canaã</t>
        </is>
      </c>
      <c r="E91" s="10" t="inlineStr">
        <is>
          <t>2.1.8</t>
        </is>
      </c>
      <c r="F91" s="10" t="inlineStr">
        <is>
          <t>Recuperação De Drenagem Tipo Sarjeta/Meio-Fio Em Plataforma, Limitando- Se A 100M De Extensão</t>
        </is>
      </c>
      <c r="G91" s="10" t="inlineStr">
        <is>
          <t>M</t>
        </is>
      </c>
      <c r="H91" s="13" t="n">
        <v>4</v>
      </c>
      <c r="I91" s="13" t="n">
        <v>0.05194805194805195</v>
      </c>
      <c r="J91" s="13">
        <f>IFERROR(VLOOKUP(E91,tbl_DimAtividade[#All],4,FALSE),0)</f>
        <v/>
      </c>
      <c r="K91" s="13">
        <f>IF(I91=0,0,H91/I91)</f>
        <v/>
      </c>
      <c r="L91" s="14">
        <f>IF(M91=0,0,I91/J91)</f>
        <v/>
      </c>
      <c r="M91" s="15">
        <f>IF(ISERROR(VLOOKUP(E91,tbl_DimAtividade[#All],4,FALSE)),0,IF(VLOOKUP(E91,tbl_DimAtividade[#All],4,FALSE)=0,0,1))</f>
        <v/>
      </c>
    </row>
    <row r="92">
      <c r="A92" s="10" t="n">
        <v>2026</v>
      </c>
      <c r="B92" s="10" t="n">
        <v>5</v>
      </c>
      <c r="C92" s="10" t="inlineStr">
        <is>
          <t>Maio</t>
        </is>
      </c>
      <c r="D92" s="10" t="inlineStr">
        <is>
          <t>Marabá</t>
        </is>
      </c>
      <c r="E92" s="10" t="inlineStr">
        <is>
          <t>2.2.1</t>
        </is>
      </c>
      <c r="F92" s="10" t="inlineStr">
        <is>
          <t>Roçada  (M²)</t>
        </is>
      </c>
      <c r="G92" s="10" t="inlineStr">
        <is>
          <t>M²</t>
        </is>
      </c>
      <c r="H92" s="13" t="n">
        <v>37487.13</v>
      </c>
      <c r="I92" s="13" t="n">
        <v>595.0338095238095</v>
      </c>
      <c r="J92" s="13">
        <f>IFERROR(VLOOKUP(E92,tbl_DimAtividade[#All],4,FALSE),0)</f>
        <v/>
      </c>
      <c r="K92" s="13">
        <f>IF(I92=0,0,H92/I92)</f>
        <v/>
      </c>
      <c r="L92" s="14">
        <f>IF(M92=0,0,I92/J92)</f>
        <v/>
      </c>
      <c r="M92" s="15">
        <f>IF(ISERROR(VLOOKUP(E92,tbl_DimAtividade[#All],4,FALSE)),0,IF(VLOOKUP(E92,tbl_DimAtividade[#All],4,FALSE)=0,0,1))</f>
        <v/>
      </c>
    </row>
    <row r="93">
      <c r="A93" s="10" t="n">
        <v>2026</v>
      </c>
      <c r="B93" s="10" t="n">
        <v>5</v>
      </c>
      <c r="C93" s="10" t="inlineStr">
        <is>
          <t>Maio</t>
        </is>
      </c>
      <c r="D93" s="10" t="inlineStr">
        <is>
          <t>Parauapebas</t>
        </is>
      </c>
      <c r="E93" s="10" t="inlineStr">
        <is>
          <t>2.2.1</t>
        </is>
      </c>
      <c r="F93" s="10" t="inlineStr">
        <is>
          <t>Roçada  (M²)</t>
        </is>
      </c>
      <c r="G93" s="10" t="inlineStr">
        <is>
          <t>M²</t>
        </is>
      </c>
      <c r="H93" s="13" t="n">
        <v>64828.46999999999</v>
      </c>
      <c r="I93" s="13" t="n">
        <v>926.1209999999999</v>
      </c>
      <c r="J93" s="13">
        <f>IFERROR(VLOOKUP(E93,tbl_DimAtividade[#All],4,FALSE),0)</f>
        <v/>
      </c>
      <c r="K93" s="13">
        <f>IF(I93=0,0,H93/I93)</f>
        <v/>
      </c>
      <c r="L93" s="14">
        <f>IF(M93=0,0,I93/J93)</f>
        <v/>
      </c>
      <c r="M93" s="15">
        <f>IF(ISERROR(VLOOKUP(E93,tbl_DimAtividade[#All],4,FALSE)),0,IF(VLOOKUP(E93,tbl_DimAtividade[#All],4,FALSE)=0,0,1))</f>
        <v/>
      </c>
    </row>
    <row r="94">
      <c r="A94" s="10" t="n">
        <v>2026</v>
      </c>
      <c r="B94" s="10" t="n">
        <v>5</v>
      </c>
      <c r="C94" s="10" t="inlineStr">
        <is>
          <t>Maio</t>
        </is>
      </c>
      <c r="D94" s="10" t="inlineStr">
        <is>
          <t>Canaã</t>
        </is>
      </c>
      <c r="E94" s="10" t="inlineStr">
        <is>
          <t>2.2.1</t>
        </is>
      </c>
      <c r="F94" s="10" t="inlineStr">
        <is>
          <t>Roçada  (M²)</t>
        </is>
      </c>
      <c r="G94" s="10" t="inlineStr">
        <is>
          <t>M²</t>
        </is>
      </c>
      <c r="H94" s="13" t="n">
        <v>47100</v>
      </c>
      <c r="I94" s="13" t="n">
        <v>611.6883116883117</v>
      </c>
      <c r="J94" s="13">
        <f>IFERROR(VLOOKUP(E94,tbl_DimAtividade[#All],4,FALSE),0)</f>
        <v/>
      </c>
      <c r="K94" s="13">
        <f>IF(I94=0,0,H94/I94)</f>
        <v/>
      </c>
      <c r="L94" s="14">
        <f>IF(M94=0,0,I94/J94)</f>
        <v/>
      </c>
      <c r="M94" s="15">
        <f>IF(ISERROR(VLOOKUP(E94,tbl_DimAtividade[#All],4,FALSE)),0,IF(VLOOKUP(E94,tbl_DimAtividade[#All],4,FALSE)=0,0,1))</f>
        <v/>
      </c>
    </row>
    <row r="95">
      <c r="A95" s="10" t="n">
        <v>2026</v>
      </c>
      <c r="B95" s="10" t="n">
        <v>5</v>
      </c>
      <c r="C95" s="10" t="inlineStr">
        <is>
          <t>Maio</t>
        </is>
      </c>
      <c r="D95" s="10" t="inlineStr">
        <is>
          <t>Marabá</t>
        </is>
      </c>
      <c r="E95" s="10" t="inlineStr">
        <is>
          <t>2.2.2</t>
        </is>
      </c>
      <c r="F95" s="10" t="inlineStr">
        <is>
          <t>Capina</t>
        </is>
      </c>
      <c r="G95" s="10" t="inlineStr">
        <is>
          <t>M²</t>
        </is>
      </c>
      <c r="H95" s="13" t="n">
        <v>2792.9</v>
      </c>
      <c r="I95" s="13" t="n">
        <v>44.33174603174604</v>
      </c>
      <c r="J95" s="13">
        <f>IFERROR(VLOOKUP(E95,tbl_DimAtividade[#All],4,FALSE),0)</f>
        <v/>
      </c>
      <c r="K95" s="13">
        <f>IF(I95=0,0,H95/I95)</f>
        <v/>
      </c>
      <c r="L95" s="14">
        <f>IF(M95=0,0,I95/J95)</f>
        <v/>
      </c>
      <c r="M95" s="15">
        <f>IF(ISERROR(VLOOKUP(E95,tbl_DimAtividade[#All],4,FALSE)),0,IF(VLOOKUP(E95,tbl_DimAtividade[#All],4,FALSE)=0,0,1))</f>
        <v/>
      </c>
    </row>
    <row r="96">
      <c r="A96" s="10" t="n">
        <v>2026</v>
      </c>
      <c r="B96" s="10" t="n">
        <v>5</v>
      </c>
      <c r="C96" s="10" t="inlineStr">
        <is>
          <t>Maio</t>
        </is>
      </c>
      <c r="D96" s="10" t="inlineStr">
        <is>
          <t>Parauapebas</t>
        </is>
      </c>
      <c r="E96" s="10" t="inlineStr">
        <is>
          <t>2.2.2</t>
        </is>
      </c>
      <c r="F96" s="10" t="inlineStr">
        <is>
          <t>Capina</t>
        </is>
      </c>
      <c r="G96" s="10" t="inlineStr">
        <is>
          <t>M²</t>
        </is>
      </c>
      <c r="H96" s="13" t="n">
        <v>44.97</v>
      </c>
      <c r="I96" s="13" t="n">
        <v>0.6424285714285715</v>
      </c>
      <c r="J96" s="13">
        <f>IFERROR(VLOOKUP(E96,tbl_DimAtividade[#All],4,FALSE),0)</f>
        <v/>
      </c>
      <c r="K96" s="13">
        <f>IF(I96=0,0,H96/I96)</f>
        <v/>
      </c>
      <c r="L96" s="14">
        <f>IF(M96=0,0,I96/J96)</f>
        <v/>
      </c>
      <c r="M96" s="15">
        <f>IF(ISERROR(VLOOKUP(E96,tbl_DimAtividade[#All],4,FALSE)),0,IF(VLOOKUP(E96,tbl_DimAtividade[#All],4,FALSE)=0,0,1))</f>
        <v/>
      </c>
    </row>
    <row r="97">
      <c r="A97" s="10" t="n">
        <v>2026</v>
      </c>
      <c r="B97" s="10" t="n">
        <v>5</v>
      </c>
      <c r="C97" s="10" t="inlineStr">
        <is>
          <t>Maio</t>
        </is>
      </c>
      <c r="D97" s="10" t="inlineStr">
        <is>
          <t>Canaã</t>
        </is>
      </c>
      <c r="E97" s="10" t="inlineStr">
        <is>
          <t>2.2.2</t>
        </is>
      </c>
      <c r="F97" s="10" t="inlineStr">
        <is>
          <t>Capina</t>
        </is>
      </c>
      <c r="G97" s="10" t="inlineStr">
        <is>
          <t>M²</t>
        </is>
      </c>
      <c r="H97" s="13" t="n">
        <v>2041</v>
      </c>
      <c r="I97" s="13" t="n">
        <v>26.50649350649351</v>
      </c>
      <c r="J97" s="13">
        <f>IFERROR(VLOOKUP(E97,tbl_DimAtividade[#All],4,FALSE),0)</f>
        <v/>
      </c>
      <c r="K97" s="13">
        <f>IF(I97=0,0,H97/I97)</f>
        <v/>
      </c>
      <c r="L97" s="14">
        <f>IF(M97=0,0,I97/J97)</f>
        <v/>
      </c>
      <c r="M97" s="15">
        <f>IF(ISERROR(VLOOKUP(E97,tbl_DimAtividade[#All],4,FALSE)),0,IF(VLOOKUP(E97,tbl_DimAtividade[#All],4,FALSE)=0,0,1))</f>
        <v/>
      </c>
    </row>
    <row r="98">
      <c r="A98" s="10" t="n">
        <v>2026</v>
      </c>
      <c r="B98" s="10" t="n">
        <v>5</v>
      </c>
      <c r="C98" s="10" t="inlineStr">
        <is>
          <t>Maio</t>
        </is>
      </c>
      <c r="D98" s="10" t="inlineStr">
        <is>
          <t>Marabá</t>
        </is>
      </c>
      <c r="E98" s="10" t="inlineStr">
        <is>
          <t>2.2.3</t>
        </is>
      </c>
      <c r="F98" s="10" t="inlineStr">
        <is>
          <t>Capina Química Com Equipamento Costal Ou Aplicação Similar</t>
        </is>
      </c>
      <c r="G98" s="10" t="inlineStr">
        <is>
          <t>M²</t>
        </is>
      </c>
      <c r="H98" s="13" t="n">
        <v>0</v>
      </c>
      <c r="I98" s="13" t="n">
        <v>0</v>
      </c>
      <c r="J98" s="13">
        <f>IFERROR(VLOOKUP(E98,tbl_DimAtividade[#All],4,FALSE),0)</f>
        <v/>
      </c>
      <c r="K98" s="13">
        <f>IF(I98=0,0,H98/I98)</f>
        <v/>
      </c>
      <c r="L98" s="14">
        <f>IF(M98=0,0,I98/J98)</f>
        <v/>
      </c>
      <c r="M98" s="15">
        <f>IF(ISERROR(VLOOKUP(E98,tbl_DimAtividade[#All],4,FALSE)),0,IF(VLOOKUP(E98,tbl_DimAtividade[#All],4,FALSE)=0,0,1))</f>
        <v/>
      </c>
    </row>
    <row r="99">
      <c r="A99" s="10" t="n">
        <v>2026</v>
      </c>
      <c r="B99" s="10" t="n">
        <v>5</v>
      </c>
      <c r="C99" s="10" t="inlineStr">
        <is>
          <t>Maio</t>
        </is>
      </c>
      <c r="D99" s="10" t="inlineStr">
        <is>
          <t>Parauapebas</t>
        </is>
      </c>
      <c r="E99" s="10" t="inlineStr">
        <is>
          <t>2.2.3</t>
        </is>
      </c>
      <c r="F99" s="10" t="inlineStr">
        <is>
          <t>Capina Química Com Equipamento Costal Ou Aplicação Similar</t>
        </is>
      </c>
      <c r="G99" s="10" t="inlineStr">
        <is>
          <t>M²</t>
        </is>
      </c>
      <c r="H99" s="13" t="n">
        <v>0</v>
      </c>
      <c r="I99" s="13" t="n">
        <v>0</v>
      </c>
      <c r="J99" s="13">
        <f>IFERROR(VLOOKUP(E99,tbl_DimAtividade[#All],4,FALSE),0)</f>
        <v/>
      </c>
      <c r="K99" s="13">
        <f>IF(I99=0,0,H99/I99)</f>
        <v/>
      </c>
      <c r="L99" s="14">
        <f>IF(M99=0,0,I99/J99)</f>
        <v/>
      </c>
      <c r="M99" s="15">
        <f>IF(ISERROR(VLOOKUP(E99,tbl_DimAtividade[#All],4,FALSE)),0,IF(VLOOKUP(E99,tbl_DimAtividade[#All],4,FALSE)=0,0,1))</f>
        <v/>
      </c>
    </row>
    <row r="100">
      <c r="A100" s="10" t="n">
        <v>2026</v>
      </c>
      <c r="B100" s="10" t="n">
        <v>5</v>
      </c>
      <c r="C100" s="10" t="inlineStr">
        <is>
          <t>Maio</t>
        </is>
      </c>
      <c r="D100" s="10" t="inlineStr">
        <is>
          <t>Canaã</t>
        </is>
      </c>
      <c r="E100" s="10" t="inlineStr">
        <is>
          <t>2.2.3</t>
        </is>
      </c>
      <c r="F100" s="10" t="inlineStr">
        <is>
          <t>Capina Química Com Equipamento Costal Ou Aplicação Similar</t>
        </is>
      </c>
      <c r="G100" s="10" t="inlineStr">
        <is>
          <t>M²</t>
        </is>
      </c>
      <c r="H100" s="13" t="n">
        <v>0</v>
      </c>
      <c r="I100" s="13" t="n">
        <v>0</v>
      </c>
      <c r="J100" s="13">
        <f>IFERROR(VLOOKUP(E100,tbl_DimAtividade[#All],4,FALSE),0)</f>
        <v/>
      </c>
      <c r="K100" s="13">
        <f>IF(I100=0,0,H100/I100)</f>
        <v/>
      </c>
      <c r="L100" s="14">
        <f>IF(M100=0,0,I100/J100)</f>
        <v/>
      </c>
      <c r="M100" s="15">
        <f>IF(ISERROR(VLOOKUP(E100,tbl_DimAtividade[#All],4,FALSE)),0,IF(VLOOKUP(E100,tbl_DimAtividade[#All],4,FALSE)=0,0,1))</f>
        <v/>
      </c>
    </row>
    <row r="101">
      <c r="A101" s="10" t="n">
        <v>2026</v>
      </c>
      <c r="B101" s="10" t="n">
        <v>5</v>
      </c>
      <c r="C101" s="10" t="inlineStr">
        <is>
          <t>Maio</t>
        </is>
      </c>
      <c r="D101" s="10" t="inlineStr">
        <is>
          <t>Marabá</t>
        </is>
      </c>
      <c r="E101" s="10" t="inlineStr">
        <is>
          <t>2.2.4</t>
        </is>
      </c>
      <c r="F101" s="10" t="inlineStr">
        <is>
          <t>Capina Química Com Uso De Drone</t>
        </is>
      </c>
      <c r="G101" s="10" t="inlineStr">
        <is>
          <t>M²</t>
        </is>
      </c>
      <c r="H101" s="13" t="n">
        <v>0</v>
      </c>
      <c r="I101" s="13" t="n">
        <v>0</v>
      </c>
      <c r="J101" s="13">
        <f>IFERROR(VLOOKUP(E101,tbl_DimAtividade[#All],4,FALSE),0)</f>
        <v/>
      </c>
      <c r="K101" s="13">
        <f>IF(I101=0,0,H101/I101)</f>
        <v/>
      </c>
      <c r="L101" s="14">
        <f>IF(M101=0,0,I101/J101)</f>
        <v/>
      </c>
      <c r="M101" s="15">
        <f>IF(ISERROR(VLOOKUP(E101,tbl_DimAtividade[#All],4,FALSE)),0,IF(VLOOKUP(E101,tbl_DimAtividade[#All],4,FALSE)=0,0,1))</f>
        <v/>
      </c>
    </row>
    <row r="102">
      <c r="A102" s="10" t="n">
        <v>2026</v>
      </c>
      <c r="B102" s="10" t="n">
        <v>5</v>
      </c>
      <c r="C102" s="10" t="inlineStr">
        <is>
          <t>Maio</t>
        </is>
      </c>
      <c r="D102" s="10" t="inlineStr">
        <is>
          <t>Parauapebas</t>
        </is>
      </c>
      <c r="E102" s="10" t="inlineStr">
        <is>
          <t>2.2.4</t>
        </is>
      </c>
      <c r="F102" s="10" t="inlineStr">
        <is>
          <t>Capina Química Com Uso De Drone</t>
        </is>
      </c>
      <c r="G102" s="10" t="inlineStr">
        <is>
          <t>M²</t>
        </is>
      </c>
      <c r="H102" s="13" t="n">
        <v>0</v>
      </c>
      <c r="I102" s="13" t="n">
        <v>0</v>
      </c>
      <c r="J102" s="13">
        <f>IFERROR(VLOOKUP(E102,tbl_DimAtividade[#All],4,FALSE),0)</f>
        <v/>
      </c>
      <c r="K102" s="13">
        <f>IF(I102=0,0,H102/I102)</f>
        <v/>
      </c>
      <c r="L102" s="14">
        <f>IF(M102=0,0,I102/J102)</f>
        <v/>
      </c>
      <c r="M102" s="15">
        <f>IF(ISERROR(VLOOKUP(E102,tbl_DimAtividade[#All],4,FALSE)),0,IF(VLOOKUP(E102,tbl_DimAtividade[#All],4,FALSE)=0,0,1))</f>
        <v/>
      </c>
    </row>
    <row r="103">
      <c r="A103" s="10" t="n">
        <v>2026</v>
      </c>
      <c r="B103" s="10" t="n">
        <v>5</v>
      </c>
      <c r="C103" s="10" t="inlineStr">
        <is>
          <t>Maio</t>
        </is>
      </c>
      <c r="D103" s="10" t="inlineStr">
        <is>
          <t>Canaã</t>
        </is>
      </c>
      <c r="E103" s="10" t="inlineStr">
        <is>
          <t>2.2.4</t>
        </is>
      </c>
      <c r="F103" s="10" t="inlineStr">
        <is>
          <t>Capina Química Com Uso De Drone</t>
        </is>
      </c>
      <c r="G103" s="10" t="inlineStr">
        <is>
          <t>M²</t>
        </is>
      </c>
      <c r="H103" s="13" t="n">
        <v>0</v>
      </c>
      <c r="I103" s="13" t="n">
        <v>0</v>
      </c>
      <c r="J103" s="13">
        <f>IFERROR(VLOOKUP(E103,tbl_DimAtividade[#All],4,FALSE),0)</f>
        <v/>
      </c>
      <c r="K103" s="13">
        <f>IF(I103=0,0,H103/I103)</f>
        <v/>
      </c>
      <c r="L103" s="14">
        <f>IF(M103=0,0,I103/J103)</f>
        <v/>
      </c>
      <c r="M103" s="15">
        <f>IF(ISERROR(VLOOKUP(E103,tbl_DimAtividade[#All],4,FALSE)),0,IF(VLOOKUP(E103,tbl_DimAtividade[#All],4,FALSE)=0,0,1))</f>
        <v/>
      </c>
    </row>
    <row r="104">
      <c r="A104" s="10" t="n">
        <v>2026</v>
      </c>
      <c r="B104" s="10" t="n">
        <v>5</v>
      </c>
      <c r="C104" s="10" t="inlineStr">
        <is>
          <t>Maio</t>
        </is>
      </c>
      <c r="D104" s="10" t="inlineStr">
        <is>
          <t>Marabá</t>
        </is>
      </c>
      <c r="E104" s="10" t="inlineStr">
        <is>
          <t>2.2.5</t>
        </is>
      </c>
      <c r="F104" s="10" t="inlineStr">
        <is>
          <t>Remoção De Solo</t>
        </is>
      </c>
      <c r="G104" s="10" t="inlineStr">
        <is>
          <t>M³</t>
        </is>
      </c>
      <c r="H104" s="13" t="n">
        <v>220.7</v>
      </c>
      <c r="I104" s="13" t="n">
        <v>3.503174603174603</v>
      </c>
      <c r="J104" s="13">
        <f>IFERROR(VLOOKUP(E104,tbl_DimAtividade[#All],4,FALSE),0)</f>
        <v/>
      </c>
      <c r="K104" s="13">
        <f>IF(I104=0,0,H104/I104)</f>
        <v/>
      </c>
      <c r="L104" s="14">
        <f>IF(M104=0,0,I104/J104)</f>
        <v/>
      </c>
      <c r="M104" s="15">
        <f>IF(ISERROR(VLOOKUP(E104,tbl_DimAtividade[#All],4,FALSE)),0,IF(VLOOKUP(E104,tbl_DimAtividade[#All],4,FALSE)=0,0,1))</f>
        <v/>
      </c>
    </row>
    <row r="105">
      <c r="A105" s="10" t="n">
        <v>2026</v>
      </c>
      <c r="B105" s="10" t="n">
        <v>5</v>
      </c>
      <c r="C105" s="10" t="inlineStr">
        <is>
          <t>Maio</t>
        </is>
      </c>
      <c r="D105" s="10" t="inlineStr">
        <is>
          <t>Parauapebas</t>
        </is>
      </c>
      <c r="E105" s="10" t="inlineStr">
        <is>
          <t>2.2.5</t>
        </is>
      </c>
      <c r="F105" s="10" t="inlineStr">
        <is>
          <t>Remoção De Solo</t>
        </is>
      </c>
      <c r="G105" s="10" t="inlineStr">
        <is>
          <t>M³</t>
        </is>
      </c>
      <c r="H105" s="13" t="n">
        <v>0</v>
      </c>
      <c r="I105" s="13" t="n">
        <v>0</v>
      </c>
      <c r="J105" s="13">
        <f>IFERROR(VLOOKUP(E105,tbl_DimAtividade[#All],4,FALSE),0)</f>
        <v/>
      </c>
      <c r="K105" s="13">
        <f>IF(I105=0,0,H105/I105)</f>
        <v/>
      </c>
      <c r="L105" s="14">
        <f>IF(M105=0,0,I105/J105)</f>
        <v/>
      </c>
      <c r="M105" s="15">
        <f>IF(ISERROR(VLOOKUP(E105,tbl_DimAtividade[#All],4,FALSE)),0,IF(VLOOKUP(E105,tbl_DimAtividade[#All],4,FALSE)=0,0,1))</f>
        <v/>
      </c>
    </row>
    <row r="106">
      <c r="A106" s="10" t="n">
        <v>2026</v>
      </c>
      <c r="B106" s="10" t="n">
        <v>5</v>
      </c>
      <c r="C106" s="10" t="inlineStr">
        <is>
          <t>Maio</t>
        </is>
      </c>
      <c r="D106" s="10" t="inlineStr">
        <is>
          <t>Canaã</t>
        </is>
      </c>
      <c r="E106" s="10" t="inlineStr">
        <is>
          <t>2.2.5</t>
        </is>
      </c>
      <c r="F106" s="10" t="inlineStr">
        <is>
          <t>Remoção De Solo</t>
        </is>
      </c>
      <c r="G106" s="10" t="inlineStr">
        <is>
          <t>M³</t>
        </is>
      </c>
      <c r="H106" s="13" t="n">
        <v>0</v>
      </c>
      <c r="I106" s="13" t="n">
        <v>0</v>
      </c>
      <c r="J106" s="13">
        <f>IFERROR(VLOOKUP(E106,tbl_DimAtividade[#All],4,FALSE),0)</f>
        <v/>
      </c>
      <c r="K106" s="13">
        <f>IF(I106=0,0,H106/I106)</f>
        <v/>
      </c>
      <c r="L106" s="14">
        <f>IF(M106=0,0,I106/J106)</f>
        <v/>
      </c>
      <c r="M106" s="15">
        <f>IF(ISERROR(VLOOKUP(E106,tbl_DimAtividade[#All],4,FALSE)),0,IF(VLOOKUP(E106,tbl_DimAtividade[#All],4,FALSE)=0,0,1))</f>
        <v/>
      </c>
    </row>
    <row r="107">
      <c r="A107" s="10" t="n">
        <v>2026</v>
      </c>
      <c r="B107" s="10" t="n">
        <v>5</v>
      </c>
      <c r="C107" s="10" t="inlineStr">
        <is>
          <t>Maio</t>
        </is>
      </c>
      <c r="D107" s="10" t="inlineStr">
        <is>
          <t>Marabá</t>
        </is>
      </c>
      <c r="E107" s="10" t="inlineStr">
        <is>
          <t>2.2.6</t>
        </is>
      </c>
      <c r="F107" s="10" t="inlineStr">
        <is>
          <t>Poda De Árvores Com Auxilio De Equipamentos De Grande Porte Fornecido Pela Vale, Quando Necessário (Plataformas Elevatórias, Caminhões Sky E Outros)</t>
        </is>
      </c>
      <c r="G107" s="10" t="inlineStr">
        <is>
          <t>M²</t>
        </is>
      </c>
      <c r="H107" s="13" t="n">
        <v>0</v>
      </c>
      <c r="I107" s="13" t="n">
        <v>0</v>
      </c>
      <c r="J107" s="13">
        <f>IFERROR(VLOOKUP(E107,tbl_DimAtividade[#All],4,FALSE),0)</f>
        <v/>
      </c>
      <c r="K107" s="13">
        <f>IF(I107=0,0,H107/I107)</f>
        <v/>
      </c>
      <c r="L107" s="14">
        <f>IF(M107=0,0,I107/J107)</f>
        <v/>
      </c>
      <c r="M107" s="15">
        <f>IF(ISERROR(VLOOKUP(E107,tbl_DimAtividade[#All],4,FALSE)),0,IF(VLOOKUP(E107,tbl_DimAtividade[#All],4,FALSE)=0,0,1))</f>
        <v/>
      </c>
    </row>
    <row r="108">
      <c r="A108" s="10" t="n">
        <v>2026</v>
      </c>
      <c r="B108" s="10" t="n">
        <v>5</v>
      </c>
      <c r="C108" s="10" t="inlineStr">
        <is>
          <t>Maio</t>
        </is>
      </c>
      <c r="D108" s="10" t="inlineStr">
        <is>
          <t>Parauapebas</t>
        </is>
      </c>
      <c r="E108" s="10" t="inlineStr">
        <is>
          <t>2.2.6</t>
        </is>
      </c>
      <c r="F108" s="10" t="inlineStr">
        <is>
          <t>Poda De Árvores Com Auxilio De Equipamentos De Grande Porte Fornecido Pela Vale, Quando Necessário (Plataformas Elevatórias, Caminhões Sky E Outros)</t>
        </is>
      </c>
      <c r="G108" s="10" t="inlineStr">
        <is>
          <t>M²</t>
        </is>
      </c>
      <c r="H108" s="13" t="n">
        <v>0</v>
      </c>
      <c r="I108" s="13" t="n">
        <v>0</v>
      </c>
      <c r="J108" s="13">
        <f>IFERROR(VLOOKUP(E108,tbl_DimAtividade[#All],4,FALSE),0)</f>
        <v/>
      </c>
      <c r="K108" s="13">
        <f>IF(I108=0,0,H108/I108)</f>
        <v/>
      </c>
      <c r="L108" s="14">
        <f>IF(M108=0,0,I108/J108)</f>
        <v/>
      </c>
      <c r="M108" s="15">
        <f>IF(ISERROR(VLOOKUP(E108,tbl_DimAtividade[#All],4,FALSE)),0,IF(VLOOKUP(E108,tbl_DimAtividade[#All],4,FALSE)=0,0,1))</f>
        <v/>
      </c>
    </row>
    <row r="109">
      <c r="A109" s="10" t="n">
        <v>2026</v>
      </c>
      <c r="B109" s="10" t="n">
        <v>5</v>
      </c>
      <c r="C109" s="10" t="inlineStr">
        <is>
          <t>Maio</t>
        </is>
      </c>
      <c r="D109" s="10" t="inlineStr">
        <is>
          <t>Canaã</t>
        </is>
      </c>
      <c r="E109" s="10" t="inlineStr">
        <is>
          <t>2.2.6</t>
        </is>
      </c>
      <c r="F109" s="10" t="inlineStr">
        <is>
          <t>Poda De Árvores Com Auxilio De Equipamentos De Grande Porte Fornecido Pela Vale, Quando Necessário (Plataformas Elevatórias, Caminhões Sky E Outros)</t>
        </is>
      </c>
      <c r="G109" s="10" t="inlineStr">
        <is>
          <t>M²</t>
        </is>
      </c>
      <c r="H109" s="13" t="n">
        <v>0</v>
      </c>
      <c r="I109" s="13" t="n">
        <v>0</v>
      </c>
      <c r="J109" s="13">
        <f>IFERROR(VLOOKUP(E109,tbl_DimAtividade[#All],4,FALSE),0)</f>
        <v/>
      </c>
      <c r="K109" s="13">
        <f>IF(I109=0,0,H109/I109)</f>
        <v/>
      </c>
      <c r="L109" s="14">
        <f>IF(M109=0,0,I109/J109)</f>
        <v/>
      </c>
      <c r="M109" s="15">
        <f>IF(ISERROR(VLOOKUP(E109,tbl_DimAtividade[#All],4,FALSE)),0,IF(VLOOKUP(E109,tbl_DimAtividade[#All],4,FALSE)=0,0,1))</f>
        <v/>
      </c>
    </row>
    <row r="110">
      <c r="A110" s="10" t="n">
        <v>2026</v>
      </c>
      <c r="B110" s="10" t="n">
        <v>5</v>
      </c>
      <c r="C110" s="10" t="inlineStr">
        <is>
          <t>Maio</t>
        </is>
      </c>
      <c r="D110" s="10" t="inlineStr">
        <is>
          <t>Marabá</t>
        </is>
      </c>
      <c r="E110" s="10" t="inlineStr">
        <is>
          <t>2.2.7</t>
        </is>
      </c>
      <c r="F110" s="10" t="inlineStr">
        <is>
          <t>Poda De Árvores Com Auxilio De Equipamentos De Grande Porte Fornecido Pela Contratada (M²)</t>
        </is>
      </c>
      <c r="G110" s="10" t="inlineStr">
        <is>
          <t>M²</t>
        </is>
      </c>
      <c r="H110" s="13" t="n">
        <v>0</v>
      </c>
      <c r="I110" s="13" t="n">
        <v>0</v>
      </c>
      <c r="J110" s="13">
        <f>IFERROR(VLOOKUP(E110,tbl_DimAtividade[#All],4,FALSE),0)</f>
        <v/>
      </c>
      <c r="K110" s="13">
        <f>IF(I110=0,0,H110/I110)</f>
        <v/>
      </c>
      <c r="L110" s="14">
        <f>IF(M110=0,0,I110/J110)</f>
        <v/>
      </c>
      <c r="M110" s="15">
        <f>IF(ISERROR(VLOOKUP(E110,tbl_DimAtividade[#All],4,FALSE)),0,IF(VLOOKUP(E110,tbl_DimAtividade[#All],4,FALSE)=0,0,1))</f>
        <v/>
      </c>
    </row>
    <row r="111">
      <c r="A111" s="10" t="n">
        <v>2026</v>
      </c>
      <c r="B111" s="10" t="n">
        <v>5</v>
      </c>
      <c r="C111" s="10" t="inlineStr">
        <is>
          <t>Maio</t>
        </is>
      </c>
      <c r="D111" s="10" t="inlineStr">
        <is>
          <t>Parauapebas</t>
        </is>
      </c>
      <c r="E111" s="10" t="inlineStr">
        <is>
          <t>2.2.7</t>
        </is>
      </c>
      <c r="F111" s="10" t="inlineStr">
        <is>
          <t>Poda De Árvores Com Auxilio De Equipamentos De Grande Porte Fornecido Pela Contratada (M²)</t>
        </is>
      </c>
      <c r="G111" s="10" t="inlineStr">
        <is>
          <t>M²</t>
        </is>
      </c>
      <c r="H111" s="13" t="n">
        <v>0</v>
      </c>
      <c r="I111" s="13" t="n">
        <v>0</v>
      </c>
      <c r="J111" s="13">
        <f>IFERROR(VLOOKUP(E111,tbl_DimAtividade[#All],4,FALSE),0)</f>
        <v/>
      </c>
      <c r="K111" s="13">
        <f>IF(I111=0,0,H111/I111)</f>
        <v/>
      </c>
      <c r="L111" s="14">
        <f>IF(M111=0,0,I111/J111)</f>
        <v/>
      </c>
      <c r="M111" s="15">
        <f>IF(ISERROR(VLOOKUP(E111,tbl_DimAtividade[#All],4,FALSE)),0,IF(VLOOKUP(E111,tbl_DimAtividade[#All],4,FALSE)=0,0,1))</f>
        <v/>
      </c>
    </row>
    <row r="112">
      <c r="A112" s="10" t="n">
        <v>2026</v>
      </c>
      <c r="B112" s="10" t="n">
        <v>5</v>
      </c>
      <c r="C112" s="10" t="inlineStr">
        <is>
          <t>Maio</t>
        </is>
      </c>
      <c r="D112" s="10" t="inlineStr">
        <is>
          <t>Canaã</t>
        </is>
      </c>
      <c r="E112" s="10" t="inlineStr">
        <is>
          <t>2.2.7</t>
        </is>
      </c>
      <c r="F112" s="10" t="inlineStr">
        <is>
          <t>Poda De Árvores Com Auxilio De Equipamentos De Grande Porte Fornecido Pela Contratada (M²)</t>
        </is>
      </c>
      <c r="G112" s="10" t="inlineStr">
        <is>
          <t>M²</t>
        </is>
      </c>
      <c r="H112" s="13" t="n">
        <v>0</v>
      </c>
      <c r="I112" s="13" t="n">
        <v>0</v>
      </c>
      <c r="J112" s="13">
        <f>IFERROR(VLOOKUP(E112,tbl_DimAtividade[#All],4,FALSE),0)</f>
        <v/>
      </c>
      <c r="K112" s="13">
        <f>IF(I112=0,0,H112/I112)</f>
        <v/>
      </c>
      <c r="L112" s="14">
        <f>IF(M112=0,0,I112/J112)</f>
        <v/>
      </c>
      <c r="M112" s="15">
        <f>IF(ISERROR(VLOOKUP(E112,tbl_DimAtividade[#All],4,FALSE)),0,IF(VLOOKUP(E112,tbl_DimAtividade[#All],4,FALSE)=0,0,1))</f>
        <v/>
      </c>
    </row>
    <row r="113">
      <c r="A113" s="10" t="n">
        <v>2026</v>
      </c>
      <c r="B113" s="10" t="n">
        <v>5</v>
      </c>
      <c r="C113" s="10" t="inlineStr">
        <is>
          <t>Maio</t>
        </is>
      </c>
      <c r="D113" s="10" t="inlineStr">
        <is>
          <t>Marabá</t>
        </is>
      </c>
      <c r="E113" s="10" t="inlineStr">
        <is>
          <t>2.2.8</t>
        </is>
      </c>
      <c r="F113" s="10" t="inlineStr">
        <is>
          <t>Corte De Árvores De Pequeno Porte Com Auxilio De Equipamentos De Grande Porte Fornecido Pela Vale, Quando Necessário (Plataformas Elevatórias, Caminhões Sky E Outros)</t>
        </is>
      </c>
      <c r="G113" s="10" t="inlineStr">
        <is>
          <t>UNID</t>
        </is>
      </c>
      <c r="H113" s="13" t="n">
        <v>0</v>
      </c>
      <c r="I113" s="13" t="n">
        <v>0</v>
      </c>
      <c r="J113" s="13">
        <f>IFERROR(VLOOKUP(E113,tbl_DimAtividade[#All],4,FALSE),0)</f>
        <v/>
      </c>
      <c r="K113" s="13">
        <f>IF(I113=0,0,H113/I113)</f>
        <v/>
      </c>
      <c r="L113" s="14">
        <f>IF(M113=0,0,I113/J113)</f>
        <v/>
      </c>
      <c r="M113" s="15">
        <f>IF(ISERROR(VLOOKUP(E113,tbl_DimAtividade[#All],4,FALSE)),0,IF(VLOOKUP(E113,tbl_DimAtividade[#All],4,FALSE)=0,0,1))</f>
        <v/>
      </c>
    </row>
    <row r="114">
      <c r="A114" s="10" t="n">
        <v>2026</v>
      </c>
      <c r="B114" s="10" t="n">
        <v>5</v>
      </c>
      <c r="C114" s="10" t="inlineStr">
        <is>
          <t>Maio</t>
        </is>
      </c>
      <c r="D114" s="10" t="inlineStr">
        <is>
          <t>Parauapebas</t>
        </is>
      </c>
      <c r="E114" s="10" t="inlineStr">
        <is>
          <t>2.2.8</t>
        </is>
      </c>
      <c r="F114" s="10" t="inlineStr">
        <is>
          <t>Corte De Árvores De Pequeno Porte Com Auxilio De Equipamentos De Grande Porte Fornecido Pela Vale, Quando Necessário (Plataformas Elevatórias, Caminhões Sky E Outros)</t>
        </is>
      </c>
      <c r="G114" s="10" t="inlineStr">
        <is>
          <t>UNID</t>
        </is>
      </c>
      <c r="H114" s="13" t="n">
        <v>0</v>
      </c>
      <c r="I114" s="13" t="n">
        <v>0</v>
      </c>
      <c r="J114" s="13">
        <f>IFERROR(VLOOKUP(E114,tbl_DimAtividade[#All],4,FALSE),0)</f>
        <v/>
      </c>
      <c r="K114" s="13">
        <f>IF(I114=0,0,H114/I114)</f>
        <v/>
      </c>
      <c r="L114" s="14">
        <f>IF(M114=0,0,I114/J114)</f>
        <v/>
      </c>
      <c r="M114" s="15">
        <f>IF(ISERROR(VLOOKUP(E114,tbl_DimAtividade[#All],4,FALSE)),0,IF(VLOOKUP(E114,tbl_DimAtividade[#All],4,FALSE)=0,0,1))</f>
        <v/>
      </c>
    </row>
    <row r="115">
      <c r="A115" s="10" t="n">
        <v>2026</v>
      </c>
      <c r="B115" s="10" t="n">
        <v>5</v>
      </c>
      <c r="C115" s="10" t="inlineStr">
        <is>
          <t>Maio</t>
        </is>
      </c>
      <c r="D115" s="10" t="inlineStr">
        <is>
          <t>Canaã</t>
        </is>
      </c>
      <c r="E115" s="10" t="inlineStr">
        <is>
          <t>2.2.8</t>
        </is>
      </c>
      <c r="F115" s="10" t="inlineStr">
        <is>
          <t>Corte De Árvores De Pequeno Porte Com Auxilio De Equipamentos De Grande Porte Fornecido Pela Vale, Quando Necessário (Plataformas Elevatórias, Caminhões Sky E Outros)</t>
        </is>
      </c>
      <c r="G115" s="10" t="inlineStr">
        <is>
          <t>UNID</t>
        </is>
      </c>
      <c r="H115" s="13" t="n">
        <v>0</v>
      </c>
      <c r="I115" s="13" t="n">
        <v>0</v>
      </c>
      <c r="J115" s="13">
        <f>IFERROR(VLOOKUP(E115,tbl_DimAtividade[#All],4,FALSE),0)</f>
        <v/>
      </c>
      <c r="K115" s="13">
        <f>IF(I115=0,0,H115/I115)</f>
        <v/>
      </c>
      <c r="L115" s="14">
        <f>IF(M115=0,0,I115/J115)</f>
        <v/>
      </c>
      <c r="M115" s="15">
        <f>IF(ISERROR(VLOOKUP(E115,tbl_DimAtividade[#All],4,FALSE)),0,IF(VLOOKUP(E115,tbl_DimAtividade[#All],4,FALSE)=0,0,1))</f>
        <v/>
      </c>
    </row>
    <row r="116">
      <c r="A116" s="10" t="n">
        <v>2026</v>
      </c>
      <c r="B116" s="10" t="n">
        <v>5</v>
      </c>
      <c r="C116" s="10" t="inlineStr">
        <is>
          <t>Maio</t>
        </is>
      </c>
      <c r="D116" s="10" t="inlineStr">
        <is>
          <t>Marabá</t>
        </is>
      </c>
      <c r="E116" s="10" t="inlineStr">
        <is>
          <t>2.2.9</t>
        </is>
      </c>
      <c r="F116" s="10" t="inlineStr">
        <is>
          <t>Corte De Árvores De Pequeno Porte Com Auxilio De Equipamentos De Grande Porte Fornecido Pela Contratada</t>
        </is>
      </c>
      <c r="G116" s="10" t="inlineStr">
        <is>
          <t>UNID</t>
        </is>
      </c>
      <c r="H116" s="13" t="n">
        <v>0</v>
      </c>
      <c r="I116" s="13" t="n">
        <v>0</v>
      </c>
      <c r="J116" s="13">
        <f>IFERROR(VLOOKUP(E116,tbl_DimAtividade[#All],4,FALSE),0)</f>
        <v/>
      </c>
      <c r="K116" s="13">
        <f>IF(I116=0,0,H116/I116)</f>
        <v/>
      </c>
      <c r="L116" s="14">
        <f>IF(M116=0,0,I116/J116)</f>
        <v/>
      </c>
      <c r="M116" s="15">
        <f>IF(ISERROR(VLOOKUP(E116,tbl_DimAtividade[#All],4,FALSE)),0,IF(VLOOKUP(E116,tbl_DimAtividade[#All],4,FALSE)=0,0,1))</f>
        <v/>
      </c>
    </row>
    <row r="117">
      <c r="A117" s="10" t="n">
        <v>2026</v>
      </c>
      <c r="B117" s="10" t="n">
        <v>5</v>
      </c>
      <c r="C117" s="10" t="inlineStr">
        <is>
          <t>Maio</t>
        </is>
      </c>
      <c r="D117" s="10" t="inlineStr">
        <is>
          <t>Parauapebas</t>
        </is>
      </c>
      <c r="E117" s="10" t="inlineStr">
        <is>
          <t>2.2.9</t>
        </is>
      </c>
      <c r="F117" s="10" t="inlineStr">
        <is>
          <t>Corte De Árvores De Pequeno Porte Com Auxilio De Equipamentos De Grande Porte Fornecido Pela Contratada</t>
        </is>
      </c>
      <c r="G117" s="10" t="inlineStr">
        <is>
          <t>UNID</t>
        </is>
      </c>
      <c r="H117" s="13" t="n">
        <v>0</v>
      </c>
      <c r="I117" s="13" t="n">
        <v>0</v>
      </c>
      <c r="J117" s="13">
        <f>IFERROR(VLOOKUP(E117,tbl_DimAtividade[#All],4,FALSE),0)</f>
        <v/>
      </c>
      <c r="K117" s="13">
        <f>IF(I117=0,0,H117/I117)</f>
        <v/>
      </c>
      <c r="L117" s="14">
        <f>IF(M117=0,0,I117/J117)</f>
        <v/>
      </c>
      <c r="M117" s="15">
        <f>IF(ISERROR(VLOOKUP(E117,tbl_DimAtividade[#All],4,FALSE)),0,IF(VLOOKUP(E117,tbl_DimAtividade[#All],4,FALSE)=0,0,1))</f>
        <v/>
      </c>
    </row>
    <row r="118">
      <c r="A118" s="10" t="n">
        <v>2026</v>
      </c>
      <c r="B118" s="10" t="n">
        <v>5</v>
      </c>
      <c r="C118" s="10" t="inlineStr">
        <is>
          <t>Maio</t>
        </is>
      </c>
      <c r="D118" s="10" t="inlineStr">
        <is>
          <t>Canaã</t>
        </is>
      </c>
      <c r="E118" s="10" t="inlineStr">
        <is>
          <t>2.2.9</t>
        </is>
      </c>
      <c r="F118" s="10" t="inlineStr">
        <is>
          <t>Corte De Árvores De Pequeno Porte Com Auxilio De Equipamentos De Grande Porte Fornecido Pela Contratada</t>
        </is>
      </c>
      <c r="G118" s="10" t="inlineStr">
        <is>
          <t>UNID</t>
        </is>
      </c>
      <c r="H118" s="13" t="n">
        <v>0</v>
      </c>
      <c r="I118" s="13" t="n">
        <v>0</v>
      </c>
      <c r="J118" s="13">
        <f>IFERROR(VLOOKUP(E118,tbl_DimAtividade[#All],4,FALSE),0)</f>
        <v/>
      </c>
      <c r="K118" s="13">
        <f>IF(I118=0,0,H118/I118)</f>
        <v/>
      </c>
      <c r="L118" s="14">
        <f>IF(M118=0,0,I118/J118)</f>
        <v/>
      </c>
      <c r="M118" s="15">
        <f>IF(ISERROR(VLOOKUP(E118,tbl_DimAtividade[#All],4,FALSE)),0,IF(VLOOKUP(E118,tbl_DimAtividade[#All],4,FALSE)=0,0,1))</f>
        <v/>
      </c>
    </row>
    <row r="119">
      <c r="A119" s="10" t="n">
        <v>2026</v>
      </c>
      <c r="B119" s="10" t="n">
        <v>5</v>
      </c>
      <c r="C119" s="10" t="inlineStr">
        <is>
          <t>Maio</t>
        </is>
      </c>
      <c r="D119" s="10" t="inlineStr">
        <is>
          <t>Marabá</t>
        </is>
      </c>
      <c r="E119" s="10" t="inlineStr">
        <is>
          <t>2.2.10</t>
        </is>
      </c>
      <c r="F119" s="10" t="inlineStr">
        <is>
          <t>Corte De Árvores De Grande Porte Com Auxilio De Equipamentos De Grande Porte Fornecido Pela Vale, Quando Necessário (Plataformas Elevatórias, Caminhões Sky E Outros)</t>
        </is>
      </c>
      <c r="G119" s="10" t="inlineStr">
        <is>
          <t>UNID</t>
        </is>
      </c>
      <c r="H119" s="13" t="n">
        <v>0</v>
      </c>
      <c r="I119" s="13" t="n">
        <v>0</v>
      </c>
      <c r="J119" s="13">
        <f>IFERROR(VLOOKUP(E119,tbl_DimAtividade[#All],4,FALSE),0)</f>
        <v/>
      </c>
      <c r="K119" s="13">
        <f>IF(I119=0,0,H119/I119)</f>
        <v/>
      </c>
      <c r="L119" s="14">
        <f>IF(M119=0,0,I119/J119)</f>
        <v/>
      </c>
      <c r="M119" s="15">
        <f>IF(ISERROR(VLOOKUP(E119,tbl_DimAtividade[#All],4,FALSE)),0,IF(VLOOKUP(E119,tbl_DimAtividade[#All],4,FALSE)=0,0,1))</f>
        <v/>
      </c>
    </row>
    <row r="120">
      <c r="A120" s="10" t="n">
        <v>2026</v>
      </c>
      <c r="B120" s="10" t="n">
        <v>5</v>
      </c>
      <c r="C120" s="10" t="inlineStr">
        <is>
          <t>Maio</t>
        </is>
      </c>
      <c r="D120" s="10" t="inlineStr">
        <is>
          <t>Parauapebas</t>
        </is>
      </c>
      <c r="E120" s="10" t="inlineStr">
        <is>
          <t>2.2.10</t>
        </is>
      </c>
      <c r="F120" s="10" t="inlineStr">
        <is>
          <t>Corte De Árvores De Grande Porte Com Auxilio De Equipamentos De Grande Porte Fornecido Pela Vale, Quando Necessário (Plataformas Elevatórias, Caminhões Sky E Outros)</t>
        </is>
      </c>
      <c r="G120" s="10" t="inlineStr">
        <is>
          <t>UNID</t>
        </is>
      </c>
      <c r="H120" s="13" t="n">
        <v>0</v>
      </c>
      <c r="I120" s="13" t="n">
        <v>0</v>
      </c>
      <c r="J120" s="13">
        <f>IFERROR(VLOOKUP(E120,tbl_DimAtividade[#All],4,FALSE),0)</f>
        <v/>
      </c>
      <c r="K120" s="13">
        <f>IF(I120=0,0,H120/I120)</f>
        <v/>
      </c>
      <c r="L120" s="14">
        <f>IF(M120=0,0,I120/J120)</f>
        <v/>
      </c>
      <c r="M120" s="15">
        <f>IF(ISERROR(VLOOKUP(E120,tbl_DimAtividade[#All],4,FALSE)),0,IF(VLOOKUP(E120,tbl_DimAtividade[#All],4,FALSE)=0,0,1))</f>
        <v/>
      </c>
    </row>
    <row r="121">
      <c r="A121" s="10" t="n">
        <v>2026</v>
      </c>
      <c r="B121" s="10" t="n">
        <v>5</v>
      </c>
      <c r="C121" s="10" t="inlineStr">
        <is>
          <t>Maio</t>
        </is>
      </c>
      <c r="D121" s="10" t="inlineStr">
        <is>
          <t>Canaã</t>
        </is>
      </c>
      <c r="E121" s="10" t="inlineStr">
        <is>
          <t>2.2.10</t>
        </is>
      </c>
      <c r="F121" s="10" t="inlineStr">
        <is>
          <t>Corte De Árvores De Grande Porte Com Auxilio De Equipamentos De Grande Porte Fornecido Pela Vale, Quando Necessário (Plataformas Elevatórias, Caminhões Sky E Outros)</t>
        </is>
      </c>
      <c r="G121" s="10" t="inlineStr">
        <is>
          <t>UNID</t>
        </is>
      </c>
      <c r="H121" s="13" t="n">
        <v>0</v>
      </c>
      <c r="I121" s="13" t="n">
        <v>0</v>
      </c>
      <c r="J121" s="13">
        <f>IFERROR(VLOOKUP(E121,tbl_DimAtividade[#All],4,FALSE),0)</f>
        <v/>
      </c>
      <c r="K121" s="13">
        <f>IF(I121=0,0,H121/I121)</f>
        <v/>
      </c>
      <c r="L121" s="14">
        <f>IF(M121=0,0,I121/J121)</f>
        <v/>
      </c>
      <c r="M121" s="15">
        <f>IF(ISERROR(VLOOKUP(E121,tbl_DimAtividade[#All],4,FALSE)),0,IF(VLOOKUP(E121,tbl_DimAtividade[#All],4,FALSE)=0,0,1))</f>
        <v/>
      </c>
    </row>
    <row r="122">
      <c r="A122" s="10" t="n">
        <v>2026</v>
      </c>
      <c r="B122" s="10" t="n">
        <v>5</v>
      </c>
      <c r="C122" s="10" t="inlineStr">
        <is>
          <t>Maio</t>
        </is>
      </c>
      <c r="D122" s="10" t="inlineStr">
        <is>
          <t>Marabá</t>
        </is>
      </c>
      <c r="E122" s="10" t="inlineStr">
        <is>
          <t>2.2.11</t>
        </is>
      </c>
      <c r="F122" s="10" t="inlineStr">
        <is>
          <t>Corte De Árvores De Grande Porte Com Auxilio De Equipamentos De Grande Porte Fornecido Pela Contratada</t>
        </is>
      </c>
      <c r="G122" s="10" t="inlineStr">
        <is>
          <t>UNID</t>
        </is>
      </c>
      <c r="H122" s="13" t="n">
        <v>0</v>
      </c>
      <c r="I122" s="13" t="n">
        <v>0</v>
      </c>
      <c r="J122" s="13">
        <f>IFERROR(VLOOKUP(E122,tbl_DimAtividade[#All],4,FALSE),0)</f>
        <v/>
      </c>
      <c r="K122" s="13">
        <f>IF(I122=0,0,H122/I122)</f>
        <v/>
      </c>
      <c r="L122" s="14">
        <f>IF(M122=0,0,I122/J122)</f>
        <v/>
      </c>
      <c r="M122" s="15">
        <f>IF(ISERROR(VLOOKUP(E122,tbl_DimAtividade[#All],4,FALSE)),0,IF(VLOOKUP(E122,tbl_DimAtividade[#All],4,FALSE)=0,0,1))</f>
        <v/>
      </c>
    </row>
    <row r="123">
      <c r="A123" s="10" t="n">
        <v>2026</v>
      </c>
      <c r="B123" s="10" t="n">
        <v>5</v>
      </c>
      <c r="C123" s="10" t="inlineStr">
        <is>
          <t>Maio</t>
        </is>
      </c>
      <c r="D123" s="10" t="inlineStr">
        <is>
          <t>Parauapebas</t>
        </is>
      </c>
      <c r="E123" s="10" t="inlineStr">
        <is>
          <t>2.2.11</t>
        </is>
      </c>
      <c r="F123" s="10" t="inlineStr">
        <is>
          <t>Corte De Árvores De Grande Porte Com Auxilio De Equipamentos De Grande Porte Fornecido Pela Contratada</t>
        </is>
      </c>
      <c r="G123" s="10" t="inlineStr">
        <is>
          <t>UNID</t>
        </is>
      </c>
      <c r="H123" s="13" t="n">
        <v>0</v>
      </c>
      <c r="I123" s="13" t="n">
        <v>0</v>
      </c>
      <c r="J123" s="13">
        <f>IFERROR(VLOOKUP(E123,tbl_DimAtividade[#All],4,FALSE),0)</f>
        <v/>
      </c>
      <c r="K123" s="13">
        <f>IF(I123=0,0,H123/I123)</f>
        <v/>
      </c>
      <c r="L123" s="14">
        <f>IF(M123=0,0,I123/J123)</f>
        <v/>
      </c>
      <c r="M123" s="15">
        <f>IF(ISERROR(VLOOKUP(E123,tbl_DimAtividade[#All],4,FALSE)),0,IF(VLOOKUP(E123,tbl_DimAtividade[#All],4,FALSE)=0,0,1))</f>
        <v/>
      </c>
    </row>
    <row r="124">
      <c r="A124" s="10" t="n">
        <v>2026</v>
      </c>
      <c r="B124" s="10" t="n">
        <v>5</v>
      </c>
      <c r="C124" s="10" t="inlineStr">
        <is>
          <t>Maio</t>
        </is>
      </c>
      <c r="D124" s="10" t="inlineStr">
        <is>
          <t>Canaã</t>
        </is>
      </c>
      <c r="E124" s="10" t="inlineStr">
        <is>
          <t>2.2.11</t>
        </is>
      </c>
      <c r="F124" s="10" t="inlineStr">
        <is>
          <t>Corte De Árvores De Grande Porte Com Auxilio De Equipamentos De Grande Porte Fornecido Pela Contratada</t>
        </is>
      </c>
      <c r="G124" s="10" t="inlineStr">
        <is>
          <t>UNID</t>
        </is>
      </c>
      <c r="H124" s="13" t="n">
        <v>0</v>
      </c>
      <c r="I124" s="13" t="n">
        <v>0</v>
      </c>
      <c r="J124" s="13">
        <f>IFERROR(VLOOKUP(E124,tbl_DimAtividade[#All],4,FALSE),0)</f>
        <v/>
      </c>
      <c r="K124" s="13">
        <f>IF(I124=0,0,H124/I124)</f>
        <v/>
      </c>
      <c r="L124" s="14">
        <f>IF(M124=0,0,I124/J124)</f>
        <v/>
      </c>
      <c r="M124" s="15">
        <f>IF(ISERROR(VLOOKUP(E124,tbl_DimAtividade[#All],4,FALSE)),0,IF(VLOOKUP(E124,tbl_DimAtividade[#All],4,FALSE)=0,0,1))</f>
        <v/>
      </c>
    </row>
    <row r="125">
      <c r="A125" s="10" t="n">
        <v>2026</v>
      </c>
      <c r="B125" s="10" t="n">
        <v>5</v>
      </c>
      <c r="C125" s="10" t="inlineStr">
        <is>
          <t>Maio</t>
        </is>
      </c>
      <c r="D125" s="10" t="inlineStr">
        <is>
          <t>Marabá</t>
        </is>
      </c>
      <c r="E125" s="10" t="inlineStr">
        <is>
          <t>2.2.12</t>
        </is>
      </c>
      <c r="F125" s="10" t="inlineStr">
        <is>
          <t>Momento Extraordinário De Transporte</t>
        </is>
      </c>
      <c r="G125" s="10" t="inlineStr">
        <is>
          <t>M³xKM</t>
        </is>
      </c>
      <c r="H125" s="13" t="n">
        <v>0</v>
      </c>
      <c r="I125" s="13" t="n">
        <v>0</v>
      </c>
      <c r="J125" s="13">
        <f>IFERROR(VLOOKUP(E125,tbl_DimAtividade[#All],4,FALSE),0)</f>
        <v/>
      </c>
      <c r="K125" s="13">
        <f>IF(I125=0,0,H125/I125)</f>
        <v/>
      </c>
      <c r="L125" s="14">
        <f>IF(M125=0,0,I125/J125)</f>
        <v/>
      </c>
      <c r="M125" s="15">
        <f>IF(ISERROR(VLOOKUP(E125,tbl_DimAtividade[#All],4,FALSE)),0,IF(VLOOKUP(E125,tbl_DimAtividade[#All],4,FALSE)=0,0,1))</f>
        <v/>
      </c>
    </row>
    <row r="126">
      <c r="A126" s="10" t="n">
        <v>2026</v>
      </c>
      <c r="B126" s="10" t="n">
        <v>5</v>
      </c>
      <c r="C126" s="10" t="inlineStr">
        <is>
          <t>Maio</t>
        </is>
      </c>
      <c r="D126" s="10" t="inlineStr">
        <is>
          <t>Parauapebas</t>
        </is>
      </c>
      <c r="E126" s="10" t="inlineStr">
        <is>
          <t>2.2.12</t>
        </is>
      </c>
      <c r="F126" s="10" t="inlineStr">
        <is>
          <t>Momento Extraordinário De Transporte</t>
        </is>
      </c>
      <c r="G126" s="10" t="inlineStr">
        <is>
          <t>M³xKM</t>
        </is>
      </c>
      <c r="H126" s="13" t="n">
        <v>0</v>
      </c>
      <c r="I126" s="13" t="n">
        <v>0</v>
      </c>
      <c r="J126" s="13">
        <f>IFERROR(VLOOKUP(E126,tbl_DimAtividade[#All],4,FALSE),0)</f>
        <v/>
      </c>
      <c r="K126" s="13">
        <f>IF(I126=0,0,H126/I126)</f>
        <v/>
      </c>
      <c r="L126" s="14">
        <f>IF(M126=0,0,I126/J126)</f>
        <v/>
      </c>
      <c r="M126" s="15">
        <f>IF(ISERROR(VLOOKUP(E126,tbl_DimAtividade[#All],4,FALSE)),0,IF(VLOOKUP(E126,tbl_DimAtividade[#All],4,FALSE)=0,0,1))</f>
        <v/>
      </c>
    </row>
    <row r="127">
      <c r="A127" s="10" t="n">
        <v>2026</v>
      </c>
      <c r="B127" s="10" t="n">
        <v>5</v>
      </c>
      <c r="C127" s="10" t="inlineStr">
        <is>
          <t>Maio</t>
        </is>
      </c>
      <c r="D127" s="10" t="inlineStr">
        <is>
          <t>Canaã</t>
        </is>
      </c>
      <c r="E127" s="10" t="inlineStr">
        <is>
          <t>2.2.12</t>
        </is>
      </c>
      <c r="F127" s="10" t="inlineStr">
        <is>
          <t>Momento Extraordinário De Transporte</t>
        </is>
      </c>
      <c r="G127" s="10" t="inlineStr">
        <is>
          <t>M³xKM</t>
        </is>
      </c>
      <c r="H127" s="13" t="n">
        <v>0</v>
      </c>
      <c r="I127" s="13" t="n">
        <v>0</v>
      </c>
      <c r="J127" s="13">
        <f>IFERROR(VLOOKUP(E127,tbl_DimAtividade[#All],4,FALSE),0)</f>
        <v/>
      </c>
      <c r="K127" s="13">
        <f>IF(I127=0,0,H127/I127)</f>
        <v/>
      </c>
      <c r="L127" s="14">
        <f>IF(M127=0,0,I127/J127)</f>
        <v/>
      </c>
      <c r="M127" s="15">
        <f>IF(ISERROR(VLOOKUP(E127,tbl_DimAtividade[#All],4,FALSE)),0,IF(VLOOKUP(E127,tbl_DimAtividade[#All],4,FALSE)=0,0,1))</f>
        <v/>
      </c>
    </row>
    <row r="128">
      <c r="A128" s="10" t="n">
        <v>2026</v>
      </c>
      <c r="B128" s="10" t="n">
        <v>5</v>
      </c>
      <c r="C128" s="10" t="inlineStr">
        <is>
          <t>Maio</t>
        </is>
      </c>
      <c r="D128" s="10" t="inlineStr">
        <is>
          <t>Marabá</t>
        </is>
      </c>
      <c r="E128" s="10" t="inlineStr">
        <is>
          <t>2.3.1</t>
        </is>
      </c>
      <c r="F128" s="10" t="inlineStr">
        <is>
          <t>Fornecimento E Aplicação De Sinalização Gráfica Vertical Completa (M²)</t>
        </is>
      </c>
      <c r="G128" s="10" t="inlineStr">
        <is>
          <t>M²</t>
        </is>
      </c>
      <c r="H128" s="13" t="n">
        <v>0</v>
      </c>
      <c r="I128" s="13" t="n">
        <v>0</v>
      </c>
      <c r="J128" s="13">
        <f>IFERROR(VLOOKUP(E128,tbl_DimAtividade[#All],4,FALSE),0)</f>
        <v/>
      </c>
      <c r="K128" s="13">
        <f>IF(I128=0,0,H128/I128)</f>
        <v/>
      </c>
      <c r="L128" s="14">
        <f>IF(M128=0,0,I128/J128)</f>
        <v/>
      </c>
      <c r="M128" s="15">
        <f>IF(ISERROR(VLOOKUP(E128,tbl_DimAtividade[#All],4,FALSE)),0,IF(VLOOKUP(E128,tbl_DimAtividade[#All],4,FALSE)=0,0,1))</f>
        <v/>
      </c>
    </row>
    <row r="129">
      <c r="A129" s="10" t="n">
        <v>2026</v>
      </c>
      <c r="B129" s="10" t="n">
        <v>5</v>
      </c>
      <c r="C129" s="10" t="inlineStr">
        <is>
          <t>Maio</t>
        </is>
      </c>
      <c r="D129" s="10" t="inlineStr">
        <is>
          <t>Parauapebas</t>
        </is>
      </c>
      <c r="E129" s="10" t="inlineStr">
        <is>
          <t>2.3.1</t>
        </is>
      </c>
      <c r="F129" s="10" t="inlineStr">
        <is>
          <t>Fornecimento E Aplicação De Sinalização Gráfica Vertical Completa (M²)</t>
        </is>
      </c>
      <c r="G129" s="10" t="inlineStr">
        <is>
          <t>M²</t>
        </is>
      </c>
      <c r="H129" s="13" t="n">
        <v>0.16</v>
      </c>
      <c r="I129" s="13" t="n">
        <v>0.001142857142857143</v>
      </c>
      <c r="J129" s="13">
        <f>IFERROR(VLOOKUP(E129,tbl_DimAtividade[#All],4,FALSE),0)</f>
        <v/>
      </c>
      <c r="K129" s="13">
        <f>IF(I129=0,0,H129/I129)</f>
        <v/>
      </c>
      <c r="L129" s="14">
        <f>IF(M129=0,0,I129/J129)</f>
        <v/>
      </c>
      <c r="M129" s="15">
        <f>IF(ISERROR(VLOOKUP(E129,tbl_DimAtividade[#All],4,FALSE)),0,IF(VLOOKUP(E129,tbl_DimAtividade[#All],4,FALSE)=0,0,1))</f>
        <v/>
      </c>
    </row>
    <row r="130">
      <c r="A130" s="10" t="n">
        <v>2026</v>
      </c>
      <c r="B130" s="10" t="n">
        <v>5</v>
      </c>
      <c r="C130" s="10" t="inlineStr">
        <is>
          <t>Maio</t>
        </is>
      </c>
      <c r="D130" s="10" t="inlineStr">
        <is>
          <t>Canaã</t>
        </is>
      </c>
      <c r="E130" s="10" t="inlineStr">
        <is>
          <t>2.3.1</t>
        </is>
      </c>
      <c r="F130" s="10" t="inlineStr">
        <is>
          <t>Fornecimento E Aplicação De Sinalização Gráfica Vertical Completa (M²)</t>
        </is>
      </c>
      <c r="G130" s="10" t="inlineStr">
        <is>
          <t>M²</t>
        </is>
      </c>
      <c r="H130" s="13" t="n">
        <v>0</v>
      </c>
      <c r="I130" s="13" t="n">
        <v>0</v>
      </c>
      <c r="J130" s="13">
        <f>IFERROR(VLOOKUP(E130,tbl_DimAtividade[#All],4,FALSE),0)</f>
        <v/>
      </c>
      <c r="K130" s="13">
        <f>IF(I130=0,0,H130/I130)</f>
        <v/>
      </c>
      <c r="L130" s="14">
        <f>IF(M130=0,0,I130/J130)</f>
        <v/>
      </c>
      <c r="M130" s="15">
        <f>IF(ISERROR(VLOOKUP(E130,tbl_DimAtividade[#All],4,FALSE)),0,IF(VLOOKUP(E130,tbl_DimAtividade[#All],4,FALSE)=0,0,1))</f>
        <v/>
      </c>
    </row>
    <row r="131">
      <c r="A131" s="10" t="n">
        <v>2026</v>
      </c>
      <c r="B131" s="10" t="n">
        <v>5</v>
      </c>
      <c r="C131" s="10" t="inlineStr">
        <is>
          <t>Maio</t>
        </is>
      </c>
      <c r="D131" s="10" t="inlineStr">
        <is>
          <t>Marabá</t>
        </is>
      </c>
      <c r="E131" s="10" t="inlineStr">
        <is>
          <t>2.3.2</t>
        </is>
      </c>
      <c r="F131" s="10" t="inlineStr">
        <is>
          <t>Aplicação De Trilho Para Cruz De Santo André (Trilho Fornecimento Vale)</t>
        </is>
      </c>
      <c r="G131" s="10" t="inlineStr">
        <is>
          <t>UNID</t>
        </is>
      </c>
      <c r="H131" s="13" t="n">
        <v>0</v>
      </c>
      <c r="I131" s="13" t="n">
        <v>0</v>
      </c>
      <c r="J131" s="13">
        <f>IFERROR(VLOOKUP(E131,tbl_DimAtividade[#All],4,FALSE),0)</f>
        <v/>
      </c>
      <c r="K131" s="13">
        <f>IF(I131=0,0,H131/I131)</f>
        <v/>
      </c>
      <c r="L131" s="14">
        <f>IF(M131=0,0,I131/J131)</f>
        <v/>
      </c>
      <c r="M131" s="15">
        <f>IF(ISERROR(VLOOKUP(E131,tbl_DimAtividade[#All],4,FALSE)),0,IF(VLOOKUP(E131,tbl_DimAtividade[#All],4,FALSE)=0,0,1))</f>
        <v/>
      </c>
    </row>
    <row r="132">
      <c r="A132" s="10" t="n">
        <v>2026</v>
      </c>
      <c r="B132" s="10" t="n">
        <v>5</v>
      </c>
      <c r="C132" s="10" t="inlineStr">
        <is>
          <t>Maio</t>
        </is>
      </c>
      <c r="D132" s="10" t="inlineStr">
        <is>
          <t>Parauapebas</t>
        </is>
      </c>
      <c r="E132" s="10" t="inlineStr">
        <is>
          <t>2.3.2</t>
        </is>
      </c>
      <c r="F132" s="10" t="inlineStr">
        <is>
          <t>Aplicação De Trilho Para Cruz De Santo André (Trilho Fornecimento Vale)</t>
        </is>
      </c>
      <c r="G132" s="10" t="inlineStr">
        <is>
          <t>UNID</t>
        </is>
      </c>
      <c r="H132" s="13" t="n">
        <v>0</v>
      </c>
      <c r="I132" s="13" t="n">
        <v>0</v>
      </c>
      <c r="J132" s="13">
        <f>IFERROR(VLOOKUP(E132,tbl_DimAtividade[#All],4,FALSE),0)</f>
        <v/>
      </c>
      <c r="K132" s="13">
        <f>IF(I132=0,0,H132/I132)</f>
        <v/>
      </c>
      <c r="L132" s="14">
        <f>IF(M132=0,0,I132/J132)</f>
        <v/>
      </c>
      <c r="M132" s="15">
        <f>IF(ISERROR(VLOOKUP(E132,tbl_DimAtividade[#All],4,FALSE)),0,IF(VLOOKUP(E132,tbl_DimAtividade[#All],4,FALSE)=0,0,1))</f>
        <v/>
      </c>
    </row>
    <row r="133">
      <c r="A133" s="10" t="n">
        <v>2026</v>
      </c>
      <c r="B133" s="10" t="n">
        <v>5</v>
      </c>
      <c r="C133" s="10" t="inlineStr">
        <is>
          <t>Maio</t>
        </is>
      </c>
      <c r="D133" s="10" t="inlineStr">
        <is>
          <t>Canaã</t>
        </is>
      </c>
      <c r="E133" s="10" t="inlineStr">
        <is>
          <t>2.3.2</t>
        </is>
      </c>
      <c r="F133" s="10" t="inlineStr">
        <is>
          <t>Aplicação De Trilho Para Cruz De Santo André (Trilho Fornecimento Vale)</t>
        </is>
      </c>
      <c r="G133" s="10" t="inlineStr">
        <is>
          <t>UNID</t>
        </is>
      </c>
      <c r="H133" s="13" t="n">
        <v>0</v>
      </c>
      <c r="I133" s="13" t="n">
        <v>0</v>
      </c>
      <c r="J133" s="13">
        <f>IFERROR(VLOOKUP(E133,tbl_DimAtividade[#All],4,FALSE),0)</f>
        <v/>
      </c>
      <c r="K133" s="13">
        <f>IF(I133=0,0,H133/I133)</f>
        <v/>
      </c>
      <c r="L133" s="14">
        <f>IF(M133=0,0,I133/J133)</f>
        <v/>
      </c>
      <c r="M133" s="15">
        <f>IF(ISERROR(VLOOKUP(E133,tbl_DimAtividade[#All],4,FALSE)),0,IF(VLOOKUP(E133,tbl_DimAtividade[#All],4,FALSE)=0,0,1))</f>
        <v/>
      </c>
    </row>
    <row r="134">
      <c r="A134" s="10" t="n">
        <v>2026</v>
      </c>
      <c r="B134" s="10" t="n">
        <v>6</v>
      </c>
      <c r="C134" s="10" t="inlineStr">
        <is>
          <t>Junho</t>
        </is>
      </c>
      <c r="D134" s="10" t="inlineStr">
        <is>
          <t>Marabá</t>
        </is>
      </c>
      <c r="E134" s="10" t="inlineStr">
        <is>
          <t>2.1.2</t>
        </is>
      </c>
      <c r="F134" s="10" t="inlineStr">
        <is>
          <t>Limpeza De Bueiros</t>
        </is>
      </c>
      <c r="G134" s="10" t="inlineStr">
        <is>
          <t>M³</t>
        </is>
      </c>
      <c r="H134" s="13" t="n">
        <v>0</v>
      </c>
      <c r="I134" s="13" t="n">
        <v>0</v>
      </c>
      <c r="J134" s="13">
        <f>IFERROR(VLOOKUP(E134,tbl_DimAtividade[#All],4,FALSE),0)</f>
        <v/>
      </c>
      <c r="K134" s="13">
        <f>IF(I134=0,0,H134/I134)</f>
        <v/>
      </c>
      <c r="L134" s="14">
        <f>IF(M134=0,0,I134/J134)</f>
        <v/>
      </c>
      <c r="M134" s="15">
        <f>IF(ISERROR(VLOOKUP(E134,tbl_DimAtividade[#All],4,FALSE)),0,IF(VLOOKUP(E134,tbl_DimAtividade[#All],4,FALSE)=0,0,1))</f>
        <v/>
      </c>
    </row>
    <row r="135">
      <c r="A135" s="10" t="n">
        <v>2026</v>
      </c>
      <c r="B135" s="10" t="n">
        <v>6</v>
      </c>
      <c r="C135" s="10" t="inlineStr">
        <is>
          <t>Junho</t>
        </is>
      </c>
      <c r="D135" s="10" t="inlineStr">
        <is>
          <t>Parauapebas</t>
        </is>
      </c>
      <c r="E135" s="10" t="inlineStr">
        <is>
          <t>2.1.2</t>
        </is>
      </c>
      <c r="F135" s="10" t="inlineStr">
        <is>
          <t>Limpeza De Bueiros</t>
        </is>
      </c>
      <c r="G135" s="10" t="inlineStr">
        <is>
          <t>M³</t>
        </is>
      </c>
      <c r="H135" s="13" t="n">
        <v>45.12</v>
      </c>
      <c r="I135" s="13" t="n">
        <v>0.585974025974026</v>
      </c>
      <c r="J135" s="13">
        <f>IFERROR(VLOOKUP(E135,tbl_DimAtividade[#All],4,FALSE),0)</f>
        <v/>
      </c>
      <c r="K135" s="13">
        <f>IF(I135=0,0,H135/I135)</f>
        <v/>
      </c>
      <c r="L135" s="14">
        <f>IF(M135=0,0,I135/J135)</f>
        <v/>
      </c>
      <c r="M135" s="15">
        <f>IF(ISERROR(VLOOKUP(E135,tbl_DimAtividade[#All],4,FALSE)),0,IF(VLOOKUP(E135,tbl_DimAtividade[#All],4,FALSE)=0,0,1))</f>
        <v/>
      </c>
    </row>
    <row r="136">
      <c r="A136" s="10" t="n">
        <v>2026</v>
      </c>
      <c r="B136" s="10" t="n">
        <v>6</v>
      </c>
      <c r="C136" s="10" t="inlineStr">
        <is>
          <t>Junho</t>
        </is>
      </c>
      <c r="D136" s="10" t="inlineStr">
        <is>
          <t>Canaã</t>
        </is>
      </c>
      <c r="E136" s="10" t="inlineStr">
        <is>
          <t>2.1.2</t>
        </is>
      </c>
      <c r="F136" s="10" t="inlineStr">
        <is>
          <t>Limpeza De Bueiros</t>
        </is>
      </c>
      <c r="G136" s="10" t="inlineStr">
        <is>
          <t>M³</t>
        </is>
      </c>
      <c r="H136" s="13" t="n">
        <v>10.91</v>
      </c>
      <c r="I136" s="13" t="n">
        <v>0.1948214285714286</v>
      </c>
      <c r="J136" s="13">
        <f>IFERROR(VLOOKUP(E136,tbl_DimAtividade[#All],4,FALSE),0)</f>
        <v/>
      </c>
      <c r="K136" s="13">
        <f>IF(I136=0,0,H136/I136)</f>
        <v/>
      </c>
      <c r="L136" s="14">
        <f>IF(M136=0,0,I136/J136)</f>
        <v/>
      </c>
      <c r="M136" s="15">
        <f>IF(ISERROR(VLOOKUP(E136,tbl_DimAtividade[#All],4,FALSE)),0,IF(VLOOKUP(E136,tbl_DimAtividade[#All],4,FALSE)=0,0,1))</f>
        <v/>
      </c>
    </row>
    <row r="137">
      <c r="A137" s="10" t="n">
        <v>2026</v>
      </c>
      <c r="B137" s="10" t="n">
        <v>6</v>
      </c>
      <c r="C137" s="10" t="inlineStr">
        <is>
          <t>Junho</t>
        </is>
      </c>
      <c r="D137" s="10" t="inlineStr">
        <is>
          <t>Marabá</t>
        </is>
      </c>
      <c r="E137" s="10" t="inlineStr">
        <is>
          <t>2.1.7</t>
        </is>
      </c>
      <c r="F137" s="10" t="inlineStr">
        <is>
          <t>Limpeza De Valas De Bueiros (Montante E Jusante)</t>
        </is>
      </c>
      <c r="G137" s="10" t="inlineStr">
        <is>
          <t>M³</t>
        </is>
      </c>
      <c r="H137" s="13" t="n">
        <v>0</v>
      </c>
      <c r="I137" s="13" t="n">
        <v>0</v>
      </c>
      <c r="J137" s="13">
        <f>IFERROR(VLOOKUP(E137,tbl_DimAtividade[#All],4,FALSE),0)</f>
        <v/>
      </c>
      <c r="K137" s="13">
        <f>IF(I137=0,0,H137/I137)</f>
        <v/>
      </c>
      <c r="L137" s="14">
        <f>IF(M137=0,0,I137/J137)</f>
        <v/>
      </c>
      <c r="M137" s="15">
        <f>IF(ISERROR(VLOOKUP(E137,tbl_DimAtividade[#All],4,FALSE)),0,IF(VLOOKUP(E137,tbl_DimAtividade[#All],4,FALSE)=0,0,1))</f>
        <v/>
      </c>
    </row>
    <row r="138">
      <c r="A138" s="10" t="n">
        <v>2026</v>
      </c>
      <c r="B138" s="10" t="n">
        <v>6</v>
      </c>
      <c r="C138" s="10" t="inlineStr">
        <is>
          <t>Junho</t>
        </is>
      </c>
      <c r="D138" s="10" t="inlineStr">
        <is>
          <t>Parauapebas</t>
        </is>
      </c>
      <c r="E138" s="10" t="inlineStr">
        <is>
          <t>2.1.7</t>
        </is>
      </c>
      <c r="F138" s="10" t="inlineStr">
        <is>
          <t>Limpeza De Valas De Bueiros (Montante E Jusante)</t>
        </is>
      </c>
      <c r="G138" s="10" t="inlineStr">
        <is>
          <t>M³</t>
        </is>
      </c>
      <c r="H138" s="13" t="n">
        <v>0</v>
      </c>
      <c r="I138" s="13" t="n">
        <v>0</v>
      </c>
      <c r="J138" s="13">
        <f>IFERROR(VLOOKUP(E138,tbl_DimAtividade[#All],4,FALSE),0)</f>
        <v/>
      </c>
      <c r="K138" s="13">
        <f>IF(I138=0,0,H138/I138)</f>
        <v/>
      </c>
      <c r="L138" s="14">
        <f>IF(M138=0,0,I138/J138)</f>
        <v/>
      </c>
      <c r="M138" s="15">
        <f>IF(ISERROR(VLOOKUP(E138,tbl_DimAtividade[#All],4,FALSE)),0,IF(VLOOKUP(E138,tbl_DimAtividade[#All],4,FALSE)=0,0,1))</f>
        <v/>
      </c>
    </row>
    <row r="139">
      <c r="A139" s="10" t="n">
        <v>2026</v>
      </c>
      <c r="B139" s="10" t="n">
        <v>6</v>
      </c>
      <c r="C139" s="10" t="inlineStr">
        <is>
          <t>Junho</t>
        </is>
      </c>
      <c r="D139" s="10" t="inlineStr">
        <is>
          <t>Canaã</t>
        </is>
      </c>
      <c r="E139" s="10" t="inlineStr">
        <is>
          <t>2.1.7</t>
        </is>
      </c>
      <c r="F139" s="10" t="inlineStr">
        <is>
          <t>Limpeza De Valas De Bueiros (Montante E Jusante)</t>
        </is>
      </c>
      <c r="G139" s="10" t="inlineStr">
        <is>
          <t>M³</t>
        </is>
      </c>
      <c r="H139" s="13" t="n">
        <v>23.73</v>
      </c>
      <c r="I139" s="13" t="n">
        <v>0.42375</v>
      </c>
      <c r="J139" s="13">
        <f>IFERROR(VLOOKUP(E139,tbl_DimAtividade[#All],4,FALSE),0)</f>
        <v/>
      </c>
      <c r="K139" s="13">
        <f>IF(I139=0,0,H139/I139)</f>
        <v/>
      </c>
      <c r="L139" s="14">
        <f>IF(M139=0,0,I139/J139)</f>
        <v/>
      </c>
      <c r="M139" s="15">
        <f>IF(ISERROR(VLOOKUP(E139,tbl_DimAtividade[#All],4,FALSE)),0,IF(VLOOKUP(E139,tbl_DimAtividade[#All],4,FALSE)=0,0,1))</f>
        <v/>
      </c>
    </row>
    <row r="140">
      <c r="A140" s="10" t="n">
        <v>2026</v>
      </c>
      <c r="B140" s="10" t="n">
        <v>6</v>
      </c>
      <c r="C140" s="10" t="inlineStr">
        <is>
          <t>Junho</t>
        </is>
      </c>
      <c r="D140" s="10" t="inlineStr">
        <is>
          <t>Marabá</t>
        </is>
      </c>
      <c r="E140" s="10" t="inlineStr">
        <is>
          <t>2.1.3</t>
        </is>
      </c>
      <c r="F140" s="10" t="inlineStr">
        <is>
          <t>Limpeza De Canaleta Em Corte E Aterro Até Meia Seção (M)</t>
        </is>
      </c>
      <c r="G140" s="10" t="inlineStr">
        <is>
          <t>M</t>
        </is>
      </c>
      <c r="H140" s="13" t="n">
        <v>2136.4</v>
      </c>
      <c r="I140" s="13" t="n">
        <v>27.74545454545455</v>
      </c>
      <c r="J140" s="13">
        <f>IFERROR(VLOOKUP(E140,tbl_DimAtividade[#All],4,FALSE),0)</f>
        <v/>
      </c>
      <c r="K140" s="13">
        <f>IF(I140=0,0,H140/I140)</f>
        <v/>
      </c>
      <c r="L140" s="14">
        <f>IF(M140=0,0,I140/J140)</f>
        <v/>
      </c>
      <c r="M140" s="15">
        <f>IF(ISERROR(VLOOKUP(E140,tbl_DimAtividade[#All],4,FALSE)),0,IF(VLOOKUP(E140,tbl_DimAtividade[#All],4,FALSE)=0,0,1))</f>
        <v/>
      </c>
    </row>
    <row r="141">
      <c r="A141" s="10" t="n">
        <v>2026</v>
      </c>
      <c r="B141" s="10" t="n">
        <v>6</v>
      </c>
      <c r="C141" s="10" t="inlineStr">
        <is>
          <t>Junho</t>
        </is>
      </c>
      <c r="D141" s="10" t="inlineStr">
        <is>
          <t>Parauapebas</t>
        </is>
      </c>
      <c r="E141" s="10" t="inlineStr">
        <is>
          <t>2.1.3</t>
        </is>
      </c>
      <c r="F141" s="10" t="inlineStr">
        <is>
          <t>Limpeza De Canaleta Em Corte E Aterro Até Meia Seção (M)</t>
        </is>
      </c>
      <c r="G141" s="10" t="inlineStr">
        <is>
          <t>M</t>
        </is>
      </c>
      <c r="H141" s="13" t="n">
        <v>577.4</v>
      </c>
      <c r="I141" s="13" t="n">
        <v>7.498701298701298</v>
      </c>
      <c r="J141" s="13">
        <f>IFERROR(VLOOKUP(E141,tbl_DimAtividade[#All],4,FALSE),0)</f>
        <v/>
      </c>
      <c r="K141" s="13">
        <f>IF(I141=0,0,H141/I141)</f>
        <v/>
      </c>
      <c r="L141" s="14">
        <f>IF(M141=0,0,I141/J141)</f>
        <v/>
      </c>
      <c r="M141" s="15">
        <f>IF(ISERROR(VLOOKUP(E141,tbl_DimAtividade[#All],4,FALSE)),0,IF(VLOOKUP(E141,tbl_DimAtividade[#All],4,FALSE)=0,0,1))</f>
        <v/>
      </c>
    </row>
    <row r="142">
      <c r="A142" s="10" t="n">
        <v>2026</v>
      </c>
      <c r="B142" s="10" t="n">
        <v>6</v>
      </c>
      <c r="C142" s="10" t="inlineStr">
        <is>
          <t>Junho</t>
        </is>
      </c>
      <c r="D142" s="10" t="inlineStr">
        <is>
          <t>Canaã</t>
        </is>
      </c>
      <c r="E142" s="10" t="inlineStr">
        <is>
          <t>2.1.3</t>
        </is>
      </c>
      <c r="F142" s="10" t="inlineStr">
        <is>
          <t>Limpeza De Canaleta Em Corte E Aterro Até Meia Seção (M)</t>
        </is>
      </c>
      <c r="G142" s="10" t="inlineStr">
        <is>
          <t>M</t>
        </is>
      </c>
      <c r="H142" s="13" t="n">
        <v>3685</v>
      </c>
      <c r="I142" s="13" t="n">
        <v>65.80357142857143</v>
      </c>
      <c r="J142" s="13">
        <f>IFERROR(VLOOKUP(E142,tbl_DimAtividade[#All],4,FALSE),0)</f>
        <v/>
      </c>
      <c r="K142" s="13">
        <f>IF(I142=0,0,H142/I142)</f>
        <v/>
      </c>
      <c r="L142" s="14">
        <f>IF(M142=0,0,I142/J142)</f>
        <v/>
      </c>
      <c r="M142" s="15">
        <f>IF(ISERROR(VLOOKUP(E142,tbl_DimAtividade[#All],4,FALSE)),0,IF(VLOOKUP(E142,tbl_DimAtividade[#All],4,FALSE)=0,0,1))</f>
        <v/>
      </c>
    </row>
    <row r="143">
      <c r="A143" s="10" t="n">
        <v>2026</v>
      </c>
      <c r="B143" s="10" t="n">
        <v>6</v>
      </c>
      <c r="C143" s="10" t="inlineStr">
        <is>
          <t>Junho</t>
        </is>
      </c>
      <c r="D143" s="10" t="inlineStr">
        <is>
          <t>Marabá</t>
        </is>
      </c>
      <c r="E143" s="10" t="inlineStr">
        <is>
          <t>2.1.4</t>
        </is>
      </c>
      <c r="F143" s="10" t="inlineStr">
        <is>
          <t>Limpeza De Canaleta Em Corte E Aterro Com Seção Plena</t>
        </is>
      </c>
      <c r="G143" s="10" t="inlineStr">
        <is>
          <t>M</t>
        </is>
      </c>
      <c r="H143" s="13" t="n">
        <v>88</v>
      </c>
      <c r="I143" s="13" t="n">
        <v>1.142857142857143</v>
      </c>
      <c r="J143" s="13">
        <f>IFERROR(VLOOKUP(E143,tbl_DimAtividade[#All],4,FALSE),0)</f>
        <v/>
      </c>
      <c r="K143" s="13">
        <f>IF(I143=0,0,H143/I143)</f>
        <v/>
      </c>
      <c r="L143" s="14">
        <f>IF(M143=0,0,I143/J143)</f>
        <v/>
      </c>
      <c r="M143" s="15">
        <f>IF(ISERROR(VLOOKUP(E143,tbl_DimAtividade[#All],4,FALSE)),0,IF(VLOOKUP(E143,tbl_DimAtividade[#All],4,FALSE)=0,0,1))</f>
        <v/>
      </c>
    </row>
    <row r="144">
      <c r="A144" s="10" t="n">
        <v>2026</v>
      </c>
      <c r="B144" s="10" t="n">
        <v>6</v>
      </c>
      <c r="C144" s="10" t="inlineStr">
        <is>
          <t>Junho</t>
        </is>
      </c>
      <c r="D144" s="10" t="inlineStr">
        <is>
          <t>Parauapebas</t>
        </is>
      </c>
      <c r="E144" s="10" t="inlineStr">
        <is>
          <t>2.1.4</t>
        </is>
      </c>
      <c r="F144" s="10" t="inlineStr">
        <is>
          <t>Limpeza De Canaleta Em Corte E Aterro Com Seção Plena</t>
        </is>
      </c>
      <c r="G144" s="10" t="inlineStr">
        <is>
          <t>M</t>
        </is>
      </c>
      <c r="H144" s="13" t="n">
        <v>0</v>
      </c>
      <c r="I144" s="13" t="n">
        <v>0</v>
      </c>
      <c r="J144" s="13">
        <f>IFERROR(VLOOKUP(E144,tbl_DimAtividade[#All],4,FALSE),0)</f>
        <v/>
      </c>
      <c r="K144" s="13">
        <f>IF(I144=0,0,H144/I144)</f>
        <v/>
      </c>
      <c r="L144" s="14">
        <f>IF(M144=0,0,I144/J144)</f>
        <v/>
      </c>
      <c r="M144" s="15">
        <f>IF(ISERROR(VLOOKUP(E144,tbl_DimAtividade[#All],4,FALSE)),0,IF(VLOOKUP(E144,tbl_DimAtividade[#All],4,FALSE)=0,0,1))</f>
        <v/>
      </c>
    </row>
    <row r="145">
      <c r="A145" s="10" t="n">
        <v>2026</v>
      </c>
      <c r="B145" s="10" t="n">
        <v>6</v>
      </c>
      <c r="C145" s="10" t="inlineStr">
        <is>
          <t>Junho</t>
        </is>
      </c>
      <c r="D145" s="10" t="inlineStr">
        <is>
          <t>Canaã</t>
        </is>
      </c>
      <c r="E145" s="10" t="inlineStr">
        <is>
          <t>2.1.4</t>
        </is>
      </c>
      <c r="F145" s="10" t="inlineStr">
        <is>
          <t>Limpeza De Canaleta Em Corte E Aterro Com Seção Plena</t>
        </is>
      </c>
      <c r="G145" s="10" t="inlineStr">
        <is>
          <t>M</t>
        </is>
      </c>
      <c r="H145" s="13" t="n">
        <v>324</v>
      </c>
      <c r="I145" s="13" t="n">
        <v>5.785714285714286</v>
      </c>
      <c r="J145" s="13">
        <f>IFERROR(VLOOKUP(E145,tbl_DimAtividade[#All],4,FALSE),0)</f>
        <v/>
      </c>
      <c r="K145" s="13">
        <f>IF(I145=0,0,H145/I145)</f>
        <v/>
      </c>
      <c r="L145" s="14">
        <f>IF(M145=0,0,I145/J145)</f>
        <v/>
      </c>
      <c r="M145" s="15">
        <f>IF(ISERROR(VLOOKUP(E145,tbl_DimAtividade[#All],4,FALSE)),0,IF(VLOOKUP(E145,tbl_DimAtividade[#All],4,FALSE)=0,0,1))</f>
        <v/>
      </c>
    </row>
    <row r="146">
      <c r="A146" s="10" t="n">
        <v>2026</v>
      </c>
      <c r="B146" s="10" t="n">
        <v>6</v>
      </c>
      <c r="C146" s="10" t="inlineStr">
        <is>
          <t>Junho</t>
        </is>
      </c>
      <c r="D146" s="10" t="inlineStr">
        <is>
          <t>Marabá</t>
        </is>
      </c>
      <c r="E146" s="10" t="inlineStr">
        <is>
          <t>2.1.5</t>
        </is>
      </c>
      <c r="F146" s="10" t="inlineStr">
        <is>
          <t>Limpeza De Valeta, Sarjetas E Meio Fios</t>
        </is>
      </c>
      <c r="G146" s="10" t="inlineStr">
        <is>
          <t>M</t>
        </is>
      </c>
      <c r="H146" s="13" t="n">
        <v>2940.8</v>
      </c>
      <c r="I146" s="13" t="n">
        <v>38.19220779220779</v>
      </c>
      <c r="J146" s="13">
        <f>IFERROR(VLOOKUP(E146,tbl_DimAtividade[#All],4,FALSE),0)</f>
        <v/>
      </c>
      <c r="K146" s="13">
        <f>IF(I146=0,0,H146/I146)</f>
        <v/>
      </c>
      <c r="L146" s="14">
        <f>IF(M146=0,0,I146/J146)</f>
        <v/>
      </c>
      <c r="M146" s="15">
        <f>IF(ISERROR(VLOOKUP(E146,tbl_DimAtividade[#All],4,FALSE)),0,IF(VLOOKUP(E146,tbl_DimAtividade[#All],4,FALSE)=0,0,1))</f>
        <v/>
      </c>
    </row>
    <row r="147">
      <c r="A147" s="10" t="n">
        <v>2026</v>
      </c>
      <c r="B147" s="10" t="n">
        <v>6</v>
      </c>
      <c r="C147" s="10" t="inlineStr">
        <is>
          <t>Junho</t>
        </is>
      </c>
      <c r="D147" s="10" t="inlineStr">
        <is>
          <t>Parauapebas</t>
        </is>
      </c>
      <c r="E147" s="10" t="inlineStr">
        <is>
          <t>2.1.5</t>
        </is>
      </c>
      <c r="F147" s="10" t="inlineStr">
        <is>
          <t>Limpeza De Valeta, Sarjetas E Meio Fios</t>
        </is>
      </c>
      <c r="G147" s="10" t="inlineStr">
        <is>
          <t>M</t>
        </is>
      </c>
      <c r="H147" s="13" t="n">
        <v>2623.9</v>
      </c>
      <c r="I147" s="13" t="n">
        <v>34.07662337662338</v>
      </c>
      <c r="J147" s="13">
        <f>IFERROR(VLOOKUP(E147,tbl_DimAtividade[#All],4,FALSE),0)</f>
        <v/>
      </c>
      <c r="K147" s="13">
        <f>IF(I147=0,0,H147/I147)</f>
        <v/>
      </c>
      <c r="L147" s="14">
        <f>IF(M147=0,0,I147/J147)</f>
        <v/>
      </c>
      <c r="M147" s="15">
        <f>IF(ISERROR(VLOOKUP(E147,tbl_DimAtividade[#All],4,FALSE)),0,IF(VLOOKUP(E147,tbl_DimAtividade[#All],4,FALSE)=0,0,1))</f>
        <v/>
      </c>
    </row>
    <row r="148">
      <c r="A148" s="10" t="n">
        <v>2026</v>
      </c>
      <c r="B148" s="10" t="n">
        <v>6</v>
      </c>
      <c r="C148" s="10" t="inlineStr">
        <is>
          <t>Junho</t>
        </is>
      </c>
      <c r="D148" s="10" t="inlineStr">
        <is>
          <t>Canaã</t>
        </is>
      </c>
      <c r="E148" s="10" t="inlineStr">
        <is>
          <t>2.1.5</t>
        </is>
      </c>
      <c r="F148" s="10" t="inlineStr">
        <is>
          <t>Limpeza De Valeta, Sarjetas E Meio Fios</t>
        </is>
      </c>
      <c r="G148" s="10" t="inlineStr">
        <is>
          <t>M</t>
        </is>
      </c>
      <c r="H148" s="13" t="n">
        <v>441</v>
      </c>
      <c r="I148" s="13" t="n">
        <v>7.875</v>
      </c>
      <c r="J148" s="13">
        <f>IFERROR(VLOOKUP(E148,tbl_DimAtividade[#All],4,FALSE),0)</f>
        <v/>
      </c>
      <c r="K148" s="13">
        <f>IF(I148=0,0,H148/I148)</f>
        <v/>
      </c>
      <c r="L148" s="14">
        <f>IF(M148=0,0,I148/J148)</f>
        <v/>
      </c>
      <c r="M148" s="15">
        <f>IF(ISERROR(VLOOKUP(E148,tbl_DimAtividade[#All],4,FALSE)),0,IF(VLOOKUP(E148,tbl_DimAtividade[#All],4,FALSE)=0,0,1))</f>
        <v/>
      </c>
    </row>
    <row r="149">
      <c r="A149" s="10" t="n">
        <v>2026</v>
      </c>
      <c r="B149" s="10" t="n">
        <v>6</v>
      </c>
      <c r="C149" s="10" t="inlineStr">
        <is>
          <t>Junho</t>
        </is>
      </c>
      <c r="D149" s="10" t="inlineStr">
        <is>
          <t>Marabá</t>
        </is>
      </c>
      <c r="E149" s="10" t="inlineStr">
        <is>
          <t>2.1.6</t>
        </is>
      </c>
      <c r="F149" s="10" t="inlineStr">
        <is>
          <t>Rejuntamento De Bueiro - Estimar 20% Da Quantidade De Bueiros</t>
        </is>
      </c>
      <c r="G149" s="10" t="inlineStr">
        <is>
          <t>M³</t>
        </is>
      </c>
      <c r="H149" s="13" t="n">
        <v>0</v>
      </c>
      <c r="I149" s="13" t="n">
        <v>0</v>
      </c>
      <c r="J149" s="13">
        <f>IFERROR(VLOOKUP(E149,tbl_DimAtividade[#All],4,FALSE),0)</f>
        <v/>
      </c>
      <c r="K149" s="13">
        <f>IF(I149=0,0,H149/I149)</f>
        <v/>
      </c>
      <c r="L149" s="14">
        <f>IF(M149=0,0,I149/J149)</f>
        <v/>
      </c>
      <c r="M149" s="15">
        <f>IF(ISERROR(VLOOKUP(E149,tbl_DimAtividade[#All],4,FALSE)),0,IF(VLOOKUP(E149,tbl_DimAtividade[#All],4,FALSE)=0,0,1))</f>
        <v/>
      </c>
    </row>
    <row r="150">
      <c r="A150" s="10" t="n">
        <v>2026</v>
      </c>
      <c r="B150" s="10" t="n">
        <v>6</v>
      </c>
      <c r="C150" s="10" t="inlineStr">
        <is>
          <t>Junho</t>
        </is>
      </c>
      <c r="D150" s="10" t="inlineStr">
        <is>
          <t>Parauapebas</t>
        </is>
      </c>
      <c r="E150" s="10" t="inlineStr">
        <is>
          <t>2.1.6</t>
        </is>
      </c>
      <c r="F150" s="10" t="inlineStr">
        <is>
          <t>Rejuntamento De Bueiro - Estimar 20% Da Quantidade De Bueiros</t>
        </is>
      </c>
      <c r="G150" s="10" t="inlineStr">
        <is>
          <t>M³</t>
        </is>
      </c>
      <c r="H150" s="13" t="n">
        <v>0</v>
      </c>
      <c r="I150" s="13" t="n">
        <v>0</v>
      </c>
      <c r="J150" s="13">
        <f>IFERROR(VLOOKUP(E150,tbl_DimAtividade[#All],4,FALSE),0)</f>
        <v/>
      </c>
      <c r="K150" s="13">
        <f>IF(I150=0,0,H150/I150)</f>
        <v/>
      </c>
      <c r="L150" s="14">
        <f>IF(M150=0,0,I150/J150)</f>
        <v/>
      </c>
      <c r="M150" s="15">
        <f>IF(ISERROR(VLOOKUP(E150,tbl_DimAtividade[#All],4,FALSE)),0,IF(VLOOKUP(E150,tbl_DimAtividade[#All],4,FALSE)=0,0,1))</f>
        <v/>
      </c>
    </row>
    <row r="151">
      <c r="A151" s="10" t="n">
        <v>2026</v>
      </c>
      <c r="B151" s="10" t="n">
        <v>6</v>
      </c>
      <c r="C151" s="10" t="inlineStr">
        <is>
          <t>Junho</t>
        </is>
      </c>
      <c r="D151" s="10" t="inlineStr">
        <is>
          <t>Canaã</t>
        </is>
      </c>
      <c r="E151" s="10" t="inlineStr">
        <is>
          <t>2.1.6</t>
        </is>
      </c>
      <c r="F151" s="10" t="inlineStr">
        <is>
          <t>Rejuntamento De Bueiro - Estimar 20% Da Quantidade De Bueiros</t>
        </is>
      </c>
      <c r="G151" s="10" t="inlineStr">
        <is>
          <t>M³</t>
        </is>
      </c>
      <c r="H151" s="13" t="n">
        <v>0</v>
      </c>
      <c r="I151" s="13" t="n">
        <v>0</v>
      </c>
      <c r="J151" s="13">
        <f>IFERROR(VLOOKUP(E151,tbl_DimAtividade[#All],4,FALSE),0)</f>
        <v/>
      </c>
      <c r="K151" s="13">
        <f>IF(I151=0,0,H151/I151)</f>
        <v/>
      </c>
      <c r="L151" s="14">
        <f>IF(M151=0,0,I151/J151)</f>
        <v/>
      </c>
      <c r="M151" s="15">
        <f>IF(ISERROR(VLOOKUP(E151,tbl_DimAtividade[#All],4,FALSE)),0,IF(VLOOKUP(E151,tbl_DimAtividade[#All],4,FALSE)=0,0,1))</f>
        <v/>
      </c>
    </row>
    <row r="152">
      <c r="A152" s="10" t="n">
        <v>2026</v>
      </c>
      <c r="B152" s="10" t="n">
        <v>6</v>
      </c>
      <c r="C152" s="10" t="inlineStr">
        <is>
          <t>Junho</t>
        </is>
      </c>
      <c r="D152" s="10" t="inlineStr">
        <is>
          <t>Marabá</t>
        </is>
      </c>
      <c r="E152" s="10" t="inlineStr">
        <is>
          <t>2.1.7</t>
        </is>
      </c>
      <c r="F152" s="10" t="inlineStr">
        <is>
          <t>Recuperação De Drenagem Tipo Canaleta/Valeta Em Taludes, Limitando-Se A 100M De Extensão(M)</t>
        </is>
      </c>
      <c r="G152" s="10" t="inlineStr">
        <is>
          <t>M</t>
        </is>
      </c>
      <c r="H152" s="13" t="n">
        <v>176.1</v>
      </c>
      <c r="I152" s="13" t="n">
        <v>2.287012987012987</v>
      </c>
      <c r="J152" s="13">
        <f>IFERROR(VLOOKUP(E152,tbl_DimAtividade[#All],4,FALSE),0)</f>
        <v/>
      </c>
      <c r="K152" s="13">
        <f>IF(I152=0,0,H152/I152)</f>
        <v/>
      </c>
      <c r="L152" s="14">
        <f>IF(M152=0,0,I152/J152)</f>
        <v/>
      </c>
      <c r="M152" s="15">
        <f>IF(ISERROR(VLOOKUP(E152,tbl_DimAtividade[#All],4,FALSE)),0,IF(VLOOKUP(E152,tbl_DimAtividade[#All],4,FALSE)=0,0,1))</f>
        <v/>
      </c>
    </row>
    <row r="153">
      <c r="A153" s="10" t="n">
        <v>2026</v>
      </c>
      <c r="B153" s="10" t="n">
        <v>6</v>
      </c>
      <c r="C153" s="10" t="inlineStr">
        <is>
          <t>Junho</t>
        </is>
      </c>
      <c r="D153" s="10" t="inlineStr">
        <is>
          <t>Parauapebas</t>
        </is>
      </c>
      <c r="E153" s="10" t="inlineStr">
        <is>
          <t>2.1.7</t>
        </is>
      </c>
      <c r="F153" s="10" t="inlineStr">
        <is>
          <t>Recuperação De Drenagem Tipo Canaleta/Valeta Em Taludes, Limitando-Se A 100M De Extensão(M)</t>
        </is>
      </c>
      <c r="G153" s="10" t="inlineStr">
        <is>
          <t>M</t>
        </is>
      </c>
      <c r="H153" s="13" t="n">
        <v>0</v>
      </c>
      <c r="I153" s="13" t="n">
        <v>0</v>
      </c>
      <c r="J153" s="13">
        <f>IFERROR(VLOOKUP(E153,tbl_DimAtividade[#All],4,FALSE),0)</f>
        <v/>
      </c>
      <c r="K153" s="13">
        <f>IF(I153=0,0,H153/I153)</f>
        <v/>
      </c>
      <c r="L153" s="14">
        <f>IF(M153=0,0,I153/J153)</f>
        <v/>
      </c>
      <c r="M153" s="15">
        <f>IF(ISERROR(VLOOKUP(E153,tbl_DimAtividade[#All],4,FALSE)),0,IF(VLOOKUP(E153,tbl_DimAtividade[#All],4,FALSE)=0,0,1))</f>
        <v/>
      </c>
    </row>
    <row r="154">
      <c r="A154" s="10" t="n">
        <v>2026</v>
      </c>
      <c r="B154" s="10" t="n">
        <v>6</v>
      </c>
      <c r="C154" s="10" t="inlineStr">
        <is>
          <t>Junho</t>
        </is>
      </c>
      <c r="D154" s="10" t="inlineStr">
        <is>
          <t>Canaã</t>
        </is>
      </c>
      <c r="E154" s="10" t="inlineStr">
        <is>
          <t>2.1.7</t>
        </is>
      </c>
      <c r="F154" s="10" t="inlineStr">
        <is>
          <t>Recuperação De Drenagem Tipo Canaleta/Valeta Em Taludes, Limitando-Se A 100M De Extensão(M)</t>
        </is>
      </c>
      <c r="G154" s="10" t="inlineStr">
        <is>
          <t>M</t>
        </is>
      </c>
      <c r="H154" s="13" t="n">
        <v>6.5</v>
      </c>
      <c r="I154" s="13" t="n">
        <v>0.1160714285714286</v>
      </c>
      <c r="J154" s="13">
        <f>IFERROR(VLOOKUP(E154,tbl_DimAtividade[#All],4,FALSE),0)</f>
        <v/>
      </c>
      <c r="K154" s="13">
        <f>IF(I154=0,0,H154/I154)</f>
        <v/>
      </c>
      <c r="L154" s="14">
        <f>IF(M154=0,0,I154/J154)</f>
        <v/>
      </c>
      <c r="M154" s="15">
        <f>IF(ISERROR(VLOOKUP(E154,tbl_DimAtividade[#All],4,FALSE)),0,IF(VLOOKUP(E154,tbl_DimAtividade[#All],4,FALSE)=0,0,1))</f>
        <v/>
      </c>
    </row>
    <row r="155">
      <c r="A155" s="10" t="n">
        <v>2026</v>
      </c>
      <c r="B155" s="10" t="n">
        <v>6</v>
      </c>
      <c r="C155" s="10" t="inlineStr">
        <is>
          <t>Junho</t>
        </is>
      </c>
      <c r="D155" s="10" t="inlineStr">
        <is>
          <t>Marabá</t>
        </is>
      </c>
      <c r="E155" s="10" t="inlineStr">
        <is>
          <t>2.1.8</t>
        </is>
      </c>
      <c r="F155" s="10" t="inlineStr">
        <is>
          <t>Recuperação De Drenagem Tipo Sarjeta/Meio-Fio Em Plataforma, Limitando- Se A 100M De Extensão</t>
        </is>
      </c>
      <c r="G155" s="10" t="inlineStr">
        <is>
          <t>M</t>
        </is>
      </c>
      <c r="H155" s="13" t="n">
        <v>687.1</v>
      </c>
      <c r="I155" s="13" t="n">
        <v>8.923376623376624</v>
      </c>
      <c r="J155" s="13">
        <f>IFERROR(VLOOKUP(E155,tbl_DimAtividade[#All],4,FALSE),0)</f>
        <v/>
      </c>
      <c r="K155" s="13">
        <f>IF(I155=0,0,H155/I155)</f>
        <v/>
      </c>
      <c r="L155" s="14">
        <f>IF(M155=0,0,I155/J155)</f>
        <v/>
      </c>
      <c r="M155" s="15">
        <f>IF(ISERROR(VLOOKUP(E155,tbl_DimAtividade[#All],4,FALSE)),0,IF(VLOOKUP(E155,tbl_DimAtividade[#All],4,FALSE)=0,0,1))</f>
        <v/>
      </c>
    </row>
    <row r="156">
      <c r="A156" s="10" t="n">
        <v>2026</v>
      </c>
      <c r="B156" s="10" t="n">
        <v>6</v>
      </c>
      <c r="C156" s="10" t="inlineStr">
        <is>
          <t>Junho</t>
        </is>
      </c>
      <c r="D156" s="10" t="inlineStr">
        <is>
          <t>Parauapebas</t>
        </is>
      </c>
      <c r="E156" s="10" t="inlineStr">
        <is>
          <t>2.1.8</t>
        </is>
      </c>
      <c r="F156" s="10" t="inlineStr">
        <is>
          <t>Recuperação De Drenagem Tipo Sarjeta/Meio-Fio Em Plataforma, Limitando- Se A 100M De Extensão</t>
        </is>
      </c>
      <c r="G156" s="10" t="inlineStr">
        <is>
          <t>M</t>
        </is>
      </c>
      <c r="H156" s="13" t="n">
        <v>22.4</v>
      </c>
      <c r="I156" s="13" t="n">
        <v>0.2909090909090909</v>
      </c>
      <c r="J156" s="13">
        <f>IFERROR(VLOOKUP(E156,tbl_DimAtividade[#All],4,FALSE),0)</f>
        <v/>
      </c>
      <c r="K156" s="13">
        <f>IF(I156=0,0,H156/I156)</f>
        <v/>
      </c>
      <c r="L156" s="14">
        <f>IF(M156=0,0,I156/J156)</f>
        <v/>
      </c>
      <c r="M156" s="15">
        <f>IF(ISERROR(VLOOKUP(E156,tbl_DimAtividade[#All],4,FALSE)),0,IF(VLOOKUP(E156,tbl_DimAtividade[#All],4,FALSE)=0,0,1))</f>
        <v/>
      </c>
    </row>
    <row r="157">
      <c r="A157" s="10" t="n">
        <v>2026</v>
      </c>
      <c r="B157" s="10" t="n">
        <v>6</v>
      </c>
      <c r="C157" s="10" t="inlineStr">
        <is>
          <t>Junho</t>
        </is>
      </c>
      <c r="D157" s="10" t="inlineStr">
        <is>
          <t>Canaã</t>
        </is>
      </c>
      <c r="E157" s="10" t="inlineStr">
        <is>
          <t>2.1.8</t>
        </is>
      </c>
      <c r="F157" s="10" t="inlineStr">
        <is>
          <t>Recuperação De Drenagem Tipo Sarjeta/Meio-Fio Em Plataforma, Limitando- Se A 100M De Extensão</t>
        </is>
      </c>
      <c r="G157" s="10" t="inlineStr">
        <is>
          <t>M</t>
        </is>
      </c>
      <c r="H157" s="13" t="n">
        <v>0</v>
      </c>
      <c r="I157" s="13" t="n">
        <v>0</v>
      </c>
      <c r="J157" s="13">
        <f>IFERROR(VLOOKUP(E157,tbl_DimAtividade[#All],4,FALSE),0)</f>
        <v/>
      </c>
      <c r="K157" s="13">
        <f>IF(I157=0,0,H157/I157)</f>
        <v/>
      </c>
      <c r="L157" s="14">
        <f>IF(M157=0,0,I157/J157)</f>
        <v/>
      </c>
      <c r="M157" s="15">
        <f>IF(ISERROR(VLOOKUP(E157,tbl_DimAtividade[#All],4,FALSE)),0,IF(VLOOKUP(E157,tbl_DimAtividade[#All],4,FALSE)=0,0,1))</f>
        <v/>
      </c>
    </row>
    <row r="158">
      <c r="A158" s="10" t="n">
        <v>2026</v>
      </c>
      <c r="B158" s="10" t="n">
        <v>6</v>
      </c>
      <c r="C158" s="10" t="inlineStr">
        <is>
          <t>Junho</t>
        </is>
      </c>
      <c r="D158" s="10" t="inlineStr">
        <is>
          <t>Marabá</t>
        </is>
      </c>
      <c r="E158" s="10" t="inlineStr">
        <is>
          <t>2.2.1</t>
        </is>
      </c>
      <c r="F158" s="10" t="inlineStr">
        <is>
          <t>Roçada  (M²)</t>
        </is>
      </c>
      <c r="G158" s="10" t="inlineStr">
        <is>
          <t>M²</t>
        </is>
      </c>
      <c r="H158" s="13" t="n">
        <v>29575.78</v>
      </c>
      <c r="I158" s="13" t="n">
        <v>384.101038961039</v>
      </c>
      <c r="J158" s="13">
        <f>IFERROR(VLOOKUP(E158,tbl_DimAtividade[#All],4,FALSE),0)</f>
        <v/>
      </c>
      <c r="K158" s="13">
        <f>IF(I158=0,0,H158/I158)</f>
        <v/>
      </c>
      <c r="L158" s="14">
        <f>IF(M158=0,0,I158/J158)</f>
        <v/>
      </c>
      <c r="M158" s="15">
        <f>IF(ISERROR(VLOOKUP(E158,tbl_DimAtividade[#All],4,FALSE)),0,IF(VLOOKUP(E158,tbl_DimAtividade[#All],4,FALSE)=0,0,1))</f>
        <v/>
      </c>
    </row>
    <row r="159">
      <c r="A159" s="10" t="n">
        <v>2026</v>
      </c>
      <c r="B159" s="10" t="n">
        <v>6</v>
      </c>
      <c r="C159" s="10" t="inlineStr">
        <is>
          <t>Junho</t>
        </is>
      </c>
      <c r="D159" s="10" t="inlineStr">
        <is>
          <t>Parauapebas</t>
        </is>
      </c>
      <c r="E159" s="10" t="inlineStr">
        <is>
          <t>2.2.1</t>
        </is>
      </c>
      <c r="F159" s="10" t="inlineStr">
        <is>
          <t>Roçada  (M²)</t>
        </is>
      </c>
      <c r="G159" s="10" t="inlineStr">
        <is>
          <t>M²</t>
        </is>
      </c>
      <c r="H159" s="13" t="n">
        <v>72847.09000000001</v>
      </c>
      <c r="I159" s="13" t="n">
        <v>946.0661038961041</v>
      </c>
      <c r="J159" s="13">
        <f>IFERROR(VLOOKUP(E159,tbl_DimAtividade[#All],4,FALSE),0)</f>
        <v/>
      </c>
      <c r="K159" s="13">
        <f>IF(I159=0,0,H159/I159)</f>
        <v/>
      </c>
      <c r="L159" s="14">
        <f>IF(M159=0,0,I159/J159)</f>
        <v/>
      </c>
      <c r="M159" s="15">
        <f>IF(ISERROR(VLOOKUP(E159,tbl_DimAtividade[#All],4,FALSE)),0,IF(VLOOKUP(E159,tbl_DimAtividade[#All],4,FALSE)=0,0,1))</f>
        <v/>
      </c>
    </row>
    <row r="160">
      <c r="A160" s="10" t="n">
        <v>2026</v>
      </c>
      <c r="B160" s="10" t="n">
        <v>6</v>
      </c>
      <c r="C160" s="10" t="inlineStr">
        <is>
          <t>Junho</t>
        </is>
      </c>
      <c r="D160" s="10" t="inlineStr">
        <is>
          <t>Canaã</t>
        </is>
      </c>
      <c r="E160" s="10" t="inlineStr">
        <is>
          <t>2.2.1</t>
        </is>
      </c>
      <c r="F160" s="10" t="inlineStr">
        <is>
          <t>Roçada  (M²)</t>
        </is>
      </c>
      <c r="G160" s="10" t="inlineStr">
        <is>
          <t>M²</t>
        </is>
      </c>
      <c r="H160" s="13" t="n">
        <v>40181.4</v>
      </c>
      <c r="I160" s="13" t="n">
        <v>717.525</v>
      </c>
      <c r="J160" s="13">
        <f>IFERROR(VLOOKUP(E160,tbl_DimAtividade[#All],4,FALSE),0)</f>
        <v/>
      </c>
      <c r="K160" s="13">
        <f>IF(I160=0,0,H160/I160)</f>
        <v/>
      </c>
      <c r="L160" s="14">
        <f>IF(M160=0,0,I160/J160)</f>
        <v/>
      </c>
      <c r="M160" s="15">
        <f>IF(ISERROR(VLOOKUP(E160,tbl_DimAtividade[#All],4,FALSE)),0,IF(VLOOKUP(E160,tbl_DimAtividade[#All],4,FALSE)=0,0,1))</f>
        <v/>
      </c>
    </row>
    <row r="161">
      <c r="A161" s="10" t="n">
        <v>2026</v>
      </c>
      <c r="B161" s="10" t="n">
        <v>6</v>
      </c>
      <c r="C161" s="10" t="inlineStr">
        <is>
          <t>Junho</t>
        </is>
      </c>
      <c r="D161" s="10" t="inlineStr">
        <is>
          <t>Marabá</t>
        </is>
      </c>
      <c r="E161" s="10" t="inlineStr">
        <is>
          <t>2.2.2</t>
        </is>
      </c>
      <c r="F161" s="10" t="inlineStr">
        <is>
          <t>Capina</t>
        </is>
      </c>
      <c r="G161" s="10" t="inlineStr">
        <is>
          <t>M²</t>
        </is>
      </c>
      <c r="H161" s="13" t="n">
        <v>0</v>
      </c>
      <c r="I161" s="13" t="n">
        <v>0</v>
      </c>
      <c r="J161" s="13">
        <f>IFERROR(VLOOKUP(E161,tbl_DimAtividade[#All],4,FALSE),0)</f>
        <v/>
      </c>
      <c r="K161" s="13">
        <f>IF(I161=0,0,H161/I161)</f>
        <v/>
      </c>
      <c r="L161" s="14">
        <f>IF(M161=0,0,I161/J161)</f>
        <v/>
      </c>
      <c r="M161" s="15">
        <f>IF(ISERROR(VLOOKUP(E161,tbl_DimAtividade[#All],4,FALSE)),0,IF(VLOOKUP(E161,tbl_DimAtividade[#All],4,FALSE)=0,0,1))</f>
        <v/>
      </c>
    </row>
    <row r="162">
      <c r="A162" s="10" t="n">
        <v>2026</v>
      </c>
      <c r="B162" s="10" t="n">
        <v>6</v>
      </c>
      <c r="C162" s="10" t="inlineStr">
        <is>
          <t>Junho</t>
        </is>
      </c>
      <c r="D162" s="10" t="inlineStr">
        <is>
          <t>Parauapebas</t>
        </is>
      </c>
      <c r="E162" s="10" t="inlineStr">
        <is>
          <t>2.2.2</t>
        </is>
      </c>
      <c r="F162" s="10" t="inlineStr">
        <is>
          <t>Capina</t>
        </is>
      </c>
      <c r="G162" s="10" t="inlineStr">
        <is>
          <t>M²</t>
        </is>
      </c>
      <c r="H162" s="13" t="n">
        <v>0</v>
      </c>
      <c r="I162" s="13" t="n">
        <v>0</v>
      </c>
      <c r="J162" s="13">
        <f>IFERROR(VLOOKUP(E162,tbl_DimAtividade[#All],4,FALSE),0)</f>
        <v/>
      </c>
      <c r="K162" s="13">
        <f>IF(I162=0,0,H162/I162)</f>
        <v/>
      </c>
      <c r="L162" s="14">
        <f>IF(M162=0,0,I162/J162)</f>
        <v/>
      </c>
      <c r="M162" s="15">
        <f>IF(ISERROR(VLOOKUP(E162,tbl_DimAtividade[#All],4,FALSE)),0,IF(VLOOKUP(E162,tbl_DimAtividade[#All],4,FALSE)=0,0,1))</f>
        <v/>
      </c>
    </row>
    <row r="163">
      <c r="A163" s="10" t="n">
        <v>2026</v>
      </c>
      <c r="B163" s="10" t="n">
        <v>6</v>
      </c>
      <c r="C163" s="10" t="inlineStr">
        <is>
          <t>Junho</t>
        </is>
      </c>
      <c r="D163" s="10" t="inlineStr">
        <is>
          <t>Canaã</t>
        </is>
      </c>
      <c r="E163" s="10" t="inlineStr">
        <is>
          <t>2.2.2</t>
        </is>
      </c>
      <c r="F163" s="10" t="inlineStr">
        <is>
          <t>Capina</t>
        </is>
      </c>
      <c r="G163" s="10" t="inlineStr">
        <is>
          <t>M²</t>
        </is>
      </c>
      <c r="H163" s="13" t="n">
        <v>0</v>
      </c>
      <c r="I163" s="13" t="n">
        <v>0</v>
      </c>
      <c r="J163" s="13">
        <f>IFERROR(VLOOKUP(E163,tbl_DimAtividade[#All],4,FALSE),0)</f>
        <v/>
      </c>
      <c r="K163" s="13">
        <f>IF(I163=0,0,H163/I163)</f>
        <v/>
      </c>
      <c r="L163" s="14">
        <f>IF(M163=0,0,I163/J163)</f>
        <v/>
      </c>
      <c r="M163" s="15">
        <f>IF(ISERROR(VLOOKUP(E163,tbl_DimAtividade[#All],4,FALSE)),0,IF(VLOOKUP(E163,tbl_DimAtividade[#All],4,FALSE)=0,0,1))</f>
        <v/>
      </c>
    </row>
    <row r="164">
      <c r="A164" s="10" t="n">
        <v>2026</v>
      </c>
      <c r="B164" s="10" t="n">
        <v>6</v>
      </c>
      <c r="C164" s="10" t="inlineStr">
        <is>
          <t>Junho</t>
        </is>
      </c>
      <c r="D164" s="10" t="inlineStr">
        <is>
          <t>Marabá</t>
        </is>
      </c>
      <c r="E164" s="10" t="inlineStr">
        <is>
          <t>2.2.3</t>
        </is>
      </c>
      <c r="F164" s="10" t="inlineStr">
        <is>
          <t>Capina Química Com Equipamento Costal Ou Aplicação Similar</t>
        </is>
      </c>
      <c r="G164" s="10" t="inlineStr">
        <is>
          <t>M²</t>
        </is>
      </c>
      <c r="H164" s="13" t="n">
        <v>0</v>
      </c>
      <c r="I164" s="13" t="n">
        <v>0</v>
      </c>
      <c r="J164" s="13">
        <f>IFERROR(VLOOKUP(E164,tbl_DimAtividade[#All],4,FALSE),0)</f>
        <v/>
      </c>
      <c r="K164" s="13">
        <f>IF(I164=0,0,H164/I164)</f>
        <v/>
      </c>
      <c r="L164" s="14">
        <f>IF(M164=0,0,I164/J164)</f>
        <v/>
      </c>
      <c r="M164" s="15">
        <f>IF(ISERROR(VLOOKUP(E164,tbl_DimAtividade[#All],4,FALSE)),0,IF(VLOOKUP(E164,tbl_DimAtividade[#All],4,FALSE)=0,0,1))</f>
        <v/>
      </c>
    </row>
    <row r="165">
      <c r="A165" s="10" t="n">
        <v>2026</v>
      </c>
      <c r="B165" s="10" t="n">
        <v>6</v>
      </c>
      <c r="C165" s="10" t="inlineStr">
        <is>
          <t>Junho</t>
        </is>
      </c>
      <c r="D165" s="10" t="inlineStr">
        <is>
          <t>Parauapebas</t>
        </is>
      </c>
      <c r="E165" s="10" t="inlineStr">
        <is>
          <t>2.2.3</t>
        </is>
      </c>
      <c r="F165" s="10" t="inlineStr">
        <is>
          <t>Capina Química Com Equipamento Costal Ou Aplicação Similar</t>
        </is>
      </c>
      <c r="G165" s="10" t="inlineStr">
        <is>
          <t>M²</t>
        </is>
      </c>
      <c r="H165" s="13" t="n">
        <v>0</v>
      </c>
      <c r="I165" s="13" t="n">
        <v>0</v>
      </c>
      <c r="J165" s="13">
        <f>IFERROR(VLOOKUP(E165,tbl_DimAtividade[#All],4,FALSE),0)</f>
        <v/>
      </c>
      <c r="K165" s="13">
        <f>IF(I165=0,0,H165/I165)</f>
        <v/>
      </c>
      <c r="L165" s="14">
        <f>IF(M165=0,0,I165/J165)</f>
        <v/>
      </c>
      <c r="M165" s="15">
        <f>IF(ISERROR(VLOOKUP(E165,tbl_DimAtividade[#All],4,FALSE)),0,IF(VLOOKUP(E165,tbl_DimAtividade[#All],4,FALSE)=0,0,1))</f>
        <v/>
      </c>
    </row>
    <row r="166">
      <c r="A166" s="10" t="n">
        <v>2026</v>
      </c>
      <c r="B166" s="10" t="n">
        <v>6</v>
      </c>
      <c r="C166" s="10" t="inlineStr">
        <is>
          <t>Junho</t>
        </is>
      </c>
      <c r="D166" s="10" t="inlineStr">
        <is>
          <t>Canaã</t>
        </is>
      </c>
      <c r="E166" s="10" t="inlineStr">
        <is>
          <t>2.2.3</t>
        </is>
      </c>
      <c r="F166" s="10" t="inlineStr">
        <is>
          <t>Capina Química Com Equipamento Costal Ou Aplicação Similar</t>
        </is>
      </c>
      <c r="G166" s="10" t="inlineStr">
        <is>
          <t>M²</t>
        </is>
      </c>
      <c r="H166" s="13" t="n">
        <v>0</v>
      </c>
      <c r="I166" s="13" t="n">
        <v>0</v>
      </c>
      <c r="J166" s="13">
        <f>IFERROR(VLOOKUP(E166,tbl_DimAtividade[#All],4,FALSE),0)</f>
        <v/>
      </c>
      <c r="K166" s="13">
        <f>IF(I166=0,0,H166/I166)</f>
        <v/>
      </c>
      <c r="L166" s="14">
        <f>IF(M166=0,0,I166/J166)</f>
        <v/>
      </c>
      <c r="M166" s="15">
        <f>IF(ISERROR(VLOOKUP(E166,tbl_DimAtividade[#All],4,FALSE)),0,IF(VLOOKUP(E166,tbl_DimAtividade[#All],4,FALSE)=0,0,1))</f>
        <v/>
      </c>
    </row>
    <row r="167">
      <c r="A167" s="10" t="n">
        <v>2026</v>
      </c>
      <c r="B167" s="10" t="n">
        <v>6</v>
      </c>
      <c r="C167" s="10" t="inlineStr">
        <is>
          <t>Junho</t>
        </is>
      </c>
      <c r="D167" s="10" t="inlineStr">
        <is>
          <t>Marabá</t>
        </is>
      </c>
      <c r="E167" s="10" t="inlineStr">
        <is>
          <t>2.2.4</t>
        </is>
      </c>
      <c r="F167" s="10" t="inlineStr">
        <is>
          <t>Capina Química Com Uso De Drone</t>
        </is>
      </c>
      <c r="G167" s="10" t="inlineStr">
        <is>
          <t>M²</t>
        </is>
      </c>
      <c r="H167" s="13" t="n">
        <v>0</v>
      </c>
      <c r="I167" s="13" t="n">
        <v>0</v>
      </c>
      <c r="J167" s="13">
        <f>IFERROR(VLOOKUP(E167,tbl_DimAtividade[#All],4,FALSE),0)</f>
        <v/>
      </c>
      <c r="K167" s="13">
        <f>IF(I167=0,0,H167/I167)</f>
        <v/>
      </c>
      <c r="L167" s="14">
        <f>IF(M167=0,0,I167/J167)</f>
        <v/>
      </c>
      <c r="M167" s="15">
        <f>IF(ISERROR(VLOOKUP(E167,tbl_DimAtividade[#All],4,FALSE)),0,IF(VLOOKUP(E167,tbl_DimAtividade[#All],4,FALSE)=0,0,1))</f>
        <v/>
      </c>
    </row>
    <row r="168">
      <c r="A168" s="10" t="n">
        <v>2026</v>
      </c>
      <c r="B168" s="10" t="n">
        <v>6</v>
      </c>
      <c r="C168" s="10" t="inlineStr">
        <is>
          <t>Junho</t>
        </is>
      </c>
      <c r="D168" s="10" t="inlineStr">
        <is>
          <t>Parauapebas</t>
        </is>
      </c>
      <c r="E168" s="10" t="inlineStr">
        <is>
          <t>2.2.4</t>
        </is>
      </c>
      <c r="F168" s="10" t="inlineStr">
        <is>
          <t>Capina Química Com Uso De Drone</t>
        </is>
      </c>
      <c r="G168" s="10" t="inlineStr">
        <is>
          <t>M²</t>
        </is>
      </c>
      <c r="H168" s="13" t="n">
        <v>0</v>
      </c>
      <c r="I168" s="13" t="n">
        <v>0</v>
      </c>
      <c r="J168" s="13">
        <f>IFERROR(VLOOKUP(E168,tbl_DimAtividade[#All],4,FALSE),0)</f>
        <v/>
      </c>
      <c r="K168" s="13">
        <f>IF(I168=0,0,H168/I168)</f>
        <v/>
      </c>
      <c r="L168" s="14">
        <f>IF(M168=0,0,I168/J168)</f>
        <v/>
      </c>
      <c r="M168" s="15">
        <f>IF(ISERROR(VLOOKUP(E168,tbl_DimAtividade[#All],4,FALSE)),0,IF(VLOOKUP(E168,tbl_DimAtividade[#All],4,FALSE)=0,0,1))</f>
        <v/>
      </c>
    </row>
    <row r="169">
      <c r="A169" s="10" t="n">
        <v>2026</v>
      </c>
      <c r="B169" s="10" t="n">
        <v>6</v>
      </c>
      <c r="C169" s="10" t="inlineStr">
        <is>
          <t>Junho</t>
        </is>
      </c>
      <c r="D169" s="10" t="inlineStr">
        <is>
          <t>Canaã</t>
        </is>
      </c>
      <c r="E169" s="10" t="inlineStr">
        <is>
          <t>2.2.4</t>
        </is>
      </c>
      <c r="F169" s="10" t="inlineStr">
        <is>
          <t>Capina Química Com Uso De Drone</t>
        </is>
      </c>
      <c r="G169" s="10" t="inlineStr">
        <is>
          <t>M²</t>
        </is>
      </c>
      <c r="H169" s="13" t="n">
        <v>0</v>
      </c>
      <c r="I169" s="13" t="n">
        <v>0</v>
      </c>
      <c r="J169" s="13">
        <f>IFERROR(VLOOKUP(E169,tbl_DimAtividade[#All],4,FALSE),0)</f>
        <v/>
      </c>
      <c r="K169" s="13">
        <f>IF(I169=0,0,H169/I169)</f>
        <v/>
      </c>
      <c r="L169" s="14">
        <f>IF(M169=0,0,I169/J169)</f>
        <v/>
      </c>
      <c r="M169" s="15">
        <f>IF(ISERROR(VLOOKUP(E169,tbl_DimAtividade[#All],4,FALSE)),0,IF(VLOOKUP(E169,tbl_DimAtividade[#All],4,FALSE)=0,0,1))</f>
        <v/>
      </c>
    </row>
    <row r="170">
      <c r="A170" s="10" t="n">
        <v>2026</v>
      </c>
      <c r="B170" s="10" t="n">
        <v>6</v>
      </c>
      <c r="C170" s="10" t="inlineStr">
        <is>
          <t>Junho</t>
        </is>
      </c>
      <c r="D170" s="10" t="inlineStr">
        <is>
          <t>Marabá</t>
        </is>
      </c>
      <c r="E170" s="10" t="inlineStr">
        <is>
          <t>2.2.5</t>
        </is>
      </c>
      <c r="F170" s="10" t="inlineStr">
        <is>
          <t>Remoção De Solo</t>
        </is>
      </c>
      <c r="G170" s="10" t="inlineStr">
        <is>
          <t>M³</t>
        </is>
      </c>
      <c r="H170" s="13" t="n">
        <v>0</v>
      </c>
      <c r="I170" s="13" t="n">
        <v>0</v>
      </c>
      <c r="J170" s="13">
        <f>IFERROR(VLOOKUP(E170,tbl_DimAtividade[#All],4,FALSE),0)</f>
        <v/>
      </c>
      <c r="K170" s="13">
        <f>IF(I170=0,0,H170/I170)</f>
        <v/>
      </c>
      <c r="L170" s="14">
        <f>IF(M170=0,0,I170/J170)</f>
        <v/>
      </c>
      <c r="M170" s="15">
        <f>IF(ISERROR(VLOOKUP(E170,tbl_DimAtividade[#All],4,FALSE)),0,IF(VLOOKUP(E170,tbl_DimAtividade[#All],4,FALSE)=0,0,1))</f>
        <v/>
      </c>
    </row>
    <row r="171">
      <c r="A171" s="10" t="n">
        <v>2026</v>
      </c>
      <c r="B171" s="10" t="n">
        <v>6</v>
      </c>
      <c r="C171" s="10" t="inlineStr">
        <is>
          <t>Junho</t>
        </is>
      </c>
      <c r="D171" s="10" t="inlineStr">
        <is>
          <t>Parauapebas</t>
        </is>
      </c>
      <c r="E171" s="10" t="inlineStr">
        <is>
          <t>2.2.5</t>
        </is>
      </c>
      <c r="F171" s="10" t="inlineStr">
        <is>
          <t>Remoção De Solo</t>
        </is>
      </c>
      <c r="G171" s="10" t="inlineStr">
        <is>
          <t>M³</t>
        </is>
      </c>
      <c r="H171" s="13" t="n">
        <v>0</v>
      </c>
      <c r="I171" s="13" t="n">
        <v>0</v>
      </c>
      <c r="J171" s="13">
        <f>IFERROR(VLOOKUP(E171,tbl_DimAtividade[#All],4,FALSE),0)</f>
        <v/>
      </c>
      <c r="K171" s="13">
        <f>IF(I171=0,0,H171/I171)</f>
        <v/>
      </c>
      <c r="L171" s="14">
        <f>IF(M171=0,0,I171/J171)</f>
        <v/>
      </c>
      <c r="M171" s="15">
        <f>IF(ISERROR(VLOOKUP(E171,tbl_DimAtividade[#All],4,FALSE)),0,IF(VLOOKUP(E171,tbl_DimAtividade[#All],4,FALSE)=0,0,1))</f>
        <v/>
      </c>
    </row>
    <row r="172">
      <c r="A172" s="10" t="n">
        <v>2026</v>
      </c>
      <c r="B172" s="10" t="n">
        <v>6</v>
      </c>
      <c r="C172" s="10" t="inlineStr">
        <is>
          <t>Junho</t>
        </is>
      </c>
      <c r="D172" s="10" t="inlineStr">
        <is>
          <t>Canaã</t>
        </is>
      </c>
      <c r="E172" s="10" t="inlineStr">
        <is>
          <t>2.2.5</t>
        </is>
      </c>
      <c r="F172" s="10" t="inlineStr">
        <is>
          <t>Remoção De Solo</t>
        </is>
      </c>
      <c r="G172" s="10" t="inlineStr">
        <is>
          <t>M³</t>
        </is>
      </c>
      <c r="H172" s="13" t="n">
        <v>152.2</v>
      </c>
      <c r="I172" s="13" t="n">
        <v>2.717857142857143</v>
      </c>
      <c r="J172" s="13">
        <f>IFERROR(VLOOKUP(E172,tbl_DimAtividade[#All],4,FALSE),0)</f>
        <v/>
      </c>
      <c r="K172" s="13">
        <f>IF(I172=0,0,H172/I172)</f>
        <v/>
      </c>
      <c r="L172" s="14">
        <f>IF(M172=0,0,I172/J172)</f>
        <v/>
      </c>
      <c r="M172" s="15">
        <f>IF(ISERROR(VLOOKUP(E172,tbl_DimAtividade[#All],4,FALSE)),0,IF(VLOOKUP(E172,tbl_DimAtividade[#All],4,FALSE)=0,0,1))</f>
        <v/>
      </c>
    </row>
    <row r="173">
      <c r="A173" s="10" t="n">
        <v>2026</v>
      </c>
      <c r="B173" s="10" t="n">
        <v>6</v>
      </c>
      <c r="C173" s="10" t="inlineStr">
        <is>
          <t>Junho</t>
        </is>
      </c>
      <c r="D173" s="10" t="inlineStr">
        <is>
          <t>Marabá</t>
        </is>
      </c>
      <c r="E173" s="10" t="inlineStr">
        <is>
          <t>2.2.6</t>
        </is>
      </c>
      <c r="F173" s="10" t="inlineStr">
        <is>
          <t>Poda De Árvores Com Auxilio De Equipamentos De Grande Porte Fornecido Pela Vale, Quando Necessário (Plataformas Elevatórias, Caminhões Sky E Outros)</t>
        </is>
      </c>
      <c r="G173" s="10" t="inlineStr">
        <is>
          <t>M²</t>
        </is>
      </c>
      <c r="H173" s="13" t="n">
        <v>0</v>
      </c>
      <c r="I173" s="13" t="n">
        <v>0</v>
      </c>
      <c r="J173" s="13">
        <f>IFERROR(VLOOKUP(E173,tbl_DimAtividade[#All],4,FALSE),0)</f>
        <v/>
      </c>
      <c r="K173" s="13">
        <f>IF(I173=0,0,H173/I173)</f>
        <v/>
      </c>
      <c r="L173" s="14">
        <f>IF(M173=0,0,I173/J173)</f>
        <v/>
      </c>
      <c r="M173" s="15">
        <f>IF(ISERROR(VLOOKUP(E173,tbl_DimAtividade[#All],4,FALSE)),0,IF(VLOOKUP(E173,tbl_DimAtividade[#All],4,FALSE)=0,0,1))</f>
        <v/>
      </c>
    </row>
    <row r="174">
      <c r="A174" s="10" t="n">
        <v>2026</v>
      </c>
      <c r="B174" s="10" t="n">
        <v>6</v>
      </c>
      <c r="C174" s="10" t="inlineStr">
        <is>
          <t>Junho</t>
        </is>
      </c>
      <c r="D174" s="10" t="inlineStr">
        <is>
          <t>Parauapebas</t>
        </is>
      </c>
      <c r="E174" s="10" t="inlineStr">
        <is>
          <t>2.2.6</t>
        </is>
      </c>
      <c r="F174" s="10" t="inlineStr">
        <is>
          <t>Poda De Árvores Com Auxilio De Equipamentos De Grande Porte Fornecido Pela Vale, Quando Necessário (Plataformas Elevatórias, Caminhões Sky E Outros)</t>
        </is>
      </c>
      <c r="G174" s="10" t="inlineStr">
        <is>
          <t>M²</t>
        </is>
      </c>
      <c r="H174" s="13" t="n">
        <v>0</v>
      </c>
      <c r="I174" s="13" t="n">
        <v>0</v>
      </c>
      <c r="J174" s="13">
        <f>IFERROR(VLOOKUP(E174,tbl_DimAtividade[#All],4,FALSE),0)</f>
        <v/>
      </c>
      <c r="K174" s="13">
        <f>IF(I174=0,0,H174/I174)</f>
        <v/>
      </c>
      <c r="L174" s="14">
        <f>IF(M174=0,0,I174/J174)</f>
        <v/>
      </c>
      <c r="M174" s="15">
        <f>IF(ISERROR(VLOOKUP(E174,tbl_DimAtividade[#All],4,FALSE)),0,IF(VLOOKUP(E174,tbl_DimAtividade[#All],4,FALSE)=0,0,1))</f>
        <v/>
      </c>
    </row>
    <row r="175">
      <c r="A175" s="10" t="n">
        <v>2026</v>
      </c>
      <c r="B175" s="10" t="n">
        <v>6</v>
      </c>
      <c r="C175" s="10" t="inlineStr">
        <is>
          <t>Junho</t>
        </is>
      </c>
      <c r="D175" s="10" t="inlineStr">
        <is>
          <t>Canaã</t>
        </is>
      </c>
      <c r="E175" s="10" t="inlineStr">
        <is>
          <t>2.2.6</t>
        </is>
      </c>
      <c r="F175" s="10" t="inlineStr">
        <is>
          <t>Poda De Árvores Com Auxilio De Equipamentos De Grande Porte Fornecido Pela Vale, Quando Necessário (Plataformas Elevatórias, Caminhões Sky E Outros)</t>
        </is>
      </c>
      <c r="G175" s="10" t="inlineStr">
        <is>
          <t>M²</t>
        </is>
      </c>
      <c r="H175" s="13" t="n">
        <v>0</v>
      </c>
      <c r="I175" s="13" t="n">
        <v>0</v>
      </c>
      <c r="J175" s="13">
        <f>IFERROR(VLOOKUP(E175,tbl_DimAtividade[#All],4,FALSE),0)</f>
        <v/>
      </c>
      <c r="K175" s="13">
        <f>IF(I175=0,0,H175/I175)</f>
        <v/>
      </c>
      <c r="L175" s="14">
        <f>IF(M175=0,0,I175/J175)</f>
        <v/>
      </c>
      <c r="M175" s="15">
        <f>IF(ISERROR(VLOOKUP(E175,tbl_DimAtividade[#All],4,FALSE)),0,IF(VLOOKUP(E175,tbl_DimAtividade[#All],4,FALSE)=0,0,1))</f>
        <v/>
      </c>
    </row>
    <row r="176">
      <c r="A176" s="10" t="n">
        <v>2026</v>
      </c>
      <c r="B176" s="10" t="n">
        <v>6</v>
      </c>
      <c r="C176" s="10" t="inlineStr">
        <is>
          <t>Junho</t>
        </is>
      </c>
      <c r="D176" s="10" t="inlineStr">
        <is>
          <t>Marabá</t>
        </is>
      </c>
      <c r="E176" s="10" t="inlineStr">
        <is>
          <t>2.2.7</t>
        </is>
      </c>
      <c r="F176" s="10" t="inlineStr">
        <is>
          <t>Poda De Árvores Com Auxilio De Equipamentos De Grande Porte Fornecido Pela Contratada (M²)</t>
        </is>
      </c>
      <c r="G176" s="10" t="inlineStr">
        <is>
          <t>M²</t>
        </is>
      </c>
      <c r="H176" s="13" t="n">
        <v>0</v>
      </c>
      <c r="I176" s="13" t="n">
        <v>0</v>
      </c>
      <c r="J176" s="13">
        <f>IFERROR(VLOOKUP(E176,tbl_DimAtividade[#All],4,FALSE),0)</f>
        <v/>
      </c>
      <c r="K176" s="13">
        <f>IF(I176=0,0,H176/I176)</f>
        <v/>
      </c>
      <c r="L176" s="14">
        <f>IF(M176=0,0,I176/J176)</f>
        <v/>
      </c>
      <c r="M176" s="15">
        <f>IF(ISERROR(VLOOKUP(E176,tbl_DimAtividade[#All],4,FALSE)),0,IF(VLOOKUP(E176,tbl_DimAtividade[#All],4,FALSE)=0,0,1))</f>
        <v/>
      </c>
    </row>
    <row r="177">
      <c r="A177" s="10" t="n">
        <v>2026</v>
      </c>
      <c r="B177" s="10" t="n">
        <v>6</v>
      </c>
      <c r="C177" s="10" t="inlineStr">
        <is>
          <t>Junho</t>
        </is>
      </c>
      <c r="D177" s="10" t="inlineStr">
        <is>
          <t>Parauapebas</t>
        </is>
      </c>
      <c r="E177" s="10" t="inlineStr">
        <is>
          <t>2.2.7</t>
        </is>
      </c>
      <c r="F177" s="10" t="inlineStr">
        <is>
          <t>Poda De Árvores Com Auxilio De Equipamentos De Grande Porte Fornecido Pela Contratada (M²)</t>
        </is>
      </c>
      <c r="G177" s="10" t="inlineStr">
        <is>
          <t>M²</t>
        </is>
      </c>
      <c r="H177" s="13" t="n">
        <v>0</v>
      </c>
      <c r="I177" s="13" t="n">
        <v>0</v>
      </c>
      <c r="J177" s="13">
        <f>IFERROR(VLOOKUP(E177,tbl_DimAtividade[#All],4,FALSE),0)</f>
        <v/>
      </c>
      <c r="K177" s="13">
        <f>IF(I177=0,0,H177/I177)</f>
        <v/>
      </c>
      <c r="L177" s="14">
        <f>IF(M177=0,0,I177/J177)</f>
        <v/>
      </c>
      <c r="M177" s="15">
        <f>IF(ISERROR(VLOOKUP(E177,tbl_DimAtividade[#All],4,FALSE)),0,IF(VLOOKUP(E177,tbl_DimAtividade[#All],4,FALSE)=0,0,1))</f>
        <v/>
      </c>
    </row>
    <row r="178">
      <c r="A178" s="10" t="n">
        <v>2026</v>
      </c>
      <c r="B178" s="10" t="n">
        <v>6</v>
      </c>
      <c r="C178" s="10" t="inlineStr">
        <is>
          <t>Junho</t>
        </is>
      </c>
      <c r="D178" s="10" t="inlineStr">
        <is>
          <t>Canaã</t>
        </is>
      </c>
      <c r="E178" s="10" t="inlineStr">
        <is>
          <t>2.2.7</t>
        </is>
      </c>
      <c r="F178" s="10" t="inlineStr">
        <is>
          <t>Poda De Árvores Com Auxilio De Equipamentos De Grande Porte Fornecido Pela Contratada (M²)</t>
        </is>
      </c>
      <c r="G178" s="10" t="inlineStr">
        <is>
          <t>M²</t>
        </is>
      </c>
      <c r="H178" s="13" t="n">
        <v>0</v>
      </c>
      <c r="I178" s="13" t="n">
        <v>0</v>
      </c>
      <c r="J178" s="13">
        <f>IFERROR(VLOOKUP(E178,tbl_DimAtividade[#All],4,FALSE),0)</f>
        <v/>
      </c>
      <c r="K178" s="13">
        <f>IF(I178=0,0,H178/I178)</f>
        <v/>
      </c>
      <c r="L178" s="14">
        <f>IF(M178=0,0,I178/J178)</f>
        <v/>
      </c>
      <c r="M178" s="15">
        <f>IF(ISERROR(VLOOKUP(E178,tbl_DimAtividade[#All],4,FALSE)),0,IF(VLOOKUP(E178,tbl_DimAtividade[#All],4,FALSE)=0,0,1))</f>
        <v/>
      </c>
    </row>
    <row r="179">
      <c r="A179" s="10" t="n">
        <v>2026</v>
      </c>
      <c r="B179" s="10" t="n">
        <v>6</v>
      </c>
      <c r="C179" s="10" t="inlineStr">
        <is>
          <t>Junho</t>
        </is>
      </c>
      <c r="D179" s="10" t="inlineStr">
        <is>
          <t>Marabá</t>
        </is>
      </c>
      <c r="E179" s="10" t="inlineStr">
        <is>
          <t>2.2.8</t>
        </is>
      </c>
      <c r="F179" s="10" t="inlineStr">
        <is>
          <t>Corte De Árvores De Pequeno Porte Com Auxilio De Equipamentos De Grande Porte Fornecido Pela Vale, Quando Necessário (Plataformas Elevatórias, Caminhões Sky E Outros)</t>
        </is>
      </c>
      <c r="G179" s="10" t="inlineStr">
        <is>
          <t>UNID</t>
        </is>
      </c>
      <c r="H179" s="13" t="n">
        <v>0</v>
      </c>
      <c r="I179" s="13" t="n">
        <v>0</v>
      </c>
      <c r="J179" s="13">
        <f>IFERROR(VLOOKUP(E179,tbl_DimAtividade[#All],4,FALSE),0)</f>
        <v/>
      </c>
      <c r="K179" s="13">
        <f>IF(I179=0,0,H179/I179)</f>
        <v/>
      </c>
      <c r="L179" s="14">
        <f>IF(M179=0,0,I179/J179)</f>
        <v/>
      </c>
      <c r="M179" s="15">
        <f>IF(ISERROR(VLOOKUP(E179,tbl_DimAtividade[#All],4,FALSE)),0,IF(VLOOKUP(E179,tbl_DimAtividade[#All],4,FALSE)=0,0,1))</f>
        <v/>
      </c>
    </row>
    <row r="180">
      <c r="A180" s="10" t="n">
        <v>2026</v>
      </c>
      <c r="B180" s="10" t="n">
        <v>6</v>
      </c>
      <c r="C180" s="10" t="inlineStr">
        <is>
          <t>Junho</t>
        </is>
      </c>
      <c r="D180" s="10" t="inlineStr">
        <is>
          <t>Parauapebas</t>
        </is>
      </c>
      <c r="E180" s="10" t="inlineStr">
        <is>
          <t>2.2.8</t>
        </is>
      </c>
      <c r="F180" s="10" t="inlineStr">
        <is>
          <t>Corte De Árvores De Pequeno Porte Com Auxilio De Equipamentos De Grande Porte Fornecido Pela Vale, Quando Necessário (Plataformas Elevatórias, Caminhões Sky E Outros)</t>
        </is>
      </c>
      <c r="G180" s="10" t="inlineStr">
        <is>
          <t>UNID</t>
        </is>
      </c>
      <c r="H180" s="13" t="n">
        <v>0</v>
      </c>
      <c r="I180" s="13" t="n">
        <v>0</v>
      </c>
      <c r="J180" s="13">
        <f>IFERROR(VLOOKUP(E180,tbl_DimAtividade[#All],4,FALSE),0)</f>
        <v/>
      </c>
      <c r="K180" s="13">
        <f>IF(I180=0,0,H180/I180)</f>
        <v/>
      </c>
      <c r="L180" s="14">
        <f>IF(M180=0,0,I180/J180)</f>
        <v/>
      </c>
      <c r="M180" s="15">
        <f>IF(ISERROR(VLOOKUP(E180,tbl_DimAtividade[#All],4,FALSE)),0,IF(VLOOKUP(E180,tbl_DimAtividade[#All],4,FALSE)=0,0,1))</f>
        <v/>
      </c>
    </row>
    <row r="181">
      <c r="A181" s="10" t="n">
        <v>2026</v>
      </c>
      <c r="B181" s="10" t="n">
        <v>6</v>
      </c>
      <c r="C181" s="10" t="inlineStr">
        <is>
          <t>Junho</t>
        </is>
      </c>
      <c r="D181" s="10" t="inlineStr">
        <is>
          <t>Canaã</t>
        </is>
      </c>
      <c r="E181" s="10" t="inlineStr">
        <is>
          <t>2.2.8</t>
        </is>
      </c>
      <c r="F181" s="10" t="inlineStr">
        <is>
          <t>Corte De Árvores De Pequeno Porte Com Auxilio De Equipamentos De Grande Porte Fornecido Pela Vale, Quando Necessário (Plataformas Elevatórias, Caminhões Sky E Outros)</t>
        </is>
      </c>
      <c r="G181" s="10" t="inlineStr">
        <is>
          <t>UNID</t>
        </is>
      </c>
      <c r="H181" s="13" t="n">
        <v>0</v>
      </c>
      <c r="I181" s="13" t="n">
        <v>0</v>
      </c>
      <c r="J181" s="13">
        <f>IFERROR(VLOOKUP(E181,tbl_DimAtividade[#All],4,FALSE),0)</f>
        <v/>
      </c>
      <c r="K181" s="13">
        <f>IF(I181=0,0,H181/I181)</f>
        <v/>
      </c>
      <c r="L181" s="14">
        <f>IF(M181=0,0,I181/J181)</f>
        <v/>
      </c>
      <c r="M181" s="15">
        <f>IF(ISERROR(VLOOKUP(E181,tbl_DimAtividade[#All],4,FALSE)),0,IF(VLOOKUP(E181,tbl_DimAtividade[#All],4,FALSE)=0,0,1))</f>
        <v/>
      </c>
    </row>
    <row r="182">
      <c r="A182" s="10" t="n">
        <v>2026</v>
      </c>
      <c r="B182" s="10" t="n">
        <v>6</v>
      </c>
      <c r="C182" s="10" t="inlineStr">
        <is>
          <t>Junho</t>
        </is>
      </c>
      <c r="D182" s="10" t="inlineStr">
        <is>
          <t>Marabá</t>
        </is>
      </c>
      <c r="E182" s="10" t="inlineStr">
        <is>
          <t>2.2.9</t>
        </is>
      </c>
      <c r="F182" s="10" t="inlineStr">
        <is>
          <t>Corte De Árvores De Pequeno Porte Com Auxilio De Equipamentos De Grande Porte Fornecido Pela Contratada</t>
        </is>
      </c>
      <c r="G182" s="10" t="inlineStr">
        <is>
          <t>UNID</t>
        </is>
      </c>
      <c r="H182" s="13" t="n">
        <v>0</v>
      </c>
      <c r="I182" s="13" t="n">
        <v>0</v>
      </c>
      <c r="J182" s="13">
        <f>IFERROR(VLOOKUP(E182,tbl_DimAtividade[#All],4,FALSE),0)</f>
        <v/>
      </c>
      <c r="K182" s="13">
        <f>IF(I182=0,0,H182/I182)</f>
        <v/>
      </c>
      <c r="L182" s="14">
        <f>IF(M182=0,0,I182/J182)</f>
        <v/>
      </c>
      <c r="M182" s="15">
        <f>IF(ISERROR(VLOOKUP(E182,tbl_DimAtividade[#All],4,FALSE)),0,IF(VLOOKUP(E182,tbl_DimAtividade[#All],4,FALSE)=0,0,1))</f>
        <v/>
      </c>
    </row>
    <row r="183">
      <c r="A183" s="10" t="n">
        <v>2026</v>
      </c>
      <c r="B183" s="10" t="n">
        <v>6</v>
      </c>
      <c r="C183" s="10" t="inlineStr">
        <is>
          <t>Junho</t>
        </is>
      </c>
      <c r="D183" s="10" t="inlineStr">
        <is>
          <t>Parauapebas</t>
        </is>
      </c>
      <c r="E183" s="10" t="inlineStr">
        <is>
          <t>2.2.9</t>
        </is>
      </c>
      <c r="F183" s="10" t="inlineStr">
        <is>
          <t>Corte De Árvores De Pequeno Porte Com Auxilio De Equipamentos De Grande Porte Fornecido Pela Contratada</t>
        </is>
      </c>
      <c r="G183" s="10" t="inlineStr">
        <is>
          <t>UNID</t>
        </is>
      </c>
      <c r="H183" s="13" t="n">
        <v>0</v>
      </c>
      <c r="I183" s="13" t="n">
        <v>0</v>
      </c>
      <c r="J183" s="13">
        <f>IFERROR(VLOOKUP(E183,tbl_DimAtividade[#All],4,FALSE),0)</f>
        <v/>
      </c>
      <c r="K183" s="13">
        <f>IF(I183=0,0,H183/I183)</f>
        <v/>
      </c>
      <c r="L183" s="14">
        <f>IF(M183=0,0,I183/J183)</f>
        <v/>
      </c>
      <c r="M183" s="15">
        <f>IF(ISERROR(VLOOKUP(E183,tbl_DimAtividade[#All],4,FALSE)),0,IF(VLOOKUP(E183,tbl_DimAtividade[#All],4,FALSE)=0,0,1))</f>
        <v/>
      </c>
    </row>
    <row r="184">
      <c r="A184" s="10" t="n">
        <v>2026</v>
      </c>
      <c r="B184" s="10" t="n">
        <v>6</v>
      </c>
      <c r="C184" s="10" t="inlineStr">
        <is>
          <t>Junho</t>
        </is>
      </c>
      <c r="D184" s="10" t="inlineStr">
        <is>
          <t>Canaã</t>
        </is>
      </c>
      <c r="E184" s="10" t="inlineStr">
        <is>
          <t>2.2.9</t>
        </is>
      </c>
      <c r="F184" s="10" t="inlineStr">
        <is>
          <t>Corte De Árvores De Pequeno Porte Com Auxilio De Equipamentos De Grande Porte Fornecido Pela Contratada</t>
        </is>
      </c>
      <c r="G184" s="10" t="inlineStr">
        <is>
          <t>UNID</t>
        </is>
      </c>
      <c r="H184" s="13" t="n">
        <v>10</v>
      </c>
      <c r="I184" s="13" t="n">
        <v>0.1785714285714286</v>
      </c>
      <c r="J184" s="13">
        <f>IFERROR(VLOOKUP(E184,tbl_DimAtividade[#All],4,FALSE),0)</f>
        <v/>
      </c>
      <c r="K184" s="13">
        <f>IF(I184=0,0,H184/I184)</f>
        <v/>
      </c>
      <c r="L184" s="14">
        <f>IF(M184=0,0,I184/J184)</f>
        <v/>
      </c>
      <c r="M184" s="15">
        <f>IF(ISERROR(VLOOKUP(E184,tbl_DimAtividade[#All],4,FALSE)),0,IF(VLOOKUP(E184,tbl_DimAtividade[#All],4,FALSE)=0,0,1))</f>
        <v/>
      </c>
    </row>
    <row r="185">
      <c r="A185" s="10" t="n">
        <v>2026</v>
      </c>
      <c r="B185" s="10" t="n">
        <v>6</v>
      </c>
      <c r="C185" s="10" t="inlineStr">
        <is>
          <t>Junho</t>
        </is>
      </c>
      <c r="D185" s="10" t="inlineStr">
        <is>
          <t>Marabá</t>
        </is>
      </c>
      <c r="E185" s="10" t="inlineStr">
        <is>
          <t>2.2.10</t>
        </is>
      </c>
      <c r="F185" s="10" t="inlineStr">
        <is>
          <t>Corte De Árvores De Grande Porte Com Auxilio De Equipamentos De Grande Porte Fornecido Pela Vale, Quando Necessário (Plataformas Elevatórias, Caminhões Sky E Outros)</t>
        </is>
      </c>
      <c r="G185" s="10" t="inlineStr">
        <is>
          <t>UNID</t>
        </is>
      </c>
      <c r="H185" s="13" t="n">
        <v>0</v>
      </c>
      <c r="I185" s="13" t="n">
        <v>0</v>
      </c>
      <c r="J185" s="13">
        <f>IFERROR(VLOOKUP(E185,tbl_DimAtividade[#All],4,FALSE),0)</f>
        <v/>
      </c>
      <c r="K185" s="13">
        <f>IF(I185=0,0,H185/I185)</f>
        <v/>
      </c>
      <c r="L185" s="14">
        <f>IF(M185=0,0,I185/J185)</f>
        <v/>
      </c>
      <c r="M185" s="15">
        <f>IF(ISERROR(VLOOKUP(E185,tbl_DimAtividade[#All],4,FALSE)),0,IF(VLOOKUP(E185,tbl_DimAtividade[#All],4,FALSE)=0,0,1))</f>
        <v/>
      </c>
    </row>
    <row r="186">
      <c r="A186" s="10" t="n">
        <v>2026</v>
      </c>
      <c r="B186" s="10" t="n">
        <v>6</v>
      </c>
      <c r="C186" s="10" t="inlineStr">
        <is>
          <t>Junho</t>
        </is>
      </c>
      <c r="D186" s="10" t="inlineStr">
        <is>
          <t>Parauapebas</t>
        </is>
      </c>
      <c r="E186" s="10" t="inlineStr">
        <is>
          <t>2.2.10</t>
        </is>
      </c>
      <c r="F186" s="10" t="inlineStr">
        <is>
          <t>Corte De Árvores De Grande Porte Com Auxilio De Equipamentos De Grande Porte Fornecido Pela Vale, Quando Necessário (Plataformas Elevatórias, Caminhões Sky E Outros)</t>
        </is>
      </c>
      <c r="G186" s="10" t="inlineStr">
        <is>
          <t>UNID</t>
        </is>
      </c>
      <c r="H186" s="13" t="n">
        <v>0</v>
      </c>
      <c r="I186" s="13" t="n">
        <v>0</v>
      </c>
      <c r="J186" s="13">
        <f>IFERROR(VLOOKUP(E186,tbl_DimAtividade[#All],4,FALSE),0)</f>
        <v/>
      </c>
      <c r="K186" s="13">
        <f>IF(I186=0,0,H186/I186)</f>
        <v/>
      </c>
      <c r="L186" s="14">
        <f>IF(M186=0,0,I186/J186)</f>
        <v/>
      </c>
      <c r="M186" s="15">
        <f>IF(ISERROR(VLOOKUP(E186,tbl_DimAtividade[#All],4,FALSE)),0,IF(VLOOKUP(E186,tbl_DimAtividade[#All],4,FALSE)=0,0,1))</f>
        <v/>
      </c>
    </row>
    <row r="187">
      <c r="A187" s="10" t="n">
        <v>2026</v>
      </c>
      <c r="B187" s="10" t="n">
        <v>6</v>
      </c>
      <c r="C187" s="10" t="inlineStr">
        <is>
          <t>Junho</t>
        </is>
      </c>
      <c r="D187" s="10" t="inlineStr">
        <is>
          <t>Canaã</t>
        </is>
      </c>
      <c r="E187" s="10" t="inlineStr">
        <is>
          <t>2.2.10</t>
        </is>
      </c>
      <c r="F187" s="10" t="inlineStr">
        <is>
          <t>Corte De Árvores De Grande Porte Com Auxilio De Equipamentos De Grande Porte Fornecido Pela Vale, Quando Necessário (Plataformas Elevatórias, Caminhões Sky E Outros)</t>
        </is>
      </c>
      <c r="G187" s="10" t="inlineStr">
        <is>
          <t>UNID</t>
        </is>
      </c>
      <c r="H187" s="13" t="n">
        <v>0</v>
      </c>
      <c r="I187" s="13" t="n">
        <v>0</v>
      </c>
      <c r="J187" s="13">
        <f>IFERROR(VLOOKUP(E187,tbl_DimAtividade[#All],4,FALSE),0)</f>
        <v/>
      </c>
      <c r="K187" s="13">
        <f>IF(I187=0,0,H187/I187)</f>
        <v/>
      </c>
      <c r="L187" s="14">
        <f>IF(M187=0,0,I187/J187)</f>
        <v/>
      </c>
      <c r="M187" s="15">
        <f>IF(ISERROR(VLOOKUP(E187,tbl_DimAtividade[#All],4,FALSE)),0,IF(VLOOKUP(E187,tbl_DimAtividade[#All],4,FALSE)=0,0,1))</f>
        <v/>
      </c>
    </row>
    <row r="188">
      <c r="A188" s="10" t="n">
        <v>2026</v>
      </c>
      <c r="B188" s="10" t="n">
        <v>6</v>
      </c>
      <c r="C188" s="10" t="inlineStr">
        <is>
          <t>Junho</t>
        </is>
      </c>
      <c r="D188" s="10" t="inlineStr">
        <is>
          <t>Marabá</t>
        </is>
      </c>
      <c r="E188" s="10" t="inlineStr">
        <is>
          <t>2.2.11</t>
        </is>
      </c>
      <c r="F188" s="10" t="inlineStr">
        <is>
          <t>Corte De Árvores De Grande Porte Com Auxilio De Equipamentos De Grande Porte Fornecido Pela Contratada</t>
        </is>
      </c>
      <c r="G188" s="10" t="inlineStr">
        <is>
          <t>UNID</t>
        </is>
      </c>
      <c r="H188" s="13" t="n">
        <v>0</v>
      </c>
      <c r="I188" s="13" t="n">
        <v>0</v>
      </c>
      <c r="J188" s="13">
        <f>IFERROR(VLOOKUP(E188,tbl_DimAtividade[#All],4,FALSE),0)</f>
        <v/>
      </c>
      <c r="K188" s="13">
        <f>IF(I188=0,0,H188/I188)</f>
        <v/>
      </c>
      <c r="L188" s="14">
        <f>IF(M188=0,0,I188/J188)</f>
        <v/>
      </c>
      <c r="M188" s="15">
        <f>IF(ISERROR(VLOOKUP(E188,tbl_DimAtividade[#All],4,FALSE)),0,IF(VLOOKUP(E188,tbl_DimAtividade[#All],4,FALSE)=0,0,1))</f>
        <v/>
      </c>
    </row>
    <row r="189">
      <c r="A189" s="10" t="n">
        <v>2026</v>
      </c>
      <c r="B189" s="10" t="n">
        <v>6</v>
      </c>
      <c r="C189" s="10" t="inlineStr">
        <is>
          <t>Junho</t>
        </is>
      </c>
      <c r="D189" s="10" t="inlineStr">
        <is>
          <t>Parauapebas</t>
        </is>
      </c>
      <c r="E189" s="10" t="inlineStr">
        <is>
          <t>2.2.11</t>
        </is>
      </c>
      <c r="F189" s="10" t="inlineStr">
        <is>
          <t>Corte De Árvores De Grande Porte Com Auxilio De Equipamentos De Grande Porte Fornecido Pela Contratada</t>
        </is>
      </c>
      <c r="G189" s="10" t="inlineStr">
        <is>
          <t>UNID</t>
        </is>
      </c>
      <c r="H189" s="13" t="n">
        <v>0</v>
      </c>
      <c r="I189" s="13" t="n">
        <v>0</v>
      </c>
      <c r="J189" s="13">
        <f>IFERROR(VLOOKUP(E189,tbl_DimAtividade[#All],4,FALSE),0)</f>
        <v/>
      </c>
      <c r="K189" s="13">
        <f>IF(I189=0,0,H189/I189)</f>
        <v/>
      </c>
      <c r="L189" s="14">
        <f>IF(M189=0,0,I189/J189)</f>
        <v/>
      </c>
      <c r="M189" s="15">
        <f>IF(ISERROR(VLOOKUP(E189,tbl_DimAtividade[#All],4,FALSE)),0,IF(VLOOKUP(E189,tbl_DimAtividade[#All],4,FALSE)=0,0,1))</f>
        <v/>
      </c>
    </row>
    <row r="190">
      <c r="A190" s="10" t="n">
        <v>2026</v>
      </c>
      <c r="B190" s="10" t="n">
        <v>6</v>
      </c>
      <c r="C190" s="10" t="inlineStr">
        <is>
          <t>Junho</t>
        </is>
      </c>
      <c r="D190" s="10" t="inlineStr">
        <is>
          <t>Canaã</t>
        </is>
      </c>
      <c r="E190" s="10" t="inlineStr">
        <is>
          <t>2.2.11</t>
        </is>
      </c>
      <c r="F190" s="10" t="inlineStr">
        <is>
          <t>Corte De Árvores De Grande Porte Com Auxilio De Equipamentos De Grande Porte Fornecido Pela Contratada</t>
        </is>
      </c>
      <c r="G190" s="10" t="inlineStr">
        <is>
          <t>UNID</t>
        </is>
      </c>
      <c r="H190" s="13" t="n">
        <v>7</v>
      </c>
      <c r="I190" s="13" t="n">
        <v>0.125</v>
      </c>
      <c r="J190" s="13">
        <f>IFERROR(VLOOKUP(E190,tbl_DimAtividade[#All],4,FALSE),0)</f>
        <v/>
      </c>
      <c r="K190" s="13">
        <f>IF(I190=0,0,H190/I190)</f>
        <v/>
      </c>
      <c r="L190" s="14">
        <f>IF(M190=0,0,I190/J190)</f>
        <v/>
      </c>
      <c r="M190" s="15">
        <f>IF(ISERROR(VLOOKUP(E190,tbl_DimAtividade[#All],4,FALSE)),0,IF(VLOOKUP(E190,tbl_DimAtividade[#All],4,FALSE)=0,0,1))</f>
        <v/>
      </c>
    </row>
    <row r="191">
      <c r="A191" s="10" t="n">
        <v>2026</v>
      </c>
      <c r="B191" s="10" t="n">
        <v>6</v>
      </c>
      <c r="C191" s="10" t="inlineStr">
        <is>
          <t>Junho</t>
        </is>
      </c>
      <c r="D191" s="10" t="inlineStr">
        <is>
          <t>Marabá</t>
        </is>
      </c>
      <c r="E191" s="10" t="inlineStr">
        <is>
          <t>2.2.12</t>
        </is>
      </c>
      <c r="F191" s="10" t="inlineStr">
        <is>
          <t>Momento Extraordinário De Transporte</t>
        </is>
      </c>
      <c r="G191" s="10" t="inlineStr">
        <is>
          <t>M³xKM</t>
        </is>
      </c>
      <c r="H191" s="13" t="n">
        <v>0</v>
      </c>
      <c r="I191" s="13" t="n">
        <v>0</v>
      </c>
      <c r="J191" s="13">
        <f>IFERROR(VLOOKUP(E191,tbl_DimAtividade[#All],4,FALSE),0)</f>
        <v/>
      </c>
      <c r="K191" s="13">
        <f>IF(I191=0,0,H191/I191)</f>
        <v/>
      </c>
      <c r="L191" s="14">
        <f>IF(M191=0,0,I191/J191)</f>
        <v/>
      </c>
      <c r="M191" s="15">
        <f>IF(ISERROR(VLOOKUP(E191,tbl_DimAtividade[#All],4,FALSE)),0,IF(VLOOKUP(E191,tbl_DimAtividade[#All],4,FALSE)=0,0,1))</f>
        <v/>
      </c>
    </row>
    <row r="192">
      <c r="A192" s="10" t="n">
        <v>2026</v>
      </c>
      <c r="B192" s="10" t="n">
        <v>6</v>
      </c>
      <c r="C192" s="10" t="inlineStr">
        <is>
          <t>Junho</t>
        </is>
      </c>
      <c r="D192" s="10" t="inlineStr">
        <is>
          <t>Parauapebas</t>
        </is>
      </c>
      <c r="E192" s="10" t="inlineStr">
        <is>
          <t>2.2.12</t>
        </is>
      </c>
      <c r="F192" s="10" t="inlineStr">
        <is>
          <t>Momento Extraordinário De Transporte</t>
        </is>
      </c>
      <c r="G192" s="10" t="inlineStr">
        <is>
          <t>M³xKM</t>
        </is>
      </c>
      <c r="H192" s="13" t="n">
        <v>0</v>
      </c>
      <c r="I192" s="13" t="n">
        <v>0</v>
      </c>
      <c r="J192" s="13">
        <f>IFERROR(VLOOKUP(E192,tbl_DimAtividade[#All],4,FALSE),0)</f>
        <v/>
      </c>
      <c r="K192" s="13">
        <f>IF(I192=0,0,H192/I192)</f>
        <v/>
      </c>
      <c r="L192" s="14">
        <f>IF(M192=0,0,I192/J192)</f>
        <v/>
      </c>
      <c r="M192" s="15">
        <f>IF(ISERROR(VLOOKUP(E192,tbl_DimAtividade[#All],4,FALSE)),0,IF(VLOOKUP(E192,tbl_DimAtividade[#All],4,FALSE)=0,0,1))</f>
        <v/>
      </c>
    </row>
    <row r="193">
      <c r="A193" s="10" t="n">
        <v>2026</v>
      </c>
      <c r="B193" s="10" t="n">
        <v>6</v>
      </c>
      <c r="C193" s="10" t="inlineStr">
        <is>
          <t>Junho</t>
        </is>
      </c>
      <c r="D193" s="10" t="inlineStr">
        <is>
          <t>Canaã</t>
        </is>
      </c>
      <c r="E193" s="10" t="inlineStr">
        <is>
          <t>2.2.12</t>
        </is>
      </c>
      <c r="F193" s="10" t="inlineStr">
        <is>
          <t>Momento Extraordinário De Transporte</t>
        </is>
      </c>
      <c r="G193" s="10" t="inlineStr">
        <is>
          <t>M³xKM</t>
        </is>
      </c>
      <c r="H193" s="13" t="n">
        <v>0</v>
      </c>
      <c r="I193" s="13" t="n">
        <v>0</v>
      </c>
      <c r="J193" s="13">
        <f>IFERROR(VLOOKUP(E193,tbl_DimAtividade[#All],4,FALSE),0)</f>
        <v/>
      </c>
      <c r="K193" s="13">
        <f>IF(I193=0,0,H193/I193)</f>
        <v/>
      </c>
      <c r="L193" s="14">
        <f>IF(M193=0,0,I193/J193)</f>
        <v/>
      </c>
      <c r="M193" s="15">
        <f>IF(ISERROR(VLOOKUP(E193,tbl_DimAtividade[#All],4,FALSE)),0,IF(VLOOKUP(E193,tbl_DimAtividade[#All],4,FALSE)=0,0,1))</f>
        <v/>
      </c>
    </row>
    <row r="194">
      <c r="A194" s="10" t="n">
        <v>2026</v>
      </c>
      <c r="B194" s="10" t="n">
        <v>6</v>
      </c>
      <c r="C194" s="10" t="inlineStr">
        <is>
          <t>Junho</t>
        </is>
      </c>
      <c r="D194" s="10" t="inlineStr">
        <is>
          <t>Marabá</t>
        </is>
      </c>
      <c r="E194" s="10" t="inlineStr">
        <is>
          <t>2.3.1</t>
        </is>
      </c>
      <c r="F194" s="10" t="inlineStr">
        <is>
          <t>Fornecimento E Aplicação De Sinalização Gráfica Vertical Completa (M²)</t>
        </is>
      </c>
      <c r="G194" s="10" t="inlineStr">
        <is>
          <t>M²</t>
        </is>
      </c>
      <c r="H194" s="13" t="n">
        <v>0</v>
      </c>
      <c r="I194" s="13" t="n">
        <v>0</v>
      </c>
      <c r="J194" s="13">
        <f>IFERROR(VLOOKUP(E194,tbl_DimAtividade[#All],4,FALSE),0)</f>
        <v/>
      </c>
      <c r="K194" s="13">
        <f>IF(I194=0,0,H194/I194)</f>
        <v/>
      </c>
      <c r="L194" s="14">
        <f>IF(M194=0,0,I194/J194)</f>
        <v/>
      </c>
      <c r="M194" s="15">
        <f>IF(ISERROR(VLOOKUP(E194,tbl_DimAtividade[#All],4,FALSE)),0,IF(VLOOKUP(E194,tbl_DimAtividade[#All],4,FALSE)=0,0,1))</f>
        <v/>
      </c>
    </row>
    <row r="195">
      <c r="A195" s="10" t="n">
        <v>2026</v>
      </c>
      <c r="B195" s="10" t="n">
        <v>6</v>
      </c>
      <c r="C195" s="10" t="inlineStr">
        <is>
          <t>Junho</t>
        </is>
      </c>
      <c r="D195" s="10" t="inlineStr">
        <is>
          <t>Parauapebas</t>
        </is>
      </c>
      <c r="E195" s="10" t="inlineStr">
        <is>
          <t>2.3.1</t>
        </is>
      </c>
      <c r="F195" s="10" t="inlineStr">
        <is>
          <t>Fornecimento E Aplicação De Sinalização Gráfica Vertical Completa (M²)</t>
        </is>
      </c>
      <c r="G195" s="10" t="inlineStr">
        <is>
          <t>M²</t>
        </is>
      </c>
      <c r="H195" s="13" t="n">
        <v>0</v>
      </c>
      <c r="I195" s="13" t="n">
        <v>0</v>
      </c>
      <c r="J195" s="13">
        <f>IFERROR(VLOOKUP(E195,tbl_DimAtividade[#All],4,FALSE),0)</f>
        <v/>
      </c>
      <c r="K195" s="13">
        <f>IF(I195=0,0,H195/I195)</f>
        <v/>
      </c>
      <c r="L195" s="14">
        <f>IF(M195=0,0,I195/J195)</f>
        <v/>
      </c>
      <c r="M195" s="15">
        <f>IF(ISERROR(VLOOKUP(E195,tbl_DimAtividade[#All],4,FALSE)),0,IF(VLOOKUP(E195,tbl_DimAtividade[#All],4,FALSE)=0,0,1))</f>
        <v/>
      </c>
    </row>
    <row r="196">
      <c r="A196" s="10" t="n">
        <v>2026</v>
      </c>
      <c r="B196" s="10" t="n">
        <v>6</v>
      </c>
      <c r="C196" s="10" t="inlineStr">
        <is>
          <t>Junho</t>
        </is>
      </c>
      <c r="D196" s="10" t="inlineStr">
        <is>
          <t>Canaã</t>
        </is>
      </c>
      <c r="E196" s="10" t="inlineStr">
        <is>
          <t>2.3.1</t>
        </is>
      </c>
      <c r="F196" s="10" t="inlineStr">
        <is>
          <t>Fornecimento E Aplicação De Sinalização Gráfica Vertical Completa (M²)</t>
        </is>
      </c>
      <c r="G196" s="10" t="inlineStr">
        <is>
          <t>M²</t>
        </is>
      </c>
      <c r="H196" s="13" t="n">
        <v>0</v>
      </c>
      <c r="I196" s="13" t="n">
        <v>0</v>
      </c>
      <c r="J196" s="13">
        <f>IFERROR(VLOOKUP(E196,tbl_DimAtividade[#All],4,FALSE),0)</f>
        <v/>
      </c>
      <c r="K196" s="13">
        <f>IF(I196=0,0,H196/I196)</f>
        <v/>
      </c>
      <c r="L196" s="14">
        <f>IF(M196=0,0,I196/J196)</f>
        <v/>
      </c>
      <c r="M196" s="15">
        <f>IF(ISERROR(VLOOKUP(E196,tbl_DimAtividade[#All],4,FALSE)),0,IF(VLOOKUP(E196,tbl_DimAtividade[#All],4,FALSE)=0,0,1))</f>
        <v/>
      </c>
    </row>
    <row r="197">
      <c r="A197" s="10" t="n">
        <v>2026</v>
      </c>
      <c r="B197" s="10" t="n">
        <v>6</v>
      </c>
      <c r="C197" s="10" t="inlineStr">
        <is>
          <t>Junho</t>
        </is>
      </c>
      <c r="D197" s="10" t="inlineStr">
        <is>
          <t>Marabá</t>
        </is>
      </c>
      <c r="E197" s="10" t="inlineStr">
        <is>
          <t>2.3.2</t>
        </is>
      </c>
      <c r="F197" s="10" t="inlineStr">
        <is>
          <t>Aplicação De Trilho Para Cruz De Santo André (Trilho Fornecimento Vale)</t>
        </is>
      </c>
      <c r="G197" s="10" t="inlineStr">
        <is>
          <t>UNID</t>
        </is>
      </c>
      <c r="H197" s="13" t="n">
        <v>0</v>
      </c>
      <c r="I197" s="13" t="n">
        <v>0</v>
      </c>
      <c r="J197" s="13">
        <f>IFERROR(VLOOKUP(E197,tbl_DimAtividade[#All],4,FALSE),0)</f>
        <v/>
      </c>
      <c r="K197" s="13">
        <f>IF(I197=0,0,H197/I197)</f>
        <v/>
      </c>
      <c r="L197" s="14">
        <f>IF(M197=0,0,I197/J197)</f>
        <v/>
      </c>
      <c r="M197" s="15">
        <f>IF(ISERROR(VLOOKUP(E197,tbl_DimAtividade[#All],4,FALSE)),0,IF(VLOOKUP(E197,tbl_DimAtividade[#All],4,FALSE)=0,0,1))</f>
        <v/>
      </c>
    </row>
    <row r="198">
      <c r="A198" s="10" t="n">
        <v>2026</v>
      </c>
      <c r="B198" s="10" t="n">
        <v>6</v>
      </c>
      <c r="C198" s="10" t="inlineStr">
        <is>
          <t>Junho</t>
        </is>
      </c>
      <c r="D198" s="10" t="inlineStr">
        <is>
          <t>Parauapebas</t>
        </is>
      </c>
      <c r="E198" s="10" t="inlineStr">
        <is>
          <t>2.3.2</t>
        </is>
      </c>
      <c r="F198" s="10" t="inlineStr">
        <is>
          <t>Aplicação De Trilho Para Cruz De Santo André (Trilho Fornecimento Vale)</t>
        </is>
      </c>
      <c r="G198" s="10" t="inlineStr">
        <is>
          <t>UNID</t>
        </is>
      </c>
      <c r="H198" s="13" t="n">
        <v>0</v>
      </c>
      <c r="I198" s="13" t="n">
        <v>0</v>
      </c>
      <c r="J198" s="13">
        <f>IFERROR(VLOOKUP(E198,tbl_DimAtividade[#All],4,FALSE),0)</f>
        <v/>
      </c>
      <c r="K198" s="13">
        <f>IF(I198=0,0,H198/I198)</f>
        <v/>
      </c>
      <c r="L198" s="14">
        <f>IF(M198=0,0,I198/J198)</f>
        <v/>
      </c>
      <c r="M198" s="15">
        <f>IF(ISERROR(VLOOKUP(E198,tbl_DimAtividade[#All],4,FALSE)),0,IF(VLOOKUP(E198,tbl_DimAtividade[#All],4,FALSE)=0,0,1))</f>
        <v/>
      </c>
    </row>
    <row r="199">
      <c r="A199" s="10" t="n">
        <v>2026</v>
      </c>
      <c r="B199" s="10" t="n">
        <v>6</v>
      </c>
      <c r="C199" s="10" t="inlineStr">
        <is>
          <t>Junho</t>
        </is>
      </c>
      <c r="D199" s="10" t="inlineStr">
        <is>
          <t>Canaã</t>
        </is>
      </c>
      <c r="E199" s="10" t="inlineStr">
        <is>
          <t>2.3.2</t>
        </is>
      </c>
      <c r="F199" s="10" t="inlineStr">
        <is>
          <t>Aplicação De Trilho Para Cruz De Santo André (Trilho Fornecimento Vale)</t>
        </is>
      </c>
      <c r="G199" s="10" t="inlineStr">
        <is>
          <t>UNID</t>
        </is>
      </c>
      <c r="H199" s="13" t="n">
        <v>0</v>
      </c>
      <c r="I199" s="13" t="n">
        <v>0</v>
      </c>
      <c r="J199" s="13">
        <f>IFERROR(VLOOKUP(E199,tbl_DimAtividade[#All],4,FALSE),0)</f>
        <v/>
      </c>
      <c r="K199" s="13">
        <f>IF(I199=0,0,H199/I199)</f>
        <v/>
      </c>
      <c r="L199" s="14">
        <f>IF(M199=0,0,I199/J199)</f>
        <v/>
      </c>
      <c r="M199" s="15">
        <f>IF(ISERROR(VLOOKUP(E199,tbl_DimAtividade[#All],4,FALSE)),0,IF(VLOOKUP(E199,tbl_DimAtividade[#All],4,FALSE)=0,0,1))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F6F6B"/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1" customWidth="1" min="3" max="3"/>
    <col width="13" customWidth="1" min="4" max="4"/>
    <col width="10" customWidth="1" min="5" max="5"/>
    <col width="10" customWidth="1" min="6" max="6"/>
    <col width="17" customWidth="1" min="7" max="7"/>
    <col width="23" customWidth="1" min="8" max="8"/>
  </cols>
  <sheetData>
    <row r="1">
      <c r="A1" s="9" t="inlineStr">
        <is>
          <t>Ano</t>
        </is>
      </c>
      <c r="B1" s="9" t="inlineStr">
        <is>
          <t>Mes</t>
        </is>
      </c>
      <c r="C1" s="9" t="inlineStr">
        <is>
          <t>MesNome</t>
        </is>
      </c>
      <c r="D1" s="9" t="inlineStr">
        <is>
          <t>Distrito</t>
        </is>
      </c>
      <c r="E1" s="9" t="inlineStr">
        <is>
          <t>Servente</t>
        </is>
      </c>
      <c r="F1" s="9" t="inlineStr">
        <is>
          <t>Oficial</t>
        </is>
      </c>
      <c r="G1" s="9" t="inlineStr">
        <is>
          <t>Jornada_Media_H</t>
        </is>
      </c>
      <c r="H1" s="9" t="inlineStr">
        <is>
          <t>Chave</t>
        </is>
      </c>
    </row>
    <row r="2">
      <c r="A2" s="10" t="n">
        <v>2026</v>
      </c>
      <c r="B2" s="10" t="n">
        <v>1</v>
      </c>
      <c r="C2" s="10" t="inlineStr">
        <is>
          <t>Janeiro</t>
        </is>
      </c>
      <c r="D2" s="10" t="inlineStr">
        <is>
          <t>Marabá</t>
        </is>
      </c>
      <c r="E2" s="10" t="n">
        <v>9</v>
      </c>
      <c r="F2" s="10" t="n">
        <v>1</v>
      </c>
      <c r="G2" s="16" t="n">
        <v>7</v>
      </c>
      <c r="H2" s="10" t="inlineStr">
        <is>
          <t>Marabá|Janeiro</t>
        </is>
      </c>
    </row>
    <row r="3">
      <c r="A3" s="10" t="n">
        <v>2026</v>
      </c>
      <c r="B3" s="10" t="n">
        <v>1</v>
      </c>
      <c r="C3" s="10" t="inlineStr">
        <is>
          <t>Janeiro</t>
        </is>
      </c>
      <c r="D3" s="10" t="inlineStr">
        <is>
          <t>Parauapebas</t>
        </is>
      </c>
      <c r="E3" s="10" t="n">
        <v>9</v>
      </c>
      <c r="F3" s="10" t="n">
        <v>2</v>
      </c>
      <c r="G3" s="16" t="n">
        <v>7</v>
      </c>
      <c r="H3" s="10" t="inlineStr">
        <is>
          <t>Parauapebas|Janeiro</t>
        </is>
      </c>
    </row>
    <row r="4">
      <c r="A4" s="10" t="n">
        <v>2026</v>
      </c>
      <c r="B4" s="10" t="n">
        <v>1</v>
      </c>
      <c r="C4" s="10" t="inlineStr">
        <is>
          <t>Janeiro</t>
        </is>
      </c>
      <c r="D4" s="10" t="inlineStr">
        <is>
          <t>Canaã</t>
        </is>
      </c>
      <c r="E4" s="10" t="n">
        <v>9</v>
      </c>
      <c r="F4" s="10" t="n">
        <v>1</v>
      </c>
      <c r="G4" s="16" t="n">
        <v>7</v>
      </c>
      <c r="H4" s="10" t="inlineStr">
        <is>
          <t>Canaã|Janeiro</t>
        </is>
      </c>
    </row>
    <row r="5">
      <c r="A5" s="10" t="n">
        <v>2026</v>
      </c>
      <c r="B5" s="10" t="n">
        <v>2</v>
      </c>
      <c r="C5" s="10" t="inlineStr">
        <is>
          <t>Fevereiro</t>
        </is>
      </c>
      <c r="D5" s="10" t="inlineStr">
        <is>
          <t>Marabá</t>
        </is>
      </c>
      <c r="E5" s="10" t="n">
        <v>9</v>
      </c>
      <c r="F5" s="10" t="n">
        <v>1</v>
      </c>
      <c r="G5" s="16" t="n">
        <v>7</v>
      </c>
      <c r="H5" s="10" t="inlineStr">
        <is>
          <t>Marabá|Fevereiro</t>
        </is>
      </c>
    </row>
    <row r="6">
      <c r="A6" s="10" t="n">
        <v>2026</v>
      </c>
      <c r="B6" s="10" t="n">
        <v>2</v>
      </c>
      <c r="C6" s="10" t="inlineStr">
        <is>
          <t>Fevereiro</t>
        </is>
      </c>
      <c r="D6" s="10" t="inlineStr">
        <is>
          <t>Parauapebas</t>
        </is>
      </c>
      <c r="E6" s="10" t="n">
        <v>9</v>
      </c>
      <c r="F6" s="10" t="n">
        <v>1</v>
      </c>
      <c r="G6" s="16" t="n">
        <v>7</v>
      </c>
      <c r="H6" s="10" t="inlineStr">
        <is>
          <t>Parauapebas|Fevereiro</t>
        </is>
      </c>
    </row>
    <row r="7">
      <c r="A7" s="10" t="n">
        <v>2026</v>
      </c>
      <c r="B7" s="10" t="n">
        <v>2</v>
      </c>
      <c r="C7" s="10" t="inlineStr">
        <is>
          <t>Fevereiro</t>
        </is>
      </c>
      <c r="D7" s="10" t="inlineStr">
        <is>
          <t>Canaã</t>
        </is>
      </c>
      <c r="E7" s="10" t="n">
        <v>9</v>
      </c>
      <c r="F7" s="10" t="n">
        <v>1</v>
      </c>
      <c r="G7" s="16" t="n">
        <v>7</v>
      </c>
      <c r="H7" s="10" t="inlineStr">
        <is>
          <t>Canaã|Fevereiro</t>
        </is>
      </c>
    </row>
    <row r="8">
      <c r="A8" s="10" t="n">
        <v>2026</v>
      </c>
      <c r="B8" s="10" t="n">
        <v>3</v>
      </c>
      <c r="C8" s="10" t="inlineStr">
        <is>
          <t>Março</t>
        </is>
      </c>
      <c r="D8" s="10" t="inlineStr">
        <is>
          <t>Marabá</t>
        </is>
      </c>
      <c r="E8" s="10" t="n">
        <v>9</v>
      </c>
      <c r="F8" s="10" t="n">
        <v>1</v>
      </c>
      <c r="G8" s="16" t="n">
        <v>7</v>
      </c>
      <c r="H8" s="10" t="inlineStr">
        <is>
          <t>Marabá|Março</t>
        </is>
      </c>
    </row>
    <row r="9">
      <c r="A9" s="10" t="n">
        <v>2026</v>
      </c>
      <c r="B9" s="10" t="n">
        <v>3</v>
      </c>
      <c r="C9" s="10" t="inlineStr">
        <is>
          <t>Março</t>
        </is>
      </c>
      <c r="D9" s="10" t="inlineStr">
        <is>
          <t>Parauapebas</t>
        </is>
      </c>
      <c r="E9" s="10" t="n">
        <v>9</v>
      </c>
      <c r="F9" s="10" t="n">
        <v>1</v>
      </c>
      <c r="G9" s="16" t="n">
        <v>7</v>
      </c>
      <c r="H9" s="10" t="inlineStr">
        <is>
          <t>Parauapebas|Março</t>
        </is>
      </c>
    </row>
    <row r="10">
      <c r="A10" s="10" t="n">
        <v>2026</v>
      </c>
      <c r="B10" s="10" t="n">
        <v>3</v>
      </c>
      <c r="C10" s="10" t="inlineStr">
        <is>
          <t>Março</t>
        </is>
      </c>
      <c r="D10" s="10" t="inlineStr">
        <is>
          <t>Canaã</t>
        </is>
      </c>
      <c r="E10" s="10" t="n">
        <v>9</v>
      </c>
      <c r="F10" s="10" t="n">
        <v>1</v>
      </c>
      <c r="G10" s="16" t="n">
        <v>7</v>
      </c>
      <c r="H10" s="10" t="inlineStr">
        <is>
          <t>Canaã|Março</t>
        </is>
      </c>
    </row>
    <row r="11">
      <c r="A11" s="10" t="n">
        <v>2026</v>
      </c>
      <c r="B11" s="10" t="n">
        <v>4</v>
      </c>
      <c r="C11" s="10" t="inlineStr">
        <is>
          <t>Abril</t>
        </is>
      </c>
      <c r="D11" s="10" t="inlineStr">
        <is>
          <t>Marabá</t>
        </is>
      </c>
      <c r="E11" s="10" t="n">
        <v>9</v>
      </c>
      <c r="F11" s="10" t="n">
        <v>1</v>
      </c>
      <c r="G11" s="16" t="n">
        <v>7</v>
      </c>
      <c r="H11" s="10" t="inlineStr">
        <is>
          <t>Marabá|Abril</t>
        </is>
      </c>
    </row>
    <row r="12">
      <c r="A12" s="10" t="n">
        <v>2026</v>
      </c>
      <c r="B12" s="10" t="n">
        <v>4</v>
      </c>
      <c r="C12" s="10" t="inlineStr">
        <is>
          <t>Abril</t>
        </is>
      </c>
      <c r="D12" s="10" t="inlineStr">
        <is>
          <t>Parauapebas</t>
        </is>
      </c>
      <c r="E12" s="10" t="n">
        <v>9</v>
      </c>
      <c r="F12" s="10" t="n">
        <v>1</v>
      </c>
      <c r="G12" s="16" t="n">
        <v>7</v>
      </c>
      <c r="H12" s="10" t="inlineStr">
        <is>
          <t>Parauapebas|Abril</t>
        </is>
      </c>
    </row>
    <row r="13">
      <c r="A13" s="10" t="n">
        <v>2026</v>
      </c>
      <c r="B13" s="10" t="n">
        <v>4</v>
      </c>
      <c r="C13" s="10" t="inlineStr">
        <is>
          <t>Abril</t>
        </is>
      </c>
      <c r="D13" s="10" t="inlineStr">
        <is>
          <t>Canaã</t>
        </is>
      </c>
      <c r="E13" s="10" t="n">
        <v>9</v>
      </c>
      <c r="F13" s="10" t="n">
        <v>1</v>
      </c>
      <c r="G13" s="16" t="n">
        <v>7</v>
      </c>
      <c r="H13" s="10" t="inlineStr">
        <is>
          <t>Canaã|Abril</t>
        </is>
      </c>
    </row>
    <row r="14">
      <c r="A14" s="10" t="n">
        <v>2026</v>
      </c>
      <c r="B14" s="10" t="n">
        <v>5</v>
      </c>
      <c r="C14" s="10" t="inlineStr">
        <is>
          <t>Maio</t>
        </is>
      </c>
      <c r="D14" s="10" t="inlineStr">
        <is>
          <t>Marabá</t>
        </is>
      </c>
      <c r="E14" s="10" t="n">
        <v>9</v>
      </c>
      <c r="F14" s="10" t="n">
        <v>2</v>
      </c>
      <c r="G14" s="16" t="n">
        <v>7</v>
      </c>
      <c r="H14" s="10" t="inlineStr">
        <is>
          <t>Marabá|Maio</t>
        </is>
      </c>
    </row>
    <row r="15">
      <c r="A15" s="10" t="n">
        <v>2026</v>
      </c>
      <c r="B15" s="10" t="n">
        <v>5</v>
      </c>
      <c r="C15" s="10" t="inlineStr">
        <is>
          <t>Maio</t>
        </is>
      </c>
      <c r="D15" s="10" t="inlineStr">
        <is>
          <t>Parauapebas</t>
        </is>
      </c>
      <c r="E15" s="10" t="n">
        <v>10</v>
      </c>
      <c r="F15" s="10" t="n">
        <v>1</v>
      </c>
      <c r="G15" s="16" t="n">
        <v>7</v>
      </c>
      <c r="H15" s="10" t="inlineStr">
        <is>
          <t>Parauapebas|Maio</t>
        </is>
      </c>
    </row>
    <row r="16">
      <c r="A16" s="10" t="n">
        <v>2026</v>
      </c>
      <c r="B16" s="10" t="n">
        <v>5</v>
      </c>
      <c r="C16" s="10" t="inlineStr">
        <is>
          <t>Maio</t>
        </is>
      </c>
      <c r="D16" s="10" t="inlineStr">
        <is>
          <t>Canaã</t>
        </is>
      </c>
      <c r="E16" s="10" t="n">
        <v>11</v>
      </c>
      <c r="F16" s="10" t="n">
        <v>1</v>
      </c>
      <c r="G16" s="16" t="n">
        <v>7</v>
      </c>
      <c r="H16" s="10" t="inlineStr">
        <is>
          <t>Canaã|Maio</t>
        </is>
      </c>
    </row>
    <row r="17">
      <c r="A17" s="10" t="n">
        <v>2026</v>
      </c>
      <c r="B17" s="10" t="n">
        <v>6</v>
      </c>
      <c r="C17" s="10" t="inlineStr">
        <is>
          <t>Junho</t>
        </is>
      </c>
      <c r="D17" s="10" t="inlineStr">
        <is>
          <t>Marabá</t>
        </is>
      </c>
      <c r="E17" s="10" t="n">
        <v>11</v>
      </c>
      <c r="F17" s="10" t="n">
        <v>2</v>
      </c>
      <c r="G17" s="16" t="n">
        <v>7</v>
      </c>
      <c r="H17" s="10" t="inlineStr">
        <is>
          <t>Marabá|Junho</t>
        </is>
      </c>
    </row>
    <row r="18">
      <c r="A18" s="10" t="n">
        <v>2026</v>
      </c>
      <c r="B18" s="10" t="n">
        <v>6</v>
      </c>
      <c r="C18" s="10" t="inlineStr">
        <is>
          <t>Junho</t>
        </is>
      </c>
      <c r="D18" s="10" t="inlineStr">
        <is>
          <t>Parauapebas</t>
        </is>
      </c>
      <c r="E18" s="10" t="n">
        <v>11</v>
      </c>
      <c r="F18" s="10" t="n">
        <v>1</v>
      </c>
      <c r="G18" s="16" t="n">
        <v>7</v>
      </c>
      <c r="H18" s="10" t="inlineStr">
        <is>
          <t>Parauapebas|Junho</t>
        </is>
      </c>
    </row>
    <row r="19">
      <c r="A19" s="10" t="n">
        <v>2026</v>
      </c>
      <c r="B19" s="10" t="n">
        <v>6</v>
      </c>
      <c r="C19" s="10" t="inlineStr">
        <is>
          <t>Junho</t>
        </is>
      </c>
      <c r="D19" s="10" t="inlineStr">
        <is>
          <t>Canaã</t>
        </is>
      </c>
      <c r="E19" s="10" t="n">
        <v>8</v>
      </c>
      <c r="F19" s="10" t="n">
        <v>1</v>
      </c>
      <c r="G19" s="16" t="n">
        <v>7</v>
      </c>
      <c r="H19" s="10" t="inlineStr">
        <is>
          <t>Canaã|Junho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1F6F6B"/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1" customWidth="1" min="3" max="3"/>
    <col width="13" customWidth="1" min="4" max="4"/>
    <col width="10" customWidth="1" min="5" max="5"/>
    <col width="11" customWidth="1" min="6" max="6"/>
    <col width="90" customWidth="1" min="7" max="7"/>
    <col width="23" customWidth="1" min="8" max="8"/>
  </cols>
  <sheetData>
    <row r="1">
      <c r="A1" s="9" t="inlineStr">
        <is>
          <t>Ano</t>
        </is>
      </c>
      <c r="B1" s="9" t="inlineStr">
        <is>
          <t>Mes</t>
        </is>
      </c>
      <c r="C1" s="9" t="inlineStr">
        <is>
          <t>MesNome</t>
        </is>
      </c>
      <c r="D1" s="9" t="inlineStr">
        <is>
          <t>Distrito</t>
        </is>
      </c>
      <c r="E1" s="9" t="inlineStr">
        <is>
          <t>Qtd_Dias</t>
        </is>
      </c>
      <c r="F1" s="9" t="inlineStr">
        <is>
          <t>Qtd_Horas</t>
        </is>
      </c>
      <c r="G1" s="9" t="inlineStr">
        <is>
          <t>Causa</t>
        </is>
      </c>
      <c r="H1" s="9" t="inlineStr">
        <is>
          <t>Chave</t>
        </is>
      </c>
    </row>
    <row r="2">
      <c r="A2" s="10" t="n">
        <v>2026</v>
      </c>
      <c r="B2" s="10" t="n">
        <v>1</v>
      </c>
      <c r="C2" s="10" t="inlineStr">
        <is>
          <t>Janeiro</t>
        </is>
      </c>
      <c r="D2" s="10" t="inlineStr">
        <is>
          <t>Marabá</t>
        </is>
      </c>
      <c r="E2" s="15" t="n">
        <v>4</v>
      </c>
      <c r="F2" s="13" t="n"/>
      <c r="G2" s="17" t="inlineStr">
        <is>
          <t>REGISTRO DE 4 DIAS HIMP
2 DIAS – RECESSO ANO NOVO
2 DIAS – BENGALA VENCIDA CAMINHÃO EBES</t>
        </is>
      </c>
      <c r="H2" s="10" t="inlineStr">
        <is>
          <t>Marabá|Janeiro</t>
        </is>
      </c>
    </row>
    <row r="3">
      <c r="A3" s="10" t="n">
        <v>2026</v>
      </c>
      <c r="B3" s="10" t="n">
        <v>1</v>
      </c>
      <c r="C3" s="10" t="inlineStr">
        <is>
          <t>Janeiro</t>
        </is>
      </c>
      <c r="D3" s="10" t="inlineStr">
        <is>
          <t>Parauapebas</t>
        </is>
      </c>
      <c r="E3" s="15" t="n">
        <v>4</v>
      </c>
      <c r="F3" s="13" t="n"/>
      <c r="G3" s="17" t="inlineStr">
        <is>
          <t>REGISTRO DE 4 DIAS HIMP
2 DIAS – RECESSO ANO NOVO
2 DIAS – DOCUMENTAÇÃO CAMINHÃO EBES</t>
        </is>
      </c>
      <c r="H3" s="10" t="inlineStr">
        <is>
          <t>Parauapebas|Janeiro</t>
        </is>
      </c>
    </row>
    <row r="4">
      <c r="A4" s="10" t="n">
        <v>2026</v>
      </c>
      <c r="B4" s="10" t="n">
        <v>1</v>
      </c>
      <c r="C4" s="10" t="inlineStr">
        <is>
          <t>Janeiro</t>
        </is>
      </c>
      <c r="D4" s="10" t="inlineStr">
        <is>
          <t>Canaã</t>
        </is>
      </c>
      <c r="E4" s="15" t="n">
        <v>5</v>
      </c>
      <c r="F4" s="13" t="n"/>
      <c r="G4" s="17" t="inlineStr">
        <is>
          <t>REGISTRO DE 5 DIAS HIMP
2 DIAS – RECESSO ANO NOVO
3 DIAS – CAMINHÃO EBES INTERDITADO</t>
        </is>
      </c>
      <c r="H4" s="10" t="inlineStr">
        <is>
          <t>Canaã|Janeiro</t>
        </is>
      </c>
    </row>
    <row r="5">
      <c r="A5" s="10" t="n">
        <v>2026</v>
      </c>
      <c r="B5" s="10" t="n">
        <v>2</v>
      </c>
      <c r="C5" s="10" t="inlineStr">
        <is>
          <t>Fevereiro</t>
        </is>
      </c>
      <c r="D5" s="10" t="inlineStr">
        <is>
          <t>Marabá</t>
        </is>
      </c>
      <c r="E5" s="15" t="n">
        <v>4</v>
      </c>
      <c r="F5" s="13" t="n"/>
      <c r="G5" s="17" t="inlineStr">
        <is>
          <t>REGISTRO DE 4 DIA HIMP
1 DIA – CAMINHÃO EBES EM MANUTENÇÃO</t>
        </is>
      </c>
      <c r="H5" s="10" t="inlineStr">
        <is>
          <t>Marabá|Fevereiro</t>
        </is>
      </c>
    </row>
    <row r="6">
      <c r="A6" s="10" t="n">
        <v>2026</v>
      </c>
      <c r="B6" s="10" t="n">
        <v>2</v>
      </c>
      <c r="C6" s="10" t="inlineStr">
        <is>
          <t>Fevereiro</t>
        </is>
      </c>
      <c r="D6" s="10" t="inlineStr">
        <is>
          <t>Parauapebas</t>
        </is>
      </c>
      <c r="E6" s="15" t="n">
        <v>3</v>
      </c>
      <c r="F6" s="13" t="n"/>
      <c r="G6" s="17" t="inlineStr">
        <is>
          <t>REGISTRO DE 3 DIAS HIMP
2 DIAS – CAMINHÃO EBES EM MANUTENÇÃO
1 DIA – TREM RETIDO NA LINHA</t>
        </is>
      </c>
      <c r="H6" s="10" t="inlineStr">
        <is>
          <t>Parauapebas|Fevereiro</t>
        </is>
      </c>
    </row>
    <row r="7">
      <c r="A7" s="10" t="n">
        <v>2026</v>
      </c>
      <c r="B7" s="10" t="n">
        <v>2</v>
      </c>
      <c r="C7" s="10" t="inlineStr">
        <is>
          <t>Fevereiro</t>
        </is>
      </c>
      <c r="D7" s="10" t="inlineStr">
        <is>
          <t>Canaã</t>
        </is>
      </c>
      <c r="E7" s="15" t="n">
        <v>3</v>
      </c>
      <c r="F7" s="13" t="n"/>
      <c r="G7" s="17" t="inlineStr">
        <is>
          <t>REGISTRO DE 3 DIAS HIMP
3 DIAS – CAMINHÃO EBES INTERDITADO</t>
        </is>
      </c>
      <c r="H7" s="10" t="inlineStr">
        <is>
          <t>Canaã|Fevereiro</t>
        </is>
      </c>
    </row>
    <row r="8">
      <c r="A8" s="10" t="n">
        <v>2026</v>
      </c>
      <c r="B8" s="10" t="n">
        <v>3</v>
      </c>
      <c r="C8" s="10" t="inlineStr">
        <is>
          <t>Março</t>
        </is>
      </c>
      <c r="D8" s="10" t="inlineStr">
        <is>
          <t>Marabá</t>
        </is>
      </c>
      <c r="E8" s="15" t="n">
        <v>2</v>
      </c>
      <c r="F8" s="13" t="n"/>
      <c r="G8" s="17" t="inlineStr">
        <is>
          <t>REGISTRO DE 2 DIAS HIMP</t>
        </is>
      </c>
      <c r="H8" s="10" t="inlineStr">
        <is>
          <t>Marabá|Março</t>
        </is>
      </c>
    </row>
    <row r="9">
      <c r="A9" s="10" t="n">
        <v>2026</v>
      </c>
      <c r="B9" s="10" t="n">
        <v>3</v>
      </c>
      <c r="C9" s="10" t="inlineStr">
        <is>
          <t>Março</t>
        </is>
      </c>
      <c r="D9" s="10" t="inlineStr">
        <is>
          <t>Parauapebas</t>
        </is>
      </c>
      <c r="E9" s="15" t="n">
        <v>3</v>
      </c>
      <c r="F9" s="13" t="n"/>
      <c r="G9" s="17" t="inlineStr">
        <is>
          <t>REGISTRO DE 3 DIAS HIMP</t>
        </is>
      </c>
      <c r="H9" s="10" t="inlineStr">
        <is>
          <t>Parauapebas|Março</t>
        </is>
      </c>
    </row>
    <row r="10">
      <c r="A10" s="10" t="n">
        <v>2026</v>
      </c>
      <c r="B10" s="10" t="n">
        <v>3</v>
      </c>
      <c r="C10" s="10" t="inlineStr">
        <is>
          <t>Março</t>
        </is>
      </c>
      <c r="D10" s="10" t="inlineStr">
        <is>
          <t>Canaã</t>
        </is>
      </c>
      <c r="E10" s="15" t="n">
        <v>2</v>
      </c>
      <c r="F10" s="13" t="n"/>
      <c r="G10" s="17" t="inlineStr">
        <is>
          <t>REGISTRO DE 2 DIAS HIMP</t>
        </is>
      </c>
      <c r="H10" s="10" t="inlineStr">
        <is>
          <t>Canaã|Março</t>
        </is>
      </c>
    </row>
    <row r="11">
      <c r="A11" s="10" t="n">
        <v>2026</v>
      </c>
      <c r="B11" s="10" t="n">
        <v>4</v>
      </c>
      <c r="C11" s="10" t="inlineStr">
        <is>
          <t>Abril</t>
        </is>
      </c>
      <c r="D11" s="10" t="inlineStr">
        <is>
          <t>Marabá</t>
        </is>
      </c>
      <c r="E11" s="15" t="n">
        <v>2</v>
      </c>
      <c r="F11" s="13" t="n"/>
      <c r="G11" s="17" t="inlineStr">
        <is>
          <t>REGISTRO DE 2 DIAS HIMP</t>
        </is>
      </c>
      <c r="H11" s="10" t="inlineStr">
        <is>
          <t>Marabá|Abril</t>
        </is>
      </c>
    </row>
    <row r="12">
      <c r="A12" s="10" t="n">
        <v>2026</v>
      </c>
      <c r="B12" s="10" t="n">
        <v>4</v>
      </c>
      <c r="C12" s="10" t="inlineStr">
        <is>
          <t>Abril</t>
        </is>
      </c>
      <c r="D12" s="10" t="inlineStr">
        <is>
          <t>Parauapebas</t>
        </is>
      </c>
      <c r="E12" s="15" t="n">
        <v>3</v>
      </c>
      <c r="F12" s="13" t="n"/>
      <c r="G12" s="17" t="inlineStr">
        <is>
          <t>REGISTRO DE 3 DIAS HIMP</t>
        </is>
      </c>
      <c r="H12" s="10" t="inlineStr">
        <is>
          <t>Parauapebas|Abril</t>
        </is>
      </c>
    </row>
    <row r="13">
      <c r="A13" s="10" t="n">
        <v>2026</v>
      </c>
      <c r="B13" s="10" t="n">
        <v>4</v>
      </c>
      <c r="C13" s="10" t="inlineStr">
        <is>
          <t>Abril</t>
        </is>
      </c>
      <c r="D13" s="10" t="inlineStr">
        <is>
          <t>Canaã</t>
        </is>
      </c>
      <c r="E13" s="15" t="n">
        <v>2</v>
      </c>
      <c r="F13" s="13" t="n"/>
      <c r="G13" s="17" t="inlineStr">
        <is>
          <t>REGISTRO DE 2 DIAS HIMP</t>
        </is>
      </c>
      <c r="H13" s="10" t="inlineStr">
        <is>
          <t>Canaã|Abril</t>
        </is>
      </c>
    </row>
    <row r="14">
      <c r="A14" s="10" t="n">
        <v>2026</v>
      </c>
      <c r="B14" s="10" t="n">
        <v>5</v>
      </c>
      <c r="C14" s="10" t="inlineStr">
        <is>
          <t>Maio</t>
        </is>
      </c>
      <c r="D14" s="10" t="inlineStr">
        <is>
          <t>Marabá</t>
        </is>
      </c>
      <c r="E14" s="15" t="n">
        <v>0</v>
      </c>
      <c r="F14" s="13" t="n"/>
      <c r="G14" s="17" t="inlineStr">
        <is>
          <t>SEM REGISTRO DE HIMP</t>
        </is>
      </c>
      <c r="H14" s="10" t="inlineStr">
        <is>
          <t>Marabá|Maio</t>
        </is>
      </c>
    </row>
    <row r="15">
      <c r="A15" s="10" t="n">
        <v>2026</v>
      </c>
      <c r="B15" s="10" t="n">
        <v>5</v>
      </c>
      <c r="C15" s="10" t="inlineStr">
        <is>
          <t>Maio</t>
        </is>
      </c>
      <c r="D15" s="10" t="inlineStr">
        <is>
          <t>Parauapebas</t>
        </is>
      </c>
      <c r="E15" s="15" t="n">
        <v>4</v>
      </c>
      <c r="F15" s="13" t="n"/>
      <c r="G15" s="17" t="inlineStr">
        <is>
          <t>REGISTRO DE 4 DIAS HIMP</t>
        </is>
      </c>
      <c r="H15" s="10" t="inlineStr">
        <is>
          <t>Parauapebas|Maio</t>
        </is>
      </c>
    </row>
    <row r="16">
      <c r="A16" s="10" t="n">
        <v>2026</v>
      </c>
      <c r="B16" s="10" t="n">
        <v>5</v>
      </c>
      <c r="C16" s="10" t="inlineStr">
        <is>
          <t>Maio</t>
        </is>
      </c>
      <c r="D16" s="10" t="inlineStr">
        <is>
          <t>Canaã</t>
        </is>
      </c>
      <c r="E16" s="15" t="n">
        <v>3</v>
      </c>
      <c r="F16" s="13" t="n"/>
      <c r="G16" s="17" t="inlineStr">
        <is>
          <t>REGISTRO DE 3 DIAS HIMP</t>
        </is>
      </c>
      <c r="H16" s="10" t="inlineStr">
        <is>
          <t>Canaã|Maio</t>
        </is>
      </c>
    </row>
    <row r="17">
      <c r="A17" s="10" t="n">
        <v>2026</v>
      </c>
      <c r="B17" s="10" t="n">
        <v>6</v>
      </c>
      <c r="C17" s="10" t="inlineStr">
        <is>
          <t>Junho</t>
        </is>
      </c>
      <c r="D17" s="10" t="inlineStr">
        <is>
          <t>Marabá</t>
        </is>
      </c>
      <c r="E17" s="15" t="n">
        <v>0</v>
      </c>
      <c r="F17" s="13" t="n">
        <v>0</v>
      </c>
      <c r="G17" s="17" t="inlineStr">
        <is>
          <t>SEM HORA IMPRODUTIVA</t>
        </is>
      </c>
      <c r="H17" s="10" t="inlineStr">
        <is>
          <t>Marabá|Junho</t>
        </is>
      </c>
    </row>
    <row r="18">
      <c r="A18" s="10" t="n">
        <v>2026</v>
      </c>
      <c r="B18" s="10" t="n">
        <v>6</v>
      </c>
      <c r="C18" s="10" t="inlineStr">
        <is>
          <t>Junho</t>
        </is>
      </c>
      <c r="D18" s="10" t="inlineStr">
        <is>
          <t>Parauapebas</t>
        </is>
      </c>
      <c r="E18" s="15" t="n">
        <v>3</v>
      </c>
      <c r="F18" s="13" t="n">
        <v>165</v>
      </c>
      <c r="G18" s="17" t="inlineStr">
        <is>
          <t>+ ATIVIDADE DE LIMPEZA DE BUEIRO</t>
        </is>
      </c>
      <c r="H18" s="10" t="inlineStr">
        <is>
          <t>Parauapebas|Junho</t>
        </is>
      </c>
    </row>
    <row r="19">
      <c r="A19" s="10" t="n">
        <v>2026</v>
      </c>
      <c r="B19" s="10" t="n">
        <v>6</v>
      </c>
      <c r="C19" s="10" t="inlineStr">
        <is>
          <t>Junho</t>
        </is>
      </c>
      <c r="D19" s="10" t="inlineStr">
        <is>
          <t>Canaã</t>
        </is>
      </c>
      <c r="E19" s="15" t="n">
        <v>0</v>
      </c>
      <c r="F19" s="13" t="n">
        <v>0</v>
      </c>
      <c r="G19" s="17" t="inlineStr">
        <is>
          <t>+ LIMPEZA DE BUEIRO/VALA, REMOÇAO DE SOLO E CORTE DE ÁRVORE
SEM HORA IMPRODUTIVA</t>
        </is>
      </c>
      <c r="H19" s="10" t="inlineStr">
        <is>
          <t>Canaã|Junho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E08E2B"/>
    <outlinePr summaryBelow="1" summaryRight="1"/>
    <pageSetUpPr/>
  </sheetPr>
  <dimension ref="A1:J42"/>
  <sheetViews>
    <sheetView showGridLines="0" workbookViewId="0">
      <selection activeCell="A1" sqref="A1"/>
    </sheetView>
  </sheetViews>
  <sheetFormatPr baseColWidth="8" defaultRowHeight="15" outlineLevelCol="0"/>
  <cols>
    <col width="26" customWidth="1" min="1" max="1"/>
    <col width="13" customWidth="1" min="2" max="2"/>
    <col width="24" customWidth="1" min="3" max="3"/>
    <col width="44" customWidth="1" min="4" max="4"/>
    <col width="14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PUS POR COLABORADOR — Junho/2026</t>
        </is>
      </c>
    </row>
    <row r="2">
      <c r="A2" s="2" t="inlineStr">
        <is>
          <t>Fórmula: PUS = Produção ÷ (Mão de Obra Direta × Horas Trabalhadas). Detalhe por colaborador e atividade (não soma unidades diferentes) + resumo geral por colaborador (Eficiência ponderada).</t>
        </is>
      </c>
    </row>
    <row r="4">
      <c r="A4" s="4" t="inlineStr">
        <is>
          <t>DETALHE — PUS POR COLABORADOR E ATIVIDADE</t>
        </is>
      </c>
    </row>
    <row r="5">
      <c r="A5" s="9" t="inlineStr">
        <is>
          <t>Colaborador</t>
        </is>
      </c>
      <c r="B5" s="9" t="inlineStr">
        <is>
          <t>Distrito</t>
        </is>
      </c>
      <c r="C5" s="9" t="inlineStr">
        <is>
          <t>Equipe</t>
        </is>
      </c>
      <c r="D5" s="9" t="inlineStr">
        <is>
          <t>Atividade_Codigo</t>
        </is>
      </c>
      <c r="E5" s="9" t="inlineStr">
        <is>
          <t>Atividade_Descricao</t>
        </is>
      </c>
      <c r="F5" s="9" t="inlineStr">
        <is>
          <t>Producao_Total</t>
        </is>
      </c>
      <c r="G5" s="9" t="inlineStr">
        <is>
          <t>Homens_Hora_Total</t>
        </is>
      </c>
      <c r="H5" s="9" t="inlineStr">
        <is>
          <t>PUS</t>
        </is>
      </c>
      <c r="I5" s="9" t="inlineStr">
        <is>
          <t>Meta_PUS</t>
        </is>
      </c>
      <c r="J5" s="9" t="inlineStr">
        <is>
          <t>Eficiencia</t>
        </is>
      </c>
    </row>
    <row r="6">
      <c r="A6" s="10" t="inlineStr">
        <is>
          <t>Gilvandro Borges Dos Santos</t>
        </is>
      </c>
      <c r="B6" s="10" t="inlineStr">
        <is>
          <t>Canaã</t>
        </is>
      </c>
      <c r="C6" s="10" t="inlineStr">
        <is>
          <t>Preventiva CANNÃ DOS CARAJAS</t>
        </is>
      </c>
      <c r="D6" s="10" t="inlineStr">
        <is>
          <t>2.1.2</t>
        </is>
      </c>
      <c r="E6" s="10" t="inlineStr">
        <is>
          <t>Limpeza De Bueiros</t>
        </is>
      </c>
      <c r="F6" s="18">
        <f>SUMIFS(tbl_FatoRDO[Producao],tbl_FatoRDO[Colaborador],A6,tbl_FatoRDO[Atividade_Codigo],D6)</f>
        <v/>
      </c>
      <c r="G6" s="18">
        <f>SUMIFS(tbl_FatoRDO[Homens_Hora],tbl_FatoRDO[Colaborador],A6,tbl_FatoRDO[Atividade_Codigo],D6)</f>
        <v/>
      </c>
      <c r="H6" s="18">
        <f>IF(G6=0,0,F6/G6)</f>
        <v/>
      </c>
      <c r="I6" s="19">
        <f>IFERROR(VLOOKUP(D6,tbl_DimAtividade[#All],4,FALSE),"")</f>
        <v/>
      </c>
      <c r="J6" s="20">
        <f>IFERROR(IF(I6="","",H6/I6),"")</f>
        <v/>
      </c>
    </row>
    <row r="7">
      <c r="A7" s="10" t="inlineStr">
        <is>
          <t>Gilvandro Borges Dos Santos</t>
        </is>
      </c>
      <c r="B7" s="10" t="inlineStr">
        <is>
          <t>Canaã</t>
        </is>
      </c>
      <c r="C7" s="10" t="inlineStr">
        <is>
          <t>Preventiva CANNÃ DOS CARAJAS</t>
        </is>
      </c>
      <c r="D7" s="10" t="inlineStr">
        <is>
          <t>2.1.3</t>
        </is>
      </c>
      <c r="E7" s="10" t="inlineStr">
        <is>
          <t>Limpeza De Canaleta Em Corte E Aterro Ate Meia Seção</t>
        </is>
      </c>
      <c r="F7" s="18">
        <f>SUMIFS(tbl_FatoRDO[Producao],tbl_FatoRDO[Colaborador],A7,tbl_FatoRDO[Atividade_Codigo],D7)</f>
        <v/>
      </c>
      <c r="G7" s="18">
        <f>SUMIFS(tbl_FatoRDO[Homens_Hora],tbl_FatoRDO[Colaborador],A7,tbl_FatoRDO[Atividade_Codigo],D7)</f>
        <v/>
      </c>
      <c r="H7" s="18">
        <f>IF(G7=0,0,F7/G7)</f>
        <v/>
      </c>
      <c r="I7" s="19">
        <f>IFERROR(VLOOKUP(D7,tbl_DimAtividade[#All],4,FALSE),"")</f>
        <v/>
      </c>
      <c r="J7" s="20">
        <f>IFERROR(IF(I7="","",H7/I7),"")</f>
        <v/>
      </c>
    </row>
    <row r="8">
      <c r="A8" s="10" t="inlineStr">
        <is>
          <t>Gilvandro Borges Dos Santos</t>
        </is>
      </c>
      <c r="B8" s="10" t="inlineStr">
        <is>
          <t>Canaã</t>
        </is>
      </c>
      <c r="C8" s="10" t="inlineStr">
        <is>
          <t>Preventiva CANNÃ DOS CARAJAS</t>
        </is>
      </c>
      <c r="D8" s="10" t="inlineStr">
        <is>
          <t>2.1.4</t>
        </is>
      </c>
      <c r="E8" s="10" t="inlineStr">
        <is>
          <t>Limpeza De Canaleta Em Corte E Aterro Com Seção Plena</t>
        </is>
      </c>
      <c r="F8" s="18">
        <f>SUMIFS(tbl_FatoRDO[Producao],tbl_FatoRDO[Colaborador],A8,tbl_FatoRDO[Atividade_Codigo],D8)</f>
        <v/>
      </c>
      <c r="G8" s="18">
        <f>SUMIFS(tbl_FatoRDO[Homens_Hora],tbl_FatoRDO[Colaborador],A8,tbl_FatoRDO[Atividade_Codigo],D8)</f>
        <v/>
      </c>
      <c r="H8" s="18">
        <f>IF(G8=0,0,F8/G8)</f>
        <v/>
      </c>
      <c r="I8" s="19">
        <f>IFERROR(VLOOKUP(D8,tbl_DimAtividade[#All],4,FALSE),"")</f>
        <v/>
      </c>
      <c r="J8" s="20">
        <f>IFERROR(IF(I8="","",H8/I8),"")</f>
        <v/>
      </c>
    </row>
    <row r="9">
      <c r="A9" s="10" t="inlineStr">
        <is>
          <t>Gilvandro Borges Dos Santos</t>
        </is>
      </c>
      <c r="B9" s="10" t="inlineStr">
        <is>
          <t>Canaã</t>
        </is>
      </c>
      <c r="C9" s="10" t="inlineStr">
        <is>
          <t>Preventiva CANNÃ DOS CARAJAS</t>
        </is>
      </c>
      <c r="D9" s="10" t="inlineStr">
        <is>
          <t>2.1.5</t>
        </is>
      </c>
      <c r="E9" s="10" t="inlineStr">
        <is>
          <t>Limpeza De Valeta, Sarjetas E Meio Fio</t>
        </is>
      </c>
      <c r="F9" s="18">
        <f>SUMIFS(tbl_FatoRDO[Producao],tbl_FatoRDO[Colaborador],A9,tbl_FatoRDO[Atividade_Codigo],D9)</f>
        <v/>
      </c>
      <c r="G9" s="18">
        <f>SUMIFS(tbl_FatoRDO[Homens_Hora],tbl_FatoRDO[Colaborador],A9,tbl_FatoRDO[Atividade_Codigo],D9)</f>
        <v/>
      </c>
      <c r="H9" s="18">
        <f>IF(G9=0,0,F9/G9)</f>
        <v/>
      </c>
      <c r="I9" s="19">
        <f>IFERROR(VLOOKUP(D9,tbl_DimAtividade[#All],4,FALSE),"")</f>
        <v/>
      </c>
      <c r="J9" s="20">
        <f>IFERROR(IF(I9="","",H9/I9),"")</f>
        <v/>
      </c>
    </row>
    <row r="10">
      <c r="A10" s="10" t="inlineStr">
        <is>
          <t>Gilvandro Borges Dos Santos</t>
        </is>
      </c>
      <c r="B10" s="10" t="inlineStr">
        <is>
          <t>Canaã</t>
        </is>
      </c>
      <c r="C10" s="10" t="inlineStr">
        <is>
          <t>Preventiva CANNÃ DOS CARAJAS</t>
        </is>
      </c>
      <c r="D10" s="10" t="inlineStr">
        <is>
          <t>2.1.7</t>
        </is>
      </c>
      <c r="E10" s="10" t="inlineStr">
        <is>
          <t>Recuperação De Drenagem Tipo Canaleta/Valeta Em Taludes, Limitando-Se A 100M De Extensão</t>
        </is>
      </c>
      <c r="F10" s="18">
        <f>SUMIFS(tbl_FatoRDO[Producao],tbl_FatoRDO[Colaborador],A10,tbl_FatoRDO[Atividade_Codigo],D10)</f>
        <v/>
      </c>
      <c r="G10" s="18">
        <f>SUMIFS(tbl_FatoRDO[Homens_Hora],tbl_FatoRDO[Colaborador],A10,tbl_FatoRDO[Atividade_Codigo],D10)</f>
        <v/>
      </c>
      <c r="H10" s="18">
        <f>IF(G10=0,0,F10/G10)</f>
        <v/>
      </c>
      <c r="I10" s="19">
        <f>IFERROR(VLOOKUP(D10,tbl_DimAtividade[#All],4,FALSE),"")</f>
        <v/>
      </c>
      <c r="J10" s="20">
        <f>IFERROR(IF(I10="","",H10/I10),"")</f>
        <v/>
      </c>
    </row>
    <row r="11">
      <c r="A11" s="10" t="inlineStr">
        <is>
          <t>Gilvandro Borges Dos Santos</t>
        </is>
      </c>
      <c r="B11" s="10" t="inlineStr">
        <is>
          <t>Canaã</t>
        </is>
      </c>
      <c r="C11" s="10" t="inlineStr">
        <is>
          <t>Preventiva CANNÃ DOS CARAJAS</t>
        </is>
      </c>
      <c r="D11" s="10" t="inlineStr">
        <is>
          <t>2.1.8</t>
        </is>
      </c>
      <c r="E11" s="10" t="inlineStr">
        <is>
          <t>Recuperação De Drenagem Tipop Sarjeta/Meio-Fio Em Plataforma, Limitando-Se A 100M De Extensão</t>
        </is>
      </c>
      <c r="F11" s="18">
        <f>SUMIFS(tbl_FatoRDO[Producao],tbl_FatoRDO[Colaborador],A11,tbl_FatoRDO[Atividade_Codigo],D11)</f>
        <v/>
      </c>
      <c r="G11" s="18">
        <f>SUMIFS(tbl_FatoRDO[Homens_Hora],tbl_FatoRDO[Colaborador],A11,tbl_FatoRDO[Atividade_Codigo],D11)</f>
        <v/>
      </c>
      <c r="H11" s="18">
        <f>IF(G11=0,0,F11/G11)</f>
        <v/>
      </c>
      <c r="I11" s="19">
        <f>IFERROR(VLOOKUP(D11,tbl_DimAtividade[#All],4,FALSE),"")</f>
        <v/>
      </c>
      <c r="J11" s="20">
        <f>IFERROR(IF(I11="","",H11/I11),"")</f>
        <v/>
      </c>
    </row>
    <row r="12">
      <c r="A12" s="10" t="inlineStr">
        <is>
          <t>Gilvandro Borges Dos Santos</t>
        </is>
      </c>
      <c r="B12" s="10" t="inlineStr">
        <is>
          <t>Canaã</t>
        </is>
      </c>
      <c r="C12" s="10" t="inlineStr">
        <is>
          <t>Preventiva CANNÃ DOS CARAJAS</t>
        </is>
      </c>
      <c r="D12" s="10" t="inlineStr">
        <is>
          <t>2.2.1</t>
        </is>
      </c>
      <c r="E12" s="10" t="inlineStr">
        <is>
          <t>Roçada</t>
        </is>
      </c>
      <c r="F12" s="18">
        <f>SUMIFS(tbl_FatoRDO[Producao],tbl_FatoRDO[Colaborador],A12,tbl_FatoRDO[Atividade_Codigo],D12)</f>
        <v/>
      </c>
      <c r="G12" s="18">
        <f>SUMIFS(tbl_FatoRDO[Homens_Hora],tbl_FatoRDO[Colaborador],A12,tbl_FatoRDO[Atividade_Codigo],D12)</f>
        <v/>
      </c>
      <c r="H12" s="18">
        <f>IF(G12=0,0,F12/G12)</f>
        <v/>
      </c>
      <c r="I12" s="19">
        <f>IFERROR(VLOOKUP(D12,tbl_DimAtividade[#All],4,FALSE),"")</f>
        <v/>
      </c>
      <c r="J12" s="20">
        <f>IFERROR(IF(I12="","",H12/I12),"")</f>
        <v/>
      </c>
    </row>
    <row r="13">
      <c r="A13" s="10" t="inlineStr">
        <is>
          <t>Gilvandro Borges Dos Santos</t>
        </is>
      </c>
      <c r="B13" s="10" t="inlineStr">
        <is>
          <t>Canaã</t>
        </is>
      </c>
      <c r="C13" s="10" t="inlineStr">
        <is>
          <t>Preventiva CANNÃ DOS CARAJAS</t>
        </is>
      </c>
      <c r="D13" s="10" t="inlineStr">
        <is>
          <t>2.2.2</t>
        </is>
      </c>
      <c r="E13" s="10" t="inlineStr">
        <is>
          <t>Capina</t>
        </is>
      </c>
      <c r="F13" s="18">
        <f>SUMIFS(tbl_FatoRDO[Producao],tbl_FatoRDO[Colaborador],A13,tbl_FatoRDO[Atividade_Codigo],D13)</f>
        <v/>
      </c>
      <c r="G13" s="18">
        <f>SUMIFS(tbl_FatoRDO[Homens_Hora],tbl_FatoRDO[Colaborador],A13,tbl_FatoRDO[Atividade_Codigo],D13)</f>
        <v/>
      </c>
      <c r="H13" s="18">
        <f>IF(G13=0,0,F13/G13)</f>
        <v/>
      </c>
      <c r="I13" s="19">
        <f>IFERROR(VLOOKUP(D13,tbl_DimAtividade[#All],4,FALSE),"")</f>
        <v/>
      </c>
      <c r="J13" s="20">
        <f>IFERROR(IF(I13="","",H13/I13),"")</f>
        <v/>
      </c>
    </row>
    <row r="14">
      <c r="A14" s="10" t="inlineStr">
        <is>
          <t>Jose Domingos Lopes</t>
        </is>
      </c>
      <c r="B14" s="10" t="inlineStr">
        <is>
          <t>Marabá</t>
        </is>
      </c>
      <c r="C14" s="10" t="inlineStr">
        <is>
          <t>Preventiva MARABA</t>
        </is>
      </c>
      <c r="D14" s="10" t="inlineStr">
        <is>
          <t>2.1.2</t>
        </is>
      </c>
      <c r="E14" s="10" t="inlineStr">
        <is>
          <t>Limpeza De Bueiros</t>
        </is>
      </c>
      <c r="F14" s="18">
        <f>SUMIFS(tbl_FatoRDO[Producao],tbl_FatoRDO[Colaborador],A14,tbl_FatoRDO[Atividade_Codigo],D14)</f>
        <v/>
      </c>
      <c r="G14" s="18">
        <f>SUMIFS(tbl_FatoRDO[Homens_Hora],tbl_FatoRDO[Colaborador],A14,tbl_FatoRDO[Atividade_Codigo],D14)</f>
        <v/>
      </c>
      <c r="H14" s="18">
        <f>IF(G14=0,0,F14/G14)</f>
        <v/>
      </c>
      <c r="I14" s="19">
        <f>IFERROR(VLOOKUP(D14,tbl_DimAtividade[#All],4,FALSE),"")</f>
        <v/>
      </c>
      <c r="J14" s="20">
        <f>IFERROR(IF(I14="","",H14/I14),"")</f>
        <v/>
      </c>
    </row>
    <row r="15">
      <c r="A15" s="10" t="inlineStr">
        <is>
          <t>Jose Domingos Lopes</t>
        </is>
      </c>
      <c r="B15" s="10" t="inlineStr">
        <is>
          <t>Marabá</t>
        </is>
      </c>
      <c r="C15" s="10" t="inlineStr">
        <is>
          <t>Preventiva MARABA</t>
        </is>
      </c>
      <c r="D15" s="10" t="inlineStr">
        <is>
          <t>2.1.3</t>
        </is>
      </c>
      <c r="E15" s="10" t="inlineStr">
        <is>
          <t>Limpeza De Canaleta Em Corte E Aterro Ate Meia Seção</t>
        </is>
      </c>
      <c r="F15" s="18">
        <f>SUMIFS(tbl_FatoRDO[Producao],tbl_FatoRDO[Colaborador],A15,tbl_FatoRDO[Atividade_Codigo],D15)</f>
        <v/>
      </c>
      <c r="G15" s="18">
        <f>SUMIFS(tbl_FatoRDO[Homens_Hora],tbl_FatoRDO[Colaborador],A15,tbl_FatoRDO[Atividade_Codigo],D15)</f>
        <v/>
      </c>
      <c r="H15" s="18">
        <f>IF(G15=0,0,F15/G15)</f>
        <v/>
      </c>
      <c r="I15" s="19">
        <f>IFERROR(VLOOKUP(D15,tbl_DimAtividade[#All],4,FALSE),"")</f>
        <v/>
      </c>
      <c r="J15" s="20">
        <f>IFERROR(IF(I15="","",H15/I15),"")</f>
        <v/>
      </c>
    </row>
    <row r="16">
      <c r="A16" s="10" t="inlineStr">
        <is>
          <t>Jose Domingos Lopes</t>
        </is>
      </c>
      <c r="B16" s="10" t="inlineStr">
        <is>
          <t>Marabá</t>
        </is>
      </c>
      <c r="C16" s="10" t="inlineStr">
        <is>
          <t>Preventiva MARABA</t>
        </is>
      </c>
      <c r="D16" s="10" t="inlineStr">
        <is>
          <t>2.1.3.1</t>
        </is>
      </c>
      <c r="E16" s="10" t="inlineStr">
        <is>
          <t>Limpeza De Canaleta Em Corte E Aterro Ate Meia Seção - Mec</t>
        </is>
      </c>
      <c r="F16" s="18">
        <f>SUMIFS(tbl_FatoRDO[Producao],tbl_FatoRDO[Colaborador],A16,tbl_FatoRDO[Atividade_Codigo],D16)</f>
        <v/>
      </c>
      <c r="G16" s="18">
        <f>SUMIFS(tbl_FatoRDO[Homens_Hora],tbl_FatoRDO[Colaborador],A16,tbl_FatoRDO[Atividade_Codigo],D16)</f>
        <v/>
      </c>
      <c r="H16" s="18">
        <f>IF(G16=0,0,F16/G16)</f>
        <v/>
      </c>
      <c r="I16" s="19">
        <f>IFERROR(VLOOKUP(D16,tbl_DimAtividade[#All],4,FALSE),"")</f>
        <v/>
      </c>
      <c r="J16" s="20">
        <f>IFERROR(IF(I16="","",H16/I16),"")</f>
        <v/>
      </c>
    </row>
    <row r="17">
      <c r="A17" s="10" t="inlineStr">
        <is>
          <t>Jose Domingos Lopes</t>
        </is>
      </c>
      <c r="B17" s="10" t="inlineStr">
        <is>
          <t>Marabá</t>
        </is>
      </c>
      <c r="C17" s="10" t="inlineStr">
        <is>
          <t>Preventiva MARABA</t>
        </is>
      </c>
      <c r="D17" s="10" t="inlineStr">
        <is>
          <t>2.1.4</t>
        </is>
      </c>
      <c r="E17" s="10" t="inlineStr">
        <is>
          <t>Limpeza De Canaleta Em Corte E Aterro Com Seção Plena</t>
        </is>
      </c>
      <c r="F17" s="18">
        <f>SUMIFS(tbl_FatoRDO[Producao],tbl_FatoRDO[Colaborador],A17,tbl_FatoRDO[Atividade_Codigo],D17)</f>
        <v/>
      </c>
      <c r="G17" s="18">
        <f>SUMIFS(tbl_FatoRDO[Homens_Hora],tbl_FatoRDO[Colaborador],A17,tbl_FatoRDO[Atividade_Codigo],D17)</f>
        <v/>
      </c>
      <c r="H17" s="18">
        <f>IF(G17=0,0,F17/G17)</f>
        <v/>
      </c>
      <c r="I17" s="19">
        <f>IFERROR(VLOOKUP(D17,tbl_DimAtividade[#All],4,FALSE),"")</f>
        <v/>
      </c>
      <c r="J17" s="20">
        <f>IFERROR(IF(I17="","",H17/I17),"")</f>
        <v/>
      </c>
    </row>
    <row r="18">
      <c r="A18" s="10" t="inlineStr">
        <is>
          <t>Jose Domingos Lopes</t>
        </is>
      </c>
      <c r="B18" s="10" t="inlineStr">
        <is>
          <t>Marabá</t>
        </is>
      </c>
      <c r="C18" s="10" t="inlineStr">
        <is>
          <t>Preventiva MARABA</t>
        </is>
      </c>
      <c r="D18" s="10" t="inlineStr">
        <is>
          <t>2.1.4.1</t>
        </is>
      </c>
      <c r="E18" s="10" t="inlineStr">
        <is>
          <t>Limpeza De Canaleta Em Corte E Aterro Com Seção Plena - Mec</t>
        </is>
      </c>
      <c r="F18" s="18">
        <f>SUMIFS(tbl_FatoRDO[Producao],tbl_FatoRDO[Colaborador],A18,tbl_FatoRDO[Atividade_Codigo],D18)</f>
        <v/>
      </c>
      <c r="G18" s="18">
        <f>SUMIFS(tbl_FatoRDO[Homens_Hora],tbl_FatoRDO[Colaborador],A18,tbl_FatoRDO[Atividade_Codigo],D18)</f>
        <v/>
      </c>
      <c r="H18" s="18">
        <f>IF(G18=0,0,F18/G18)</f>
        <v/>
      </c>
      <c r="I18" s="19">
        <f>IFERROR(VLOOKUP(D18,tbl_DimAtividade[#All],4,FALSE),"")</f>
        <v/>
      </c>
      <c r="J18" s="20">
        <f>IFERROR(IF(I18="","",H18/I18),"")</f>
        <v/>
      </c>
    </row>
    <row r="19">
      <c r="A19" s="10" t="inlineStr">
        <is>
          <t>Jose Domingos Lopes</t>
        </is>
      </c>
      <c r="B19" s="10" t="inlineStr">
        <is>
          <t>Marabá</t>
        </is>
      </c>
      <c r="C19" s="10" t="inlineStr">
        <is>
          <t>Preventiva MARABA</t>
        </is>
      </c>
      <c r="D19" s="10" t="inlineStr">
        <is>
          <t>2.1.5</t>
        </is>
      </c>
      <c r="E19" s="10" t="inlineStr">
        <is>
          <t>Limpeza De Valeta, Sarjetas E Meio Fio</t>
        </is>
      </c>
      <c r="F19" s="18">
        <f>SUMIFS(tbl_FatoRDO[Producao],tbl_FatoRDO[Colaborador],A19,tbl_FatoRDO[Atividade_Codigo],D19)</f>
        <v/>
      </c>
      <c r="G19" s="18">
        <f>SUMIFS(tbl_FatoRDO[Homens_Hora],tbl_FatoRDO[Colaborador],A19,tbl_FatoRDO[Atividade_Codigo],D19)</f>
        <v/>
      </c>
      <c r="H19" s="18">
        <f>IF(G19=0,0,F19/G19)</f>
        <v/>
      </c>
      <c r="I19" s="19">
        <f>IFERROR(VLOOKUP(D19,tbl_DimAtividade[#All],4,FALSE),"")</f>
        <v/>
      </c>
      <c r="J19" s="20">
        <f>IFERROR(IF(I19="","",H19/I19),"")</f>
        <v/>
      </c>
    </row>
    <row r="20">
      <c r="A20" s="10" t="inlineStr">
        <is>
          <t>Jose Domingos Lopes</t>
        </is>
      </c>
      <c r="B20" s="10" t="inlineStr">
        <is>
          <t>Marabá</t>
        </is>
      </c>
      <c r="C20" s="10" t="inlineStr">
        <is>
          <t>Preventiva MARABA</t>
        </is>
      </c>
      <c r="D20" s="10" t="inlineStr">
        <is>
          <t>2.1.7</t>
        </is>
      </c>
      <c r="E20" s="10" t="inlineStr">
        <is>
          <t>Recuperação De Drenagem Tipo Canaleta/Valeta Em Taludes, Limitando-Se A 100M De Extensão</t>
        </is>
      </c>
      <c r="F20" s="18">
        <f>SUMIFS(tbl_FatoRDO[Producao],tbl_FatoRDO[Colaborador],A20,tbl_FatoRDO[Atividade_Codigo],D20)</f>
        <v/>
      </c>
      <c r="G20" s="18">
        <f>SUMIFS(tbl_FatoRDO[Homens_Hora],tbl_FatoRDO[Colaborador],A20,tbl_FatoRDO[Atividade_Codigo],D20)</f>
        <v/>
      </c>
      <c r="H20" s="18">
        <f>IF(G20=0,0,F20/G20)</f>
        <v/>
      </c>
      <c r="I20" s="19">
        <f>IFERROR(VLOOKUP(D20,tbl_DimAtividade[#All],4,FALSE),"")</f>
        <v/>
      </c>
      <c r="J20" s="20">
        <f>IFERROR(IF(I20="","",H20/I20),"")</f>
        <v/>
      </c>
    </row>
    <row r="21">
      <c r="A21" s="10" t="inlineStr">
        <is>
          <t>Jose Domingos Lopes</t>
        </is>
      </c>
      <c r="B21" s="10" t="inlineStr">
        <is>
          <t>Marabá</t>
        </is>
      </c>
      <c r="C21" s="10" t="inlineStr">
        <is>
          <t>Preventiva MARABA</t>
        </is>
      </c>
      <c r="D21" s="10" t="inlineStr">
        <is>
          <t>2.1.8</t>
        </is>
      </c>
      <c r="E21" s="10" t="inlineStr">
        <is>
          <t>Recuperação De Drenagem Tipop Sarjeta/Meio-Fio Em Plataforma, Limitando-Se A 100M De Extensão</t>
        </is>
      </c>
      <c r="F21" s="18">
        <f>SUMIFS(tbl_FatoRDO[Producao],tbl_FatoRDO[Colaborador],A21,tbl_FatoRDO[Atividade_Codigo],D21)</f>
        <v/>
      </c>
      <c r="G21" s="18">
        <f>SUMIFS(tbl_FatoRDO[Homens_Hora],tbl_FatoRDO[Colaborador],A21,tbl_FatoRDO[Atividade_Codigo],D21)</f>
        <v/>
      </c>
      <c r="H21" s="18">
        <f>IF(G21=0,0,F21/G21)</f>
        <v/>
      </c>
      <c r="I21" s="19">
        <f>IFERROR(VLOOKUP(D21,tbl_DimAtividade[#All],4,FALSE),"")</f>
        <v/>
      </c>
      <c r="J21" s="20">
        <f>IFERROR(IF(I21="","",H21/I21),"")</f>
        <v/>
      </c>
    </row>
    <row r="22">
      <c r="A22" s="10" t="inlineStr">
        <is>
          <t>Jose Domingos Lopes</t>
        </is>
      </c>
      <c r="B22" s="10" t="inlineStr">
        <is>
          <t>Marabá</t>
        </is>
      </c>
      <c r="C22" s="10" t="inlineStr">
        <is>
          <t>Preventiva MARABA</t>
        </is>
      </c>
      <c r="D22" s="10" t="inlineStr">
        <is>
          <t>2.2.1</t>
        </is>
      </c>
      <c r="E22" s="10" t="inlineStr">
        <is>
          <t>Roçada</t>
        </is>
      </c>
      <c r="F22" s="18">
        <f>SUMIFS(tbl_FatoRDO[Producao],tbl_FatoRDO[Colaborador],A22,tbl_FatoRDO[Atividade_Codigo],D22)</f>
        <v/>
      </c>
      <c r="G22" s="18">
        <f>SUMIFS(tbl_FatoRDO[Homens_Hora],tbl_FatoRDO[Colaborador],A22,tbl_FatoRDO[Atividade_Codigo],D22)</f>
        <v/>
      </c>
      <c r="H22" s="18">
        <f>IF(G22=0,0,F22/G22)</f>
        <v/>
      </c>
      <c r="I22" s="19">
        <f>IFERROR(VLOOKUP(D22,tbl_DimAtividade[#All],4,FALSE),"")</f>
        <v/>
      </c>
      <c r="J22" s="20">
        <f>IFERROR(IF(I22="","",H22/I22),"")</f>
        <v/>
      </c>
    </row>
    <row r="23">
      <c r="A23" s="10" t="inlineStr">
        <is>
          <t>Jose Domingos Lopes</t>
        </is>
      </c>
      <c r="B23" s="10" t="inlineStr">
        <is>
          <t>Marabá</t>
        </is>
      </c>
      <c r="C23" s="10" t="inlineStr">
        <is>
          <t>Preventiva MARABA</t>
        </is>
      </c>
      <c r="D23" s="10" t="inlineStr">
        <is>
          <t>2.2.1.1</t>
        </is>
      </c>
      <c r="E23" s="10" t="inlineStr">
        <is>
          <t>Roçada - Mec</t>
        </is>
      </c>
      <c r="F23" s="18">
        <f>SUMIFS(tbl_FatoRDO[Producao],tbl_FatoRDO[Colaborador],A23,tbl_FatoRDO[Atividade_Codigo],D23)</f>
        <v/>
      </c>
      <c r="G23" s="18">
        <f>SUMIFS(tbl_FatoRDO[Homens_Hora],tbl_FatoRDO[Colaborador],A23,tbl_FatoRDO[Atividade_Codigo],D23)</f>
        <v/>
      </c>
      <c r="H23" s="18">
        <f>IF(G23=0,0,F23/G23)</f>
        <v/>
      </c>
      <c r="I23" s="19">
        <f>IFERROR(VLOOKUP(D23,tbl_DimAtividade[#All],4,FALSE),"")</f>
        <v/>
      </c>
      <c r="J23" s="20">
        <f>IFERROR(IF(I23="","",H23/I23),"")</f>
        <v/>
      </c>
    </row>
    <row r="24">
      <c r="A24" s="10" t="inlineStr">
        <is>
          <t>Jose Domingos Lopes</t>
        </is>
      </c>
      <c r="B24" s="10" t="inlineStr">
        <is>
          <t>Marabá</t>
        </is>
      </c>
      <c r="C24" s="10" t="inlineStr">
        <is>
          <t>Preventiva MARABA</t>
        </is>
      </c>
      <c r="D24" s="10" t="inlineStr">
        <is>
          <t>2.2.2</t>
        </is>
      </c>
      <c r="E24" s="10" t="inlineStr">
        <is>
          <t>Capina</t>
        </is>
      </c>
      <c r="F24" s="18">
        <f>SUMIFS(tbl_FatoRDO[Producao],tbl_FatoRDO[Colaborador],A24,tbl_FatoRDO[Atividade_Codigo],D24)</f>
        <v/>
      </c>
      <c r="G24" s="18">
        <f>SUMIFS(tbl_FatoRDO[Homens_Hora],tbl_FatoRDO[Colaborador],A24,tbl_FatoRDO[Atividade_Codigo],D24)</f>
        <v/>
      </c>
      <c r="H24" s="18">
        <f>IF(G24=0,0,F24/G24)</f>
        <v/>
      </c>
      <c r="I24" s="19">
        <f>IFERROR(VLOOKUP(D24,tbl_DimAtividade[#All],4,FALSE),"")</f>
        <v/>
      </c>
      <c r="J24" s="20">
        <f>IFERROR(IF(I24="","",H24/I24),"")</f>
        <v/>
      </c>
    </row>
    <row r="25">
      <c r="A25" s="10" t="inlineStr">
        <is>
          <t>Jose Domingos Lopes</t>
        </is>
      </c>
      <c r="B25" s="10" t="inlineStr">
        <is>
          <t>Marabá</t>
        </is>
      </c>
      <c r="C25" s="10" t="inlineStr">
        <is>
          <t>Preventiva MARABA</t>
        </is>
      </c>
      <c r="D25" s="10" t="inlineStr">
        <is>
          <t>2.2.2.1</t>
        </is>
      </c>
      <c r="E25" s="10" t="inlineStr">
        <is>
          <t>Capina  - Mec</t>
        </is>
      </c>
      <c r="F25" s="18">
        <f>SUMIFS(tbl_FatoRDO[Producao],tbl_FatoRDO[Colaborador],A25,tbl_FatoRDO[Atividade_Codigo],D25)</f>
        <v/>
      </c>
      <c r="G25" s="18">
        <f>SUMIFS(tbl_FatoRDO[Homens_Hora],tbl_FatoRDO[Colaborador],A25,tbl_FatoRDO[Atividade_Codigo],D25)</f>
        <v/>
      </c>
      <c r="H25" s="18">
        <f>IF(G25=0,0,F25/G25)</f>
        <v/>
      </c>
      <c r="I25" s="19">
        <f>IFERROR(VLOOKUP(D25,tbl_DimAtividade[#All],4,FALSE),"")</f>
        <v/>
      </c>
      <c r="J25" s="20">
        <f>IFERROR(IF(I25="","",H25/I25),"")</f>
        <v/>
      </c>
    </row>
    <row r="26">
      <c r="A26" s="10" t="inlineStr">
        <is>
          <t>Jose Domingos Lopes</t>
        </is>
      </c>
      <c r="B26" s="10" t="inlineStr">
        <is>
          <t>Marabá</t>
        </is>
      </c>
      <c r="C26" s="10" t="inlineStr">
        <is>
          <t>Preventiva MARABA</t>
        </is>
      </c>
      <c r="D26" s="10" t="inlineStr">
        <is>
          <t>2.2.5</t>
        </is>
      </c>
      <c r="E26" s="10" t="inlineStr">
        <is>
          <t>Remoção De Solo</t>
        </is>
      </c>
      <c r="F26" s="18">
        <f>SUMIFS(tbl_FatoRDO[Producao],tbl_FatoRDO[Colaborador],A26,tbl_FatoRDO[Atividade_Codigo],D26)</f>
        <v/>
      </c>
      <c r="G26" s="18">
        <f>SUMIFS(tbl_FatoRDO[Homens_Hora],tbl_FatoRDO[Colaborador],A26,tbl_FatoRDO[Atividade_Codigo],D26)</f>
        <v/>
      </c>
      <c r="H26" s="18">
        <f>IF(G26=0,0,F26/G26)</f>
        <v/>
      </c>
      <c r="I26" s="19">
        <f>IFERROR(VLOOKUP(D26,tbl_DimAtividade[#All],4,FALSE),"")</f>
        <v/>
      </c>
      <c r="J26" s="20">
        <f>IFERROR(IF(I26="","",H26/I26),"")</f>
        <v/>
      </c>
    </row>
    <row r="27">
      <c r="A27" s="10" t="inlineStr">
        <is>
          <t>Leandro Soares Dias</t>
        </is>
      </c>
      <c r="B27" s="10" t="inlineStr">
        <is>
          <t>Parauapebas</t>
        </is>
      </c>
      <c r="C27" s="10" t="inlineStr">
        <is>
          <t>Preventiva PARAUAPEBAS</t>
        </is>
      </c>
      <c r="D27" s="10" t="inlineStr">
        <is>
          <t>2.1.2</t>
        </is>
      </c>
      <c r="E27" s="10" t="inlineStr">
        <is>
          <t>Limpeza De Bueiros</t>
        </is>
      </c>
      <c r="F27" s="18">
        <f>SUMIFS(tbl_FatoRDO[Producao],tbl_FatoRDO[Colaborador],A27,tbl_FatoRDO[Atividade_Codigo],D27)</f>
        <v/>
      </c>
      <c r="G27" s="18">
        <f>SUMIFS(tbl_FatoRDO[Homens_Hora],tbl_FatoRDO[Colaborador],A27,tbl_FatoRDO[Atividade_Codigo],D27)</f>
        <v/>
      </c>
      <c r="H27" s="18">
        <f>IF(G27=0,0,F27/G27)</f>
        <v/>
      </c>
      <c r="I27" s="19">
        <f>IFERROR(VLOOKUP(D27,tbl_DimAtividade[#All],4,FALSE),"")</f>
        <v/>
      </c>
      <c r="J27" s="20">
        <f>IFERROR(IF(I27="","",H27/I27),"")</f>
        <v/>
      </c>
    </row>
    <row r="28">
      <c r="A28" s="10" t="inlineStr">
        <is>
          <t>Leandro Soares Dias</t>
        </is>
      </c>
      <c r="B28" s="10" t="inlineStr">
        <is>
          <t>Parauapebas</t>
        </is>
      </c>
      <c r="C28" s="10" t="inlineStr">
        <is>
          <t>Preventiva PARAUAPEBAS</t>
        </is>
      </c>
      <c r="D28" s="10" t="inlineStr">
        <is>
          <t>2.1.3</t>
        </is>
      </c>
      <c r="E28" s="10" t="inlineStr">
        <is>
          <t>Limpeza De Canaleta Em Corte E Aterro Ate Meia Seção</t>
        </is>
      </c>
      <c r="F28" s="18">
        <f>SUMIFS(tbl_FatoRDO[Producao],tbl_FatoRDO[Colaborador],A28,tbl_FatoRDO[Atividade_Codigo],D28)</f>
        <v/>
      </c>
      <c r="G28" s="18">
        <f>SUMIFS(tbl_FatoRDO[Homens_Hora],tbl_FatoRDO[Colaborador],A28,tbl_FatoRDO[Atividade_Codigo],D28)</f>
        <v/>
      </c>
      <c r="H28" s="18">
        <f>IF(G28=0,0,F28/G28)</f>
        <v/>
      </c>
      <c r="I28" s="19">
        <f>IFERROR(VLOOKUP(D28,tbl_DimAtividade[#All],4,FALSE),"")</f>
        <v/>
      </c>
      <c r="J28" s="20">
        <f>IFERROR(IF(I28="","",H28/I28),"")</f>
        <v/>
      </c>
    </row>
    <row r="29">
      <c r="A29" s="10" t="inlineStr">
        <is>
          <t>Leandro Soares Dias</t>
        </is>
      </c>
      <c r="B29" s="10" t="inlineStr">
        <is>
          <t>Parauapebas</t>
        </is>
      </c>
      <c r="C29" s="10" t="inlineStr">
        <is>
          <t>Preventiva PARAUAPEBAS</t>
        </is>
      </c>
      <c r="D29" s="10" t="inlineStr">
        <is>
          <t>2.1.4</t>
        </is>
      </c>
      <c r="E29" s="10" t="inlineStr">
        <is>
          <t>Limpeza De Canaleta Em Corte E Aterro Com Seção Plena</t>
        </is>
      </c>
      <c r="F29" s="18">
        <f>SUMIFS(tbl_FatoRDO[Producao],tbl_FatoRDO[Colaborador],A29,tbl_FatoRDO[Atividade_Codigo],D29)</f>
        <v/>
      </c>
      <c r="G29" s="18">
        <f>SUMIFS(tbl_FatoRDO[Homens_Hora],tbl_FatoRDO[Colaborador],A29,tbl_FatoRDO[Atividade_Codigo],D29)</f>
        <v/>
      </c>
      <c r="H29" s="18">
        <f>IF(G29=0,0,F29/G29)</f>
        <v/>
      </c>
      <c r="I29" s="19">
        <f>IFERROR(VLOOKUP(D29,tbl_DimAtividade[#All],4,FALSE),"")</f>
        <v/>
      </c>
      <c r="J29" s="20">
        <f>IFERROR(IF(I29="","",H29/I29),"")</f>
        <v/>
      </c>
    </row>
    <row r="30">
      <c r="A30" s="10" t="inlineStr">
        <is>
          <t>Leandro Soares Dias</t>
        </is>
      </c>
      <c r="B30" s="10" t="inlineStr">
        <is>
          <t>Parauapebas</t>
        </is>
      </c>
      <c r="C30" s="10" t="inlineStr">
        <is>
          <t>Preventiva PARAUAPEBAS</t>
        </is>
      </c>
      <c r="D30" s="10" t="inlineStr">
        <is>
          <t>2.1.5</t>
        </is>
      </c>
      <c r="E30" s="10" t="inlineStr">
        <is>
          <t>Limpeza De Valeta, Sarjetas E Meio Fio</t>
        </is>
      </c>
      <c r="F30" s="18">
        <f>SUMIFS(tbl_FatoRDO[Producao],tbl_FatoRDO[Colaborador],A30,tbl_FatoRDO[Atividade_Codigo],D30)</f>
        <v/>
      </c>
      <c r="G30" s="18">
        <f>SUMIFS(tbl_FatoRDO[Homens_Hora],tbl_FatoRDO[Colaborador],A30,tbl_FatoRDO[Atividade_Codigo],D30)</f>
        <v/>
      </c>
      <c r="H30" s="18">
        <f>IF(G30=0,0,F30/G30)</f>
        <v/>
      </c>
      <c r="I30" s="19">
        <f>IFERROR(VLOOKUP(D30,tbl_DimAtividade[#All],4,FALSE),"")</f>
        <v/>
      </c>
      <c r="J30" s="20">
        <f>IFERROR(IF(I30="","",H30/I30),"")</f>
        <v/>
      </c>
    </row>
    <row r="31">
      <c r="A31" s="10" t="inlineStr">
        <is>
          <t>Leandro Soares Dias</t>
        </is>
      </c>
      <c r="B31" s="10" t="inlineStr">
        <is>
          <t>Parauapebas</t>
        </is>
      </c>
      <c r="C31" s="10" t="inlineStr">
        <is>
          <t>Preventiva PARAUAPEBAS</t>
        </is>
      </c>
      <c r="D31" s="10" t="inlineStr">
        <is>
          <t>2.1.8</t>
        </is>
      </c>
      <c r="E31" s="10" t="inlineStr">
        <is>
          <t>Recuperação De Drenagem Tipop Sarjeta/Meio-Fio Em Plataforma, Limitando-Se A 100M De Extensão</t>
        </is>
      </c>
      <c r="F31" s="18">
        <f>SUMIFS(tbl_FatoRDO[Producao],tbl_FatoRDO[Colaborador],A31,tbl_FatoRDO[Atividade_Codigo],D31)</f>
        <v/>
      </c>
      <c r="G31" s="18">
        <f>SUMIFS(tbl_FatoRDO[Homens_Hora],tbl_FatoRDO[Colaborador],A31,tbl_FatoRDO[Atividade_Codigo],D31)</f>
        <v/>
      </c>
      <c r="H31" s="18">
        <f>IF(G31=0,0,F31/G31)</f>
        <v/>
      </c>
      <c r="I31" s="19">
        <f>IFERROR(VLOOKUP(D31,tbl_DimAtividade[#All],4,FALSE),"")</f>
        <v/>
      </c>
      <c r="J31" s="20">
        <f>IFERROR(IF(I31="","",H31/I31),"")</f>
        <v/>
      </c>
    </row>
    <row r="32">
      <c r="A32" s="10" t="inlineStr">
        <is>
          <t>Leandro Soares Dias</t>
        </is>
      </c>
      <c r="B32" s="10" t="inlineStr">
        <is>
          <t>Parauapebas</t>
        </is>
      </c>
      <c r="C32" s="10" t="inlineStr">
        <is>
          <t>Preventiva PARAUAPEBAS</t>
        </is>
      </c>
      <c r="D32" s="10" t="inlineStr">
        <is>
          <t>2.2.1</t>
        </is>
      </c>
      <c r="E32" s="10" t="inlineStr">
        <is>
          <t>Roçada</t>
        </is>
      </c>
      <c r="F32" s="18">
        <f>SUMIFS(tbl_FatoRDO[Producao],tbl_FatoRDO[Colaborador],A32,tbl_FatoRDO[Atividade_Codigo],D32)</f>
        <v/>
      </c>
      <c r="G32" s="18">
        <f>SUMIFS(tbl_FatoRDO[Homens_Hora],tbl_FatoRDO[Colaborador],A32,tbl_FatoRDO[Atividade_Codigo],D32)</f>
        <v/>
      </c>
      <c r="H32" s="18">
        <f>IF(G32=0,0,F32/G32)</f>
        <v/>
      </c>
      <c r="I32" s="19">
        <f>IFERROR(VLOOKUP(D32,tbl_DimAtividade[#All],4,FALSE),"")</f>
        <v/>
      </c>
      <c r="J32" s="20">
        <f>IFERROR(IF(I32="","",H32/I32),"")</f>
        <v/>
      </c>
    </row>
    <row r="33">
      <c r="A33" s="10" t="inlineStr">
        <is>
          <t>Leandro Soares Dias</t>
        </is>
      </c>
      <c r="B33" s="10" t="inlineStr">
        <is>
          <t>Parauapebas</t>
        </is>
      </c>
      <c r="C33" s="10" t="inlineStr">
        <is>
          <t>Preventiva PARAUAPEBAS</t>
        </is>
      </c>
      <c r="D33" s="10" t="inlineStr">
        <is>
          <t>2.2.2</t>
        </is>
      </c>
      <c r="E33" s="10" t="inlineStr">
        <is>
          <t>Capina</t>
        </is>
      </c>
      <c r="F33" s="18">
        <f>SUMIFS(tbl_FatoRDO[Producao],tbl_FatoRDO[Colaborador],A33,tbl_FatoRDO[Atividade_Codigo],D33)</f>
        <v/>
      </c>
      <c r="G33" s="18">
        <f>SUMIFS(tbl_FatoRDO[Homens_Hora],tbl_FatoRDO[Colaborador],A33,tbl_FatoRDO[Atividade_Codigo],D33)</f>
        <v/>
      </c>
      <c r="H33" s="18">
        <f>IF(G33=0,0,F33/G33)</f>
        <v/>
      </c>
      <c r="I33" s="19">
        <f>IFERROR(VLOOKUP(D33,tbl_DimAtividade[#All],4,FALSE),"")</f>
        <v/>
      </c>
      <c r="J33" s="20">
        <f>IFERROR(IF(I33="","",H33/I33),"")</f>
        <v/>
      </c>
    </row>
    <row r="36">
      <c r="A36" s="4" t="inlineStr">
        <is>
          <t>RESUMO — VISÃO GERAL POR COLABORADOR (todas as atividades, ponderado por homens-hora)</t>
        </is>
      </c>
    </row>
    <row r="37">
      <c r="A37" s="9" t="inlineStr">
        <is>
          <t>Colaborador</t>
        </is>
      </c>
      <c r="B37" s="9" t="inlineStr">
        <is>
          <t>Distrito</t>
        </is>
      </c>
      <c r="C37" s="9" t="inlineStr">
        <is>
          <t>Equipe</t>
        </is>
      </c>
      <c r="D37" s="9" t="inlineStr">
        <is>
          <t>Homens_Hora_Total</t>
        </is>
      </c>
      <c r="E37" s="9" t="inlineStr">
        <is>
          <t>Eficiencia_Media_Ponderada</t>
        </is>
      </c>
      <c r="F37" s="9" t="inlineStr">
        <is>
          <t>Meta_Padrao_Contrato (editável)</t>
        </is>
      </c>
      <c r="G37" s="9" t="inlineStr">
        <is>
          <t>PUS_Equivalente</t>
        </is>
      </c>
    </row>
    <row r="38">
      <c r="A38" s="10" t="inlineStr">
        <is>
          <t>Gilvandro Borges Dos Santos</t>
        </is>
      </c>
      <c r="B38" s="10" t="inlineStr">
        <is>
          <t>Canaã</t>
        </is>
      </c>
      <c r="C38" s="10" t="inlineStr">
        <is>
          <t>Preventiva CANNÃ DOS CARAJAS</t>
        </is>
      </c>
      <c r="D38" s="18">
        <f>SUMIFS(tbl_FatoRDO[Homens_Hora],tbl_FatoRDO[Colaborador],A38)</f>
        <v/>
      </c>
      <c r="E38" s="20">
        <f>IFERROR(SUMPRODUCT((tbl_FatoRDO[Colaborador]=A38)*tbl_FatoRDO[Eficiencia_Calculada]*tbl_FatoRDO[Homens_Hora])/D38,0)</f>
        <v/>
      </c>
      <c r="F38" s="21" t="n">
        <v>18</v>
      </c>
      <c r="G38" s="19">
        <f>E38*F38</f>
        <v/>
      </c>
    </row>
    <row r="39">
      <c r="A39" s="10" t="inlineStr">
        <is>
          <t>Jose Domingos Lopes</t>
        </is>
      </c>
      <c r="B39" s="10" t="inlineStr">
        <is>
          <t>Marabá</t>
        </is>
      </c>
      <c r="C39" s="10" t="inlineStr">
        <is>
          <t>Preventiva MARABA</t>
        </is>
      </c>
      <c r="D39" s="18">
        <f>SUMIFS(tbl_FatoRDO[Homens_Hora],tbl_FatoRDO[Colaborador],A39)</f>
        <v/>
      </c>
      <c r="E39" s="20">
        <f>IFERROR(SUMPRODUCT((tbl_FatoRDO[Colaborador]=A39)*tbl_FatoRDO[Eficiencia_Calculada]*tbl_FatoRDO[Homens_Hora])/D39,0)</f>
        <v/>
      </c>
      <c r="F39" s="21" t="n">
        <v>18</v>
      </c>
      <c r="G39" s="19">
        <f>E39*F39</f>
        <v/>
      </c>
    </row>
    <row r="40">
      <c r="A40" s="10" t="inlineStr">
        <is>
          <t>Leandro Soares Dias</t>
        </is>
      </c>
      <c r="B40" s="10" t="inlineStr">
        <is>
          <t>Parauapebas</t>
        </is>
      </c>
      <c r="C40" s="10" t="inlineStr">
        <is>
          <t>Preventiva PARAUAPEBAS</t>
        </is>
      </c>
      <c r="D40" s="18">
        <f>SUMIFS(tbl_FatoRDO[Homens_Hora],tbl_FatoRDO[Colaborador],A40)</f>
        <v/>
      </c>
      <c r="E40" s="20">
        <f>IFERROR(SUMPRODUCT((tbl_FatoRDO[Colaborador]=A40)*tbl_FatoRDO[Eficiencia_Calculada]*tbl_FatoRDO[Homens_Hora])/D40,0)</f>
        <v/>
      </c>
      <c r="F40" s="21" t="n">
        <v>18</v>
      </c>
      <c r="G40" s="19">
        <f>E40*F40</f>
        <v/>
      </c>
    </row>
    <row r="42">
      <c r="A42" s="3" t="inlineStr">
        <is>
          <t>Meta_Padrao_Contrato é uma célula de entrada (editável) — ajuste para a meta de PUS geral do contrato; o exemplo de dashboard fornecido usa 18,0.</t>
        </is>
      </c>
    </row>
  </sheetData>
  <mergeCells count="5">
    <mergeCell ref="A36:G36"/>
    <mergeCell ref="A1:J1"/>
    <mergeCell ref="A4:J4"/>
    <mergeCell ref="A2:J2"/>
    <mergeCell ref="A42:G4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tabColor rgb="00E08E2B"/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 outlineLevelCol="0"/>
  <cols>
    <col width="14" customWidth="1" min="1" max="1"/>
    <col width="17" customWidth="1" min="2" max="2"/>
    <col width="24" customWidth="1" min="3" max="3"/>
    <col width="26" customWidth="1" min="4" max="4"/>
    <col width="15" customWidth="1" min="5" max="5"/>
    <col width="15" customWidth="1" min="6" max="6"/>
  </cols>
  <sheetData>
    <row r="1">
      <c r="A1" s="1" t="inlineStr">
        <is>
          <t>PUS E EFICIÊNCIA POR DISTRITO — Junho/2026</t>
        </is>
      </c>
    </row>
    <row r="2">
      <c r="A2" s="2" t="inlineStr">
        <is>
          <t>Eficiência ponderada pelos homens-hora de cada atividade no distrito (mesma fórmula/base de Calc_PUS_Colaborador). Calculado apenas para Junho/2026, único mês com detalhe de RDO por atividade — ver Memorial_Calculo.</t>
        </is>
      </c>
    </row>
    <row r="4">
      <c r="A4" s="9" t="inlineStr">
        <is>
          <t>Distrito</t>
        </is>
      </c>
      <c r="B4" s="9" t="inlineStr">
        <is>
          <t>Homens_Hora_Total</t>
        </is>
      </c>
      <c r="C4" s="9" t="inlineStr">
        <is>
          <t>Eficiencia_Media_Ponderada</t>
        </is>
      </c>
      <c r="D4" s="9" t="inlineStr">
        <is>
          <t>Meta_Padrao_Contrato (editável)</t>
        </is>
      </c>
      <c r="E4" s="9" t="inlineStr">
        <is>
          <t>PUS_Equivalente</t>
        </is>
      </c>
      <c r="F4" s="9" t="inlineStr">
        <is>
          <t>Chave</t>
        </is>
      </c>
    </row>
    <row r="5">
      <c r="A5" s="10" t="inlineStr">
        <is>
          <t>Marabá</t>
        </is>
      </c>
      <c r="B5" s="18">
        <f>SUMIFS(tbl_FatoRDO[Homens_Hora],tbl_FatoRDO[Distrito],A5)</f>
        <v/>
      </c>
      <c r="C5" s="20">
        <f>IFERROR(SUMPRODUCT((tbl_FatoRDO[Distrito]=A5)*tbl_FatoRDO[Eficiencia_Calculada]*tbl_FatoRDO[Homens_Hora])/B5,0)</f>
        <v/>
      </c>
      <c r="D5" s="21" t="n">
        <v>18</v>
      </c>
      <c r="E5" s="19">
        <f>C5*D5</f>
        <v/>
      </c>
      <c r="F5" s="22">
        <f>A5&amp;"|Junho"</f>
        <v/>
      </c>
    </row>
    <row r="6">
      <c r="A6" s="10" t="inlineStr">
        <is>
          <t>Parauapebas</t>
        </is>
      </c>
      <c r="B6" s="18">
        <f>SUMIFS(tbl_FatoRDO[Homens_Hora],tbl_FatoRDO[Distrito],A6)</f>
        <v/>
      </c>
      <c r="C6" s="20">
        <f>IFERROR(SUMPRODUCT((tbl_FatoRDO[Distrito]=A6)*tbl_FatoRDO[Eficiencia_Calculada]*tbl_FatoRDO[Homens_Hora])/B6,0)</f>
        <v/>
      </c>
      <c r="D6" s="21" t="n">
        <v>18</v>
      </c>
      <c r="E6" s="19">
        <f>C6*D6</f>
        <v/>
      </c>
      <c r="F6" s="22">
        <f>A6&amp;"|Junho"</f>
        <v/>
      </c>
    </row>
    <row r="7">
      <c r="A7" s="10" t="inlineStr">
        <is>
          <t>Canaã</t>
        </is>
      </c>
      <c r="B7" s="18">
        <f>SUMIFS(tbl_FatoRDO[Homens_Hora],tbl_FatoRDO[Distrito],A7)</f>
        <v/>
      </c>
      <c r="C7" s="20">
        <f>IFERROR(SUMPRODUCT((tbl_FatoRDO[Distrito]=A7)*tbl_FatoRDO[Eficiencia_Calculada]*tbl_FatoRDO[Homens_Hora])/B7,0)</f>
        <v/>
      </c>
      <c r="D7" s="21" t="n">
        <v>18</v>
      </c>
      <c r="E7" s="19">
        <f>C7*D7</f>
        <v/>
      </c>
      <c r="F7" s="22">
        <f>A7&amp;"|Junho"</f>
        <v/>
      </c>
    </row>
    <row r="9">
      <c r="A9" s="3" t="inlineStr">
        <is>
          <t>PUS e Eficiência por distrito disponíveis apenas para Junho/2026 (mês com detalhe de RDO por atividade). Para Abril e Maio, use a Produtividade por item em Fato_Producao_Mensal / Grafico_Produtividade.</t>
        </is>
      </c>
    </row>
  </sheetData>
  <mergeCells count="3">
    <mergeCell ref="A2:H2"/>
    <mergeCell ref="A9:F9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E08E2B"/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 outlineLevelCol="0"/>
  <cols>
    <col width="11" customWidth="1" min="1" max="1"/>
    <col width="46" customWidth="1" min="2" max="2"/>
    <col width="9" customWidth="1" min="3" max="3"/>
    <col width="15" customWidth="1" min="4" max="4"/>
  </cols>
  <sheetData>
    <row r="1">
      <c r="A1" s="1" t="inlineStr">
        <is>
          <t>PRODUÇÃO TOTAL POR ITEM — Abril a Junho/2026 (todos os distritos)</t>
        </is>
      </c>
    </row>
    <row r="3">
      <c r="A3" s="9" t="inlineStr">
        <is>
          <t>Item_Codigo</t>
        </is>
      </c>
      <c r="B3" s="9" t="inlineStr">
        <is>
          <t>Atividade_Descricao</t>
        </is>
      </c>
      <c r="C3" s="9" t="inlineStr">
        <is>
          <t>Unidade</t>
        </is>
      </c>
      <c r="D3" s="9" t="inlineStr">
        <is>
          <t>Producao_Total</t>
        </is>
      </c>
    </row>
    <row r="4">
      <c r="A4" s="10" t="inlineStr">
        <is>
          <t>2.2.1</t>
        </is>
      </c>
      <c r="B4" s="10" t="inlineStr">
        <is>
          <t>Roçada  (M²)</t>
        </is>
      </c>
      <c r="C4" s="10" t="inlineStr">
        <is>
          <t>M²</t>
        </is>
      </c>
      <c r="D4" s="18">
        <f>SUMIFS(tbl_FatoProducaoMensal[Producao],tbl_FatoProducaoMensal[Item_Codigo],A4)</f>
        <v/>
      </c>
    </row>
    <row r="5">
      <c r="A5" s="10" t="inlineStr">
        <is>
          <t>2.1.3</t>
        </is>
      </c>
      <c r="B5" s="10" t="inlineStr">
        <is>
          <t>Limpeza De Canaleta Em Corte E Aterro Até Meia Seção (M)</t>
        </is>
      </c>
      <c r="C5" s="10" t="inlineStr">
        <is>
          <t>M</t>
        </is>
      </c>
      <c r="D5" s="18">
        <f>SUMIFS(tbl_FatoProducaoMensal[Producao],tbl_FatoProducaoMensal[Item_Codigo],A5)</f>
        <v/>
      </c>
    </row>
    <row r="6">
      <c r="A6" s="10" t="inlineStr">
        <is>
          <t>2.1.5</t>
        </is>
      </c>
      <c r="B6" s="10" t="inlineStr">
        <is>
          <t>Limpeza De Valeta, Sarjetas E Meio Fios</t>
        </is>
      </c>
      <c r="C6" s="10" t="inlineStr">
        <is>
          <t>M</t>
        </is>
      </c>
      <c r="D6" s="18">
        <f>SUMIFS(tbl_FatoProducaoMensal[Producao],tbl_FatoProducaoMensal[Item_Codigo],A6)</f>
        <v/>
      </c>
    </row>
    <row r="7">
      <c r="A7" s="10" t="inlineStr">
        <is>
          <t>2.2.2</t>
        </is>
      </c>
      <c r="B7" s="10" t="inlineStr">
        <is>
          <t>Capina</t>
        </is>
      </c>
      <c r="C7" s="10" t="inlineStr">
        <is>
          <t>M²</t>
        </is>
      </c>
      <c r="D7" s="18">
        <f>SUMIFS(tbl_FatoProducaoMensal[Producao],tbl_FatoProducaoMensal[Item_Codigo],A7)</f>
        <v/>
      </c>
    </row>
    <row r="8">
      <c r="A8" s="10" t="inlineStr">
        <is>
          <t>2.1.4</t>
        </is>
      </c>
      <c r="B8" s="10" t="inlineStr">
        <is>
          <t>Limpeza De Canaleta Em Corte E Aterro Com Seção Plena</t>
        </is>
      </c>
      <c r="C8" s="10" t="inlineStr">
        <is>
          <t>M</t>
        </is>
      </c>
      <c r="D8" s="18">
        <f>SUMIFS(tbl_FatoProducaoMensal[Producao],tbl_FatoProducaoMensal[Item_Codigo],A8)</f>
        <v/>
      </c>
    </row>
    <row r="9">
      <c r="A9" s="10" t="inlineStr">
        <is>
          <t>2.1.8</t>
        </is>
      </c>
      <c r="B9" s="10" t="inlineStr">
        <is>
          <t>Recuperação De Drenagem Tipo Sarjeta/Meio-Fio Em Plataforma, Limitando- Se A 100M De Extensão</t>
        </is>
      </c>
      <c r="C9" s="10" t="inlineStr">
        <is>
          <t>M</t>
        </is>
      </c>
      <c r="D9" s="18">
        <f>SUMIFS(tbl_FatoProducaoMensal[Producao],tbl_FatoProducaoMensal[Item_Codigo],A9)</f>
        <v/>
      </c>
    </row>
    <row r="10">
      <c r="A10" s="10" t="inlineStr">
        <is>
          <t>2.1.7</t>
        </is>
      </c>
      <c r="B10" s="10" t="inlineStr">
        <is>
          <t>Limpeza De Valas De Bueiros (Montante E Jusante)</t>
        </is>
      </c>
      <c r="C10" s="10" t="inlineStr">
        <is>
          <t>M³</t>
        </is>
      </c>
      <c r="D10" s="18">
        <f>SUMIFS(tbl_FatoProducaoMensal[Producao],tbl_FatoProducaoMensal[Item_Codigo],A10)</f>
        <v/>
      </c>
    </row>
    <row r="11">
      <c r="A11" s="10" t="inlineStr">
        <is>
          <t>2.2.5</t>
        </is>
      </c>
      <c r="B11" s="10" t="inlineStr">
        <is>
          <t>Remoção De Solo</t>
        </is>
      </c>
      <c r="C11" s="10" t="inlineStr">
        <is>
          <t>M³</t>
        </is>
      </c>
      <c r="D11" s="18">
        <f>SUMIFS(tbl_FatoProducaoMensal[Producao],tbl_FatoProducaoMensal[Item_Codigo],A11)</f>
        <v/>
      </c>
    </row>
    <row r="12">
      <c r="A12" s="10" t="inlineStr">
        <is>
          <t>2.1.2</t>
        </is>
      </c>
      <c r="B12" s="10" t="inlineStr">
        <is>
          <t>Limpeza De Bueiros</t>
        </is>
      </c>
      <c r="C12" s="10" t="inlineStr">
        <is>
          <t>M³</t>
        </is>
      </c>
      <c r="D12" s="18">
        <f>SUMIFS(tbl_FatoProducaoMensal[Producao],tbl_FatoProducaoMensal[Item_Codigo],A12)</f>
        <v/>
      </c>
    </row>
    <row r="13">
      <c r="A13" s="10" t="inlineStr">
        <is>
          <t>2.2.9</t>
        </is>
      </c>
      <c r="B13" s="10" t="inlineStr">
        <is>
          <t>Corte De Árvores De Pequeno Porte Com Auxilio De Equipamentos De Grande Porte Fornecido Pela Contratada</t>
        </is>
      </c>
      <c r="C13" s="10" t="inlineStr">
        <is>
          <t>UNID</t>
        </is>
      </c>
      <c r="D13" s="18">
        <f>SUMIFS(tbl_FatoProducaoMensal[Producao],tbl_FatoProducaoMensal[Item_Codigo],A13)</f>
        <v/>
      </c>
    </row>
    <row r="14">
      <c r="A14" s="10" t="inlineStr">
        <is>
          <t>2.2.11</t>
        </is>
      </c>
      <c r="B14" s="10" t="inlineStr">
        <is>
          <t>Corte De Árvores De Grande Porte Com Auxilio De Equipamentos De Grande Porte Fornecido Pela Contratada</t>
        </is>
      </c>
      <c r="C14" s="10" t="inlineStr">
        <is>
          <t>UNID</t>
        </is>
      </c>
      <c r="D14" s="18">
        <f>SUMIFS(tbl_FatoProducaoMensal[Producao],tbl_FatoProducaoMensal[Item_Codigo],A14)</f>
        <v/>
      </c>
    </row>
    <row r="15">
      <c r="A15" s="10" t="inlineStr">
        <is>
          <t>2.3.1</t>
        </is>
      </c>
      <c r="B15" s="10" t="inlineStr">
        <is>
          <t>Fornecimento E Aplicação De Sinalização Gráfica Vertical Completa (M²)</t>
        </is>
      </c>
      <c r="C15" s="10" t="inlineStr">
        <is>
          <t>M²</t>
        </is>
      </c>
      <c r="D15" s="18">
        <f>SUMIFS(tbl_FatoProducaoMensal[Producao],tbl_FatoProducaoMensal[Item_Codigo],A15)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tabColor rgb="00E08E2B"/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 outlineLevelCol="0"/>
  <cols>
    <col width="46" customWidth="1" min="1" max="1"/>
    <col width="13" customWidth="1" min="2" max="2"/>
    <col width="13" customWidth="1" min="3" max="3"/>
    <col width="13" customWidth="1" min="4" max="4"/>
    <col width="4" customWidth="1" min="5" max="5"/>
    <col width="30" customWidth="1" min="6" max="6"/>
  </cols>
  <sheetData>
    <row r="1">
      <c r="A1" s="1" t="inlineStr">
        <is>
          <t>PRODUTIVIDADE MÉDIA EQUIPES PREVENTIVAS — mesmo gráfico do exemplo fornecido</t>
        </is>
      </c>
    </row>
    <row r="2">
      <c r="A2" s="23" t="inlineStr">
        <is>
          <t>Mês selecionado:</t>
        </is>
      </c>
      <c r="B2" s="24" t="inlineStr">
        <is>
          <t>Junho</t>
        </is>
      </c>
      <c r="C2" s="3" t="inlineStr">
        <is>
          <t>(altere para Abril, Maio ou Junho — os quadros e o gráfico recalculam automaticamente)</t>
        </is>
      </c>
    </row>
    <row r="4">
      <c r="A4" s="4" t="inlineStr">
        <is>
          <t>PRODUÇÃO DA CATEGORIA (auxiliar)</t>
        </is>
      </c>
    </row>
    <row r="5" outlineLevel="1">
      <c r="A5" s="9" t="inlineStr">
        <is>
          <t>Categoria</t>
        </is>
      </c>
      <c r="B5" s="9" t="inlineStr">
        <is>
          <t>Marabá</t>
        </is>
      </c>
      <c r="C5" s="9" t="inlineStr">
        <is>
          <t>Parauapebas</t>
        </is>
      </c>
      <c r="D5" s="9" t="inlineStr">
        <is>
          <t>Canaã</t>
        </is>
      </c>
    </row>
    <row r="6" outlineLevel="1">
      <c r="A6" s="10" t="inlineStr">
        <is>
          <t>Roçada (M²)</t>
        </is>
      </c>
      <c r="B6" s="13">
        <f>SUMIFS(tbl_FatoProducaoMensal[Producao],tbl_FatoProducaoMensal[Distrito],"Marabá",tbl_FatoProducaoMensal[MesNome],$B$2,tbl_FatoProducaoMensal[Item_Codigo],"2.2.1")</f>
        <v/>
      </c>
      <c r="C6" s="13">
        <f>SUMIFS(tbl_FatoProducaoMensal[Producao],tbl_FatoProducaoMensal[Distrito],"Parauapebas",tbl_FatoProducaoMensal[MesNome],$B$2,tbl_FatoProducaoMensal[Item_Codigo],"2.2.1")</f>
        <v/>
      </c>
      <c r="D6" s="13">
        <f>SUMIFS(tbl_FatoProducaoMensal[Producao],tbl_FatoProducaoMensal[Distrito],"Canaã",tbl_FatoProducaoMensal[MesNome],$B$2,tbl_FatoProducaoMensal[Item_Codigo],"2.2.1")</f>
        <v/>
      </c>
    </row>
    <row r="7" outlineLevel="1">
      <c r="A7" s="10" t="inlineStr">
        <is>
          <t>Limpeza de Canaleta (meia/plena seção) (M)</t>
        </is>
      </c>
      <c r="B7" s="13">
        <f>SUMIFS(tbl_FatoProducaoMensal[Producao],tbl_FatoProducaoMensal[Distrito],"Marabá",tbl_FatoProducaoMensal[MesNome],$B$2,tbl_FatoProducaoMensal[Item_Codigo],"2.1.3")+SUMIFS(tbl_FatoProducaoMensal[Producao],tbl_FatoProducaoMensal[Distrito],"Marabá",tbl_FatoProducaoMensal[MesNome],$B$2,tbl_FatoProducaoMensal[Item_Codigo],"2.1.4")</f>
        <v/>
      </c>
      <c r="C7" s="13">
        <f>SUMIFS(tbl_FatoProducaoMensal[Producao],tbl_FatoProducaoMensal[Distrito],"Parauapebas",tbl_FatoProducaoMensal[MesNome],$B$2,tbl_FatoProducaoMensal[Item_Codigo],"2.1.3")+SUMIFS(tbl_FatoProducaoMensal[Producao],tbl_FatoProducaoMensal[Distrito],"Parauapebas",tbl_FatoProducaoMensal[MesNome],$B$2,tbl_FatoProducaoMensal[Item_Codigo],"2.1.4")</f>
        <v/>
      </c>
      <c r="D7" s="13">
        <f>SUMIFS(tbl_FatoProducaoMensal[Producao],tbl_FatoProducaoMensal[Distrito],"Canaã",tbl_FatoProducaoMensal[MesNome],$B$2,tbl_FatoProducaoMensal[Item_Codigo],"2.1.3")+SUMIFS(tbl_FatoProducaoMensal[Producao],tbl_FatoProducaoMensal[Distrito],"Canaã",tbl_FatoProducaoMensal[MesNome],$B$2,tbl_FatoProducaoMensal[Item_Codigo],"2.1.4")</f>
        <v/>
      </c>
    </row>
    <row r="8" outlineLevel="1">
      <c r="A8" s="10" t="inlineStr">
        <is>
          <t>Limpeza de Valeta, Sarjetas e Meio-fios (M)</t>
        </is>
      </c>
      <c r="B8" s="13">
        <f>SUMIFS(tbl_FatoProducaoMensal[Producao],tbl_FatoProducaoMensal[Distrito],"Marabá",tbl_FatoProducaoMensal[MesNome],$B$2,tbl_FatoProducaoMensal[Item_Codigo],"2.1.5")</f>
        <v/>
      </c>
      <c r="C8" s="13">
        <f>SUMIFS(tbl_FatoProducaoMensal[Producao],tbl_FatoProducaoMensal[Distrito],"Parauapebas",tbl_FatoProducaoMensal[MesNome],$B$2,tbl_FatoProducaoMensal[Item_Codigo],"2.1.5")</f>
        <v/>
      </c>
      <c r="D8" s="13">
        <f>SUMIFS(tbl_FatoProducaoMensal[Producao],tbl_FatoProducaoMensal[Distrito],"Canaã",tbl_FatoProducaoMensal[MesNome],$B$2,tbl_FatoProducaoMensal[Item_Codigo],"2.1.5")</f>
        <v/>
      </c>
    </row>
    <row r="9" outlineLevel="1">
      <c r="A9" s="10" t="inlineStr">
        <is>
          <t>Recuperação de Drenagem (canaleta e meio-fio) (M)</t>
        </is>
      </c>
      <c r="B9" s="13">
        <f>SUMIFS(tbl_FatoProducaoMensal[Producao],tbl_FatoProducaoMensal[Distrito],"Marabá",tbl_FatoProducaoMensal[MesNome],$B$2,tbl_FatoProducaoMensal[Item_Codigo],"2.1.8")+SUMIFS(tbl_FatoProducaoMensal[Producao],tbl_FatoProducaoMensal[Distrito],"Marabá",tbl_FatoProducaoMensal[MesNome],$B$2,tbl_FatoProducaoMensal[Item_Codigo],"2.1.7",tbl_FatoProducaoMensal[Atividade_Descricao],"*Drenagem*")</f>
        <v/>
      </c>
      <c r="C9" s="13">
        <f>SUMIFS(tbl_FatoProducaoMensal[Producao],tbl_FatoProducaoMensal[Distrito],"Parauapebas",tbl_FatoProducaoMensal[MesNome],$B$2,tbl_FatoProducaoMensal[Item_Codigo],"2.1.8")+SUMIFS(tbl_FatoProducaoMensal[Producao],tbl_FatoProducaoMensal[Distrito],"Parauapebas",tbl_FatoProducaoMensal[MesNome],$B$2,tbl_FatoProducaoMensal[Item_Codigo],"2.1.7",tbl_FatoProducaoMensal[Atividade_Descricao],"*Drenagem*")</f>
        <v/>
      </c>
      <c r="D9" s="13">
        <f>SUMIFS(tbl_FatoProducaoMensal[Producao],tbl_FatoProducaoMensal[Distrito],"Canaã",tbl_FatoProducaoMensal[MesNome],$B$2,tbl_FatoProducaoMensal[Item_Codigo],"2.1.8")+SUMIFS(tbl_FatoProducaoMensal[Producao],tbl_FatoProducaoMensal[Distrito],"Canaã",tbl_FatoProducaoMensal[MesNome],$B$2,tbl_FatoProducaoMensal[Item_Codigo],"2.1.7",tbl_FatoProducaoMensal[Atividade_Descricao],"*Drenagem*")</f>
        <v/>
      </c>
    </row>
    <row r="10" outlineLevel="1"/>
    <row r="12">
      <c r="A12" s="4" t="inlineStr">
        <is>
          <t>HOMENS-HORA DA CATEGORIA (auxiliar)</t>
        </is>
      </c>
    </row>
    <row r="13" outlineLevel="1">
      <c r="A13" s="9" t="inlineStr">
        <is>
          <t>Categoria</t>
        </is>
      </c>
      <c r="B13" s="9" t="inlineStr">
        <is>
          <t>Marabá</t>
        </is>
      </c>
      <c r="C13" s="9" t="inlineStr">
        <is>
          <t>Parauapebas</t>
        </is>
      </c>
      <c r="D13" s="9" t="inlineStr">
        <is>
          <t>Canaã</t>
        </is>
      </c>
    </row>
    <row r="14" outlineLevel="1">
      <c r="A14" s="10" t="inlineStr">
        <is>
          <t>Roçada (M²)</t>
        </is>
      </c>
      <c r="B14" s="13">
        <f>SUMIFS(tbl_FatoProducaoMensal[Homens_Hora_Implicito],tbl_FatoProducaoMensal[Distrito],"Marabá",tbl_FatoProducaoMensal[MesNome],$B$2,tbl_FatoProducaoMensal[Item_Codigo],"2.2.1")</f>
        <v/>
      </c>
      <c r="C14" s="13">
        <f>SUMIFS(tbl_FatoProducaoMensal[Homens_Hora_Implicito],tbl_FatoProducaoMensal[Distrito],"Parauapebas",tbl_FatoProducaoMensal[MesNome],$B$2,tbl_FatoProducaoMensal[Item_Codigo],"2.2.1")</f>
        <v/>
      </c>
      <c r="D14" s="13">
        <f>SUMIFS(tbl_FatoProducaoMensal[Homens_Hora_Implicito],tbl_FatoProducaoMensal[Distrito],"Canaã",tbl_FatoProducaoMensal[MesNome],$B$2,tbl_FatoProducaoMensal[Item_Codigo],"2.2.1")</f>
        <v/>
      </c>
    </row>
    <row r="15" outlineLevel="1">
      <c r="A15" s="10" t="inlineStr">
        <is>
          <t>Limpeza de Canaleta (meia/plena seção) (M)</t>
        </is>
      </c>
      <c r="B15" s="13">
        <f>SUMIFS(tbl_FatoProducaoMensal[Homens_Hora_Implicito],tbl_FatoProducaoMensal[Distrito],"Marabá",tbl_FatoProducaoMensal[MesNome],$B$2,tbl_FatoProducaoMensal[Item_Codigo],"2.1.3")+SUMIFS(tbl_FatoProducaoMensal[Homens_Hora_Implicito],tbl_FatoProducaoMensal[Distrito],"Marabá",tbl_FatoProducaoMensal[MesNome],$B$2,tbl_FatoProducaoMensal[Item_Codigo],"2.1.4")</f>
        <v/>
      </c>
      <c r="C15" s="13">
        <f>SUMIFS(tbl_FatoProducaoMensal[Homens_Hora_Implicito],tbl_FatoProducaoMensal[Distrito],"Parauapebas",tbl_FatoProducaoMensal[MesNome],$B$2,tbl_FatoProducaoMensal[Item_Codigo],"2.1.3")+SUMIFS(tbl_FatoProducaoMensal[Homens_Hora_Implicito],tbl_FatoProducaoMensal[Distrito],"Parauapebas",tbl_FatoProducaoMensal[MesNome],$B$2,tbl_FatoProducaoMensal[Item_Codigo],"2.1.4")</f>
        <v/>
      </c>
      <c r="D15" s="13">
        <f>SUMIFS(tbl_FatoProducaoMensal[Homens_Hora_Implicito],tbl_FatoProducaoMensal[Distrito],"Canaã",tbl_FatoProducaoMensal[MesNome],$B$2,tbl_FatoProducaoMensal[Item_Codigo],"2.1.3")+SUMIFS(tbl_FatoProducaoMensal[Homens_Hora_Implicito],tbl_FatoProducaoMensal[Distrito],"Canaã",tbl_FatoProducaoMensal[MesNome],$B$2,tbl_FatoProducaoMensal[Item_Codigo],"2.1.4")</f>
        <v/>
      </c>
    </row>
    <row r="16" outlineLevel="1">
      <c r="A16" s="10" t="inlineStr">
        <is>
          <t>Limpeza de Valeta, Sarjetas e Meio-fios (M)</t>
        </is>
      </c>
      <c r="B16" s="13">
        <f>SUMIFS(tbl_FatoProducaoMensal[Homens_Hora_Implicito],tbl_FatoProducaoMensal[Distrito],"Marabá",tbl_FatoProducaoMensal[MesNome],$B$2,tbl_FatoProducaoMensal[Item_Codigo],"2.1.5")</f>
        <v/>
      </c>
      <c r="C16" s="13">
        <f>SUMIFS(tbl_FatoProducaoMensal[Homens_Hora_Implicito],tbl_FatoProducaoMensal[Distrito],"Parauapebas",tbl_FatoProducaoMensal[MesNome],$B$2,tbl_FatoProducaoMensal[Item_Codigo],"2.1.5")</f>
        <v/>
      </c>
      <c r="D16" s="13">
        <f>SUMIFS(tbl_FatoProducaoMensal[Homens_Hora_Implicito],tbl_FatoProducaoMensal[Distrito],"Canaã",tbl_FatoProducaoMensal[MesNome],$B$2,tbl_FatoProducaoMensal[Item_Codigo],"2.1.5")</f>
        <v/>
      </c>
    </row>
    <row r="17" outlineLevel="1">
      <c r="A17" s="10" t="inlineStr">
        <is>
          <t>Recuperação de Drenagem (canaleta e meio-fio) (M)</t>
        </is>
      </c>
      <c r="B17" s="13">
        <f>SUMIFS(tbl_FatoProducaoMensal[Homens_Hora_Implicito],tbl_FatoProducaoMensal[Distrito],"Marabá",tbl_FatoProducaoMensal[MesNome],$B$2,tbl_FatoProducaoMensal[Item_Codigo],"2.1.8")+SUMIFS(tbl_FatoProducaoMensal[Homens_Hora_Implicito],tbl_FatoProducaoMensal[Distrito],"Marabá",tbl_FatoProducaoMensal[MesNome],$B$2,tbl_FatoProducaoMensal[Item_Codigo],"2.1.7",tbl_FatoProducaoMensal[Atividade_Descricao],"*Drenagem*")</f>
        <v/>
      </c>
      <c r="C17" s="13">
        <f>SUMIFS(tbl_FatoProducaoMensal[Homens_Hora_Implicito],tbl_FatoProducaoMensal[Distrito],"Parauapebas",tbl_FatoProducaoMensal[MesNome],$B$2,tbl_FatoProducaoMensal[Item_Codigo],"2.1.8")+SUMIFS(tbl_FatoProducaoMensal[Homens_Hora_Implicito],tbl_FatoProducaoMensal[Distrito],"Parauapebas",tbl_FatoProducaoMensal[MesNome],$B$2,tbl_FatoProducaoMensal[Item_Codigo],"2.1.7",tbl_FatoProducaoMensal[Atividade_Descricao],"*Drenagem*")</f>
        <v/>
      </c>
      <c r="D17" s="13">
        <f>SUMIFS(tbl_FatoProducaoMensal[Homens_Hora_Implicito],tbl_FatoProducaoMensal[Distrito],"Canaã",tbl_FatoProducaoMensal[MesNome],$B$2,tbl_FatoProducaoMensal[Item_Codigo],"2.1.8")+SUMIFS(tbl_FatoProducaoMensal[Homens_Hora_Implicito],tbl_FatoProducaoMensal[Distrito],"Canaã",tbl_FatoProducaoMensal[MesNome],$B$2,tbl_FatoProducaoMensal[Item_Codigo],"2.1.7",tbl_FatoProducaoMensal[Atividade_Descricao],"*Drenagem*")</f>
        <v/>
      </c>
    </row>
    <row r="18" outlineLevel="1"/>
    <row r="20">
      <c r="A20" s="4" t="inlineStr">
        <is>
          <t>PRODUTIVIDADE MÉDIA (PUS) DA CATEGORIA — usada no gráfico</t>
        </is>
      </c>
    </row>
    <row r="21">
      <c r="A21" s="9" t="inlineStr">
        <is>
          <t>Categoria</t>
        </is>
      </c>
      <c r="B21" s="9" t="inlineStr">
        <is>
          <t>Marabá</t>
        </is>
      </c>
      <c r="C21" s="9" t="inlineStr">
        <is>
          <t>Parauapebas</t>
        </is>
      </c>
      <c r="D21" s="9" t="inlineStr">
        <is>
          <t>Canaã</t>
        </is>
      </c>
    </row>
    <row r="22">
      <c r="A22" s="10" t="inlineStr">
        <is>
          <t>Roçada (M²)</t>
        </is>
      </c>
      <c r="B22" s="13">
        <f>IF(B14=0,0,B6/B14)</f>
        <v/>
      </c>
      <c r="C22" s="13">
        <f>IF(C14=0,0,C6/C14)</f>
        <v/>
      </c>
      <c r="D22" s="13">
        <f>IF(D14=0,0,D6/D14)</f>
        <v/>
      </c>
    </row>
    <row r="23">
      <c r="A23" s="10" t="inlineStr">
        <is>
          <t>Limpeza de Canaleta (meia/plena seção) (M)</t>
        </is>
      </c>
      <c r="B23" s="13">
        <f>IF(B15=0,0,B7/B15)</f>
        <v/>
      </c>
      <c r="C23" s="13">
        <f>IF(C15=0,0,C7/C15)</f>
        <v/>
      </c>
      <c r="D23" s="13">
        <f>IF(D15=0,0,D7/D15)</f>
        <v/>
      </c>
    </row>
    <row r="24">
      <c r="A24" s="10" t="inlineStr">
        <is>
          <t>Limpeza de Valeta, Sarjetas e Meio-fios (M)</t>
        </is>
      </c>
      <c r="B24" s="13">
        <f>IF(B16=0,0,B8/B16)</f>
        <v/>
      </c>
      <c r="C24" s="13">
        <f>IF(C16=0,0,C8/C16)</f>
        <v/>
      </c>
      <c r="D24" s="13">
        <f>IF(D16=0,0,D8/D16)</f>
        <v/>
      </c>
    </row>
    <row r="25">
      <c r="A25" s="10" t="inlineStr">
        <is>
          <t>Recuperação de Drenagem (canaleta e meio-fio) (M)</t>
        </is>
      </c>
      <c r="B25" s="13">
        <f>IF(B17=0,0,B9/B17)</f>
        <v/>
      </c>
      <c r="C25" s="13">
        <f>IF(C17=0,0,C9/C17)</f>
        <v/>
      </c>
      <c r="D25" s="13">
        <f>IF(D17=0,0,D9/D17)</f>
        <v/>
      </c>
    </row>
  </sheetData>
  <mergeCells count="4">
    <mergeCell ref="A12:D12"/>
    <mergeCell ref="A4:D4"/>
    <mergeCell ref="A1:F1"/>
    <mergeCell ref="A20:D20"/>
  </mergeCells>
  <dataValidations count="1">
    <dataValidation sqref="B2" showDropDown="0" showInputMessage="0" showErrorMessage="0" allowBlank="0" type="list">
      <formula1>"Abril,Maio,Junho"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E08E2B"/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 outlineLevelCol="0"/>
  <cols>
    <col width="26" customWidth="1" min="1" max="1"/>
    <col width="15" customWidth="1" min="2" max="2"/>
    <col width="4" customWidth="1" min="4" max="4"/>
    <col width="26" customWidth="1" min="6" max="6"/>
    <col width="15" customWidth="1" min="7" max="7"/>
    <col width="4" customWidth="1" min="9" max="9"/>
    <col width="26" customWidth="1" min="11" max="11"/>
    <col width="15" customWidth="1" min="12" max="12"/>
  </cols>
  <sheetData>
    <row r="1">
      <c r="A1" s="1" t="inlineStr">
        <is>
          <t>QUADRO POR DISTRITO — Marabá, Parauapebas e Canaã</t>
        </is>
      </c>
    </row>
    <row r="2">
      <c r="A2" s="23" t="inlineStr">
        <is>
          <t>Mês selecionado:</t>
        </is>
      </c>
      <c r="B2" s="24" t="inlineStr">
        <is>
          <t>Junho</t>
        </is>
      </c>
      <c r="C2" s="3" t="inlineStr">
        <is>
          <t>(Efetivo e Improdutividade têm dados de Jan a Jun; PUS/Eficiência têm dados de Abr a Jun)</t>
        </is>
      </c>
    </row>
    <row r="4" ht="22" customHeight="1">
      <c r="A4" s="25" t="inlineStr">
        <is>
          <t>MARABÁ</t>
        </is>
      </c>
      <c r="F4" s="25" t="inlineStr">
        <is>
          <t>PARAUAPEBAS</t>
        </is>
      </c>
      <c r="K4" s="25" t="inlineStr">
        <is>
          <t>CANAÃ</t>
        </is>
      </c>
    </row>
    <row r="5">
      <c r="A5" s="4" t="inlineStr">
        <is>
          <t>EFETIVO</t>
        </is>
      </c>
      <c r="F5" s="4" t="inlineStr">
        <is>
          <t>EFETIVO</t>
        </is>
      </c>
      <c r="K5" s="4" t="inlineStr">
        <is>
          <t>EFETIVO</t>
        </is>
      </c>
    </row>
    <row r="6">
      <c r="A6" s="10" t="inlineStr">
        <is>
          <t>Servente</t>
        </is>
      </c>
      <c r="B6" s="26">
        <f>IFERROR(SUMPRODUCT((tbl_FatoEfetivo[Chave]="Marabá"&amp;"|"&amp;$B$2)*tbl_FatoEfetivo[Servente]),"-")</f>
        <v/>
      </c>
      <c r="F6" s="10" t="inlineStr">
        <is>
          <t>Servente</t>
        </is>
      </c>
      <c r="G6" s="26">
        <f>IFERROR(SUMPRODUCT((tbl_FatoEfetivo[Chave]="Parauapebas"&amp;"|"&amp;$B$2)*tbl_FatoEfetivo[Servente]),"-")</f>
        <v/>
      </c>
      <c r="K6" s="10" t="inlineStr">
        <is>
          <t>Servente</t>
        </is>
      </c>
      <c r="L6" s="26">
        <f>IFERROR(SUMPRODUCT((tbl_FatoEfetivo[Chave]="Canaã"&amp;"|"&amp;$B$2)*tbl_FatoEfetivo[Servente]),"-")</f>
        <v/>
      </c>
    </row>
    <row r="7">
      <c r="A7" s="10" t="inlineStr">
        <is>
          <t>Oficial</t>
        </is>
      </c>
      <c r="B7" s="26">
        <f>IFERROR(SUMPRODUCT((tbl_FatoEfetivo[Chave]="Marabá"&amp;"|"&amp;$B$2)*tbl_FatoEfetivo[Oficial]),"-")</f>
        <v/>
      </c>
      <c r="F7" s="10" t="inlineStr">
        <is>
          <t>Oficial</t>
        </is>
      </c>
      <c r="G7" s="26">
        <f>IFERROR(SUMPRODUCT((tbl_FatoEfetivo[Chave]="Parauapebas"&amp;"|"&amp;$B$2)*tbl_FatoEfetivo[Oficial]),"-")</f>
        <v/>
      </c>
      <c r="K7" s="10" t="inlineStr">
        <is>
          <t>Oficial</t>
        </is>
      </c>
      <c r="L7" s="26">
        <f>IFERROR(SUMPRODUCT((tbl_FatoEfetivo[Chave]="Canaã"&amp;"|"&amp;$B$2)*tbl_FatoEfetivo[Oficial]),"-")</f>
        <v/>
      </c>
    </row>
    <row r="8">
      <c r="A8" s="10" t="inlineStr">
        <is>
          <t>Jornada Média (H)</t>
        </is>
      </c>
      <c r="B8" s="26">
        <f>IFERROR(SUMPRODUCT((tbl_FatoEfetivo[Chave]="Marabá"&amp;"|"&amp;$B$2)*tbl_FatoEfetivo[Jornada_Media_H]),"-")</f>
        <v/>
      </c>
      <c r="F8" s="10" t="inlineStr">
        <is>
          <t>Jornada Média (H)</t>
        </is>
      </c>
      <c r="G8" s="26">
        <f>IFERROR(SUMPRODUCT((tbl_FatoEfetivo[Chave]="Parauapebas"&amp;"|"&amp;$B$2)*tbl_FatoEfetivo[Jornada_Media_H]),"-")</f>
        <v/>
      </c>
      <c r="K8" s="10" t="inlineStr">
        <is>
          <t>Jornada Média (H)</t>
        </is>
      </c>
      <c r="L8" s="26">
        <f>IFERROR(SUMPRODUCT((tbl_FatoEfetivo[Chave]="Canaã"&amp;"|"&amp;$B$2)*tbl_FatoEfetivo[Jornada_Media_H]),"-")</f>
        <v/>
      </c>
    </row>
    <row r="10">
      <c r="A10" s="4" t="inlineStr">
        <is>
          <t>PUS / EFICIÊNCIA DO MÊS</t>
        </is>
      </c>
      <c r="F10" s="4" t="inlineStr">
        <is>
          <t>PUS / EFICIÊNCIA DO MÊS</t>
        </is>
      </c>
      <c r="K10" s="4" t="inlineStr">
        <is>
          <t>PUS / EFICIÊNCIA DO MÊS</t>
        </is>
      </c>
    </row>
    <row r="11">
      <c r="A11" s="10" t="inlineStr">
        <is>
          <t>Eficiência Média Ponderada</t>
        </is>
      </c>
      <c r="B11" s="27">
        <f>IFERROR(INDEX(tbl_CalcPUSDistrito[Eficiencia_Media_Ponderada],MATCH("Marabá"&amp;"|"&amp;$B$2,tbl_CalcPUSDistrito[Chave],0)),"sem dado no mês")</f>
        <v/>
      </c>
      <c r="F11" s="10" t="inlineStr">
        <is>
          <t>Eficiência Média Ponderada</t>
        </is>
      </c>
      <c r="G11" s="27">
        <f>IFERROR(INDEX(tbl_CalcPUSDistrito[Eficiencia_Media_Ponderada],MATCH("Parauapebas"&amp;"|"&amp;$B$2,tbl_CalcPUSDistrito[Chave],0)),"sem dado no mês")</f>
        <v/>
      </c>
      <c r="K11" s="10" t="inlineStr">
        <is>
          <t>Eficiência Média Ponderada</t>
        </is>
      </c>
      <c r="L11" s="27">
        <f>IFERROR(INDEX(tbl_CalcPUSDistrito[Eficiencia_Media_Ponderada],MATCH("Canaã"&amp;"|"&amp;$B$2,tbl_CalcPUSDistrito[Chave],0)),"sem dado no mês")</f>
        <v/>
      </c>
    </row>
    <row r="12">
      <c r="A12" s="10" t="inlineStr">
        <is>
          <t>PUS Equivalente</t>
        </is>
      </c>
      <c r="B12" s="28">
        <f>IFERROR(INDEX(tbl_CalcPUSDistrito[PUS_Equivalente],MATCH("Marabá"&amp;"|"&amp;$B$2,tbl_CalcPUSDistrito[Chave],0)),"sem dado no mês")</f>
        <v/>
      </c>
      <c r="F12" s="10" t="inlineStr">
        <is>
          <t>PUS Equivalente</t>
        </is>
      </c>
      <c r="G12" s="28">
        <f>IFERROR(INDEX(tbl_CalcPUSDistrito[PUS_Equivalente],MATCH("Parauapebas"&amp;"|"&amp;$B$2,tbl_CalcPUSDistrito[Chave],0)),"sem dado no mês")</f>
        <v/>
      </c>
      <c r="K12" s="10" t="inlineStr">
        <is>
          <t>PUS Equivalente</t>
        </is>
      </c>
      <c r="L12" s="28">
        <f>IFERROR(INDEX(tbl_CalcPUSDistrito[PUS_Equivalente],MATCH("Canaã"&amp;"|"&amp;$B$2,tbl_CalcPUSDistrito[Chave],0)),"sem dado no mês")</f>
        <v/>
      </c>
    </row>
    <row r="14">
      <c r="A14" s="4" t="inlineStr">
        <is>
          <t>IMPRODUTIVIDADE</t>
        </is>
      </c>
      <c r="F14" s="4" t="inlineStr">
        <is>
          <t>IMPRODUTIVIDADE</t>
        </is>
      </c>
      <c r="K14" s="4" t="inlineStr">
        <is>
          <t>IMPRODUTIVIDADE</t>
        </is>
      </c>
    </row>
    <row r="15">
      <c r="A15" s="10" t="inlineStr">
        <is>
          <t>Qtd. em Dias</t>
        </is>
      </c>
      <c r="B15" s="29">
        <f>IFERROR(INDEX(tbl_FatoImprodutividade[Qtd_Dias],MATCH("Marabá"&amp;"|"&amp;$B$2,tbl_FatoImprodutividade[Chave],0)),"-")</f>
        <v/>
      </c>
      <c r="F15" s="10" t="inlineStr">
        <is>
          <t>Qtd. em Dias</t>
        </is>
      </c>
      <c r="G15" s="29">
        <f>IFERROR(INDEX(tbl_FatoImprodutividade[Qtd_Dias],MATCH("Parauapebas"&amp;"|"&amp;$B$2,tbl_FatoImprodutividade[Chave],0)),"-")</f>
        <v/>
      </c>
      <c r="K15" s="10" t="inlineStr">
        <is>
          <t>Qtd. em Dias</t>
        </is>
      </c>
      <c r="L15" s="29">
        <f>IFERROR(INDEX(tbl_FatoImprodutividade[Qtd_Dias],MATCH("Canaã"&amp;"|"&amp;$B$2,tbl_FatoImprodutividade[Chave],0)),"-")</f>
        <v/>
      </c>
    </row>
    <row r="16">
      <c r="A16" s="10" t="inlineStr">
        <is>
          <t>Qtd. em Horas</t>
        </is>
      </c>
      <c r="B16" s="30">
        <f>IFERROR(INDEX(tbl_FatoImprodutividade[Qtd_Horas],MATCH("Marabá"&amp;"|"&amp;$B$2,tbl_FatoImprodutividade[Chave],0)),"-")</f>
        <v/>
      </c>
      <c r="F16" s="10" t="inlineStr">
        <is>
          <t>Qtd. em Horas</t>
        </is>
      </c>
      <c r="G16" s="30">
        <f>IFERROR(INDEX(tbl_FatoImprodutividade[Qtd_Horas],MATCH("Parauapebas"&amp;"|"&amp;$B$2,tbl_FatoImprodutividade[Chave],0)),"-")</f>
        <v/>
      </c>
      <c r="K16" s="10" t="inlineStr">
        <is>
          <t>Qtd. em Horas</t>
        </is>
      </c>
      <c r="L16" s="30">
        <f>IFERROR(INDEX(tbl_FatoImprodutividade[Qtd_Horas],MATCH("Canaã"&amp;"|"&amp;$B$2,tbl_FatoImprodutividade[Chave],0)),"-")</f>
        <v/>
      </c>
    </row>
    <row r="17" ht="60" customHeight="1">
      <c r="A17" s="10" t="inlineStr">
        <is>
          <t>Causa</t>
        </is>
      </c>
      <c r="B17" s="31">
        <f>IFERROR(INDEX(tbl_FatoImprodutividade[Causa],MATCH("Marabá"&amp;"|"&amp;$B$2,tbl_FatoImprodutividade[Chave],0)),"-")</f>
        <v/>
      </c>
      <c r="F17" s="10" t="inlineStr">
        <is>
          <t>Causa</t>
        </is>
      </c>
      <c r="G17" s="31">
        <f>IFERROR(INDEX(tbl_FatoImprodutividade[Causa],MATCH("Parauapebas"&amp;"|"&amp;$B$2,tbl_FatoImprodutividade[Chave],0)),"-")</f>
        <v/>
      </c>
      <c r="K17" s="10" t="inlineStr">
        <is>
          <t>Causa</t>
        </is>
      </c>
      <c r="L17" s="31">
        <f>IFERROR(INDEX(tbl_FatoImprodutividade[Causa],MATCH("Canaã"&amp;"|"&amp;$B$2,tbl_FatoImprodutividade[Chave],0)),"-")</f>
        <v/>
      </c>
    </row>
  </sheetData>
  <mergeCells count="13">
    <mergeCell ref="A4:B4"/>
    <mergeCell ref="A1:D1"/>
    <mergeCell ref="F4:G4"/>
    <mergeCell ref="F10:G10"/>
    <mergeCell ref="F5:G5"/>
    <mergeCell ref="A10:B10"/>
    <mergeCell ref="A5:B5"/>
    <mergeCell ref="K10:L10"/>
    <mergeCell ref="K5:L5"/>
    <mergeCell ref="A14:B14"/>
    <mergeCell ref="F14:G14"/>
    <mergeCell ref="K4:L4"/>
    <mergeCell ref="K14:L14"/>
  </mergeCells>
  <dataValidations count="1">
    <dataValidation sqref="B2" showDropDown="0" showInputMessage="0" showErrorMessage="0" allowBlank="0" type="list">
      <formula1>"Janeiro,Fevereiro,Março,Abril,Maio,Junho"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04040"/>
    <outlinePr summaryBelow="1" summaryRight="1"/>
    <pageSetUpPr/>
  </sheetPr>
  <dimension ref="A2:G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30" customWidth="1" min="3" max="3"/>
    <col width="90" customWidth="1" min="4" max="4"/>
  </cols>
  <sheetData>
    <row r="2">
      <c r="B2" s="1" t="inlineStr">
        <is>
          <t>GUIA — MONTAR O RELATÓRIO NO POWER BI DESKTOP</t>
        </is>
      </c>
    </row>
    <row r="3">
      <c r="B3" s="2" t="inlineStr">
        <is>
          <t>Passo a passo para conectar esta planilha, usar o modelo/medidas prontos e montar os visuais no mesmo estilo das imagens de referência.</t>
        </is>
      </c>
    </row>
    <row r="5">
      <c r="B5" s="4" t="inlineStr">
        <is>
          <t>1) COMO ABRIR O MODELO JÁ PRONTO (projeto Power BI)</t>
        </is>
      </c>
    </row>
    <row r="6" ht="15" customHeight="1">
      <c r="B6" s="7" t="inlineStr">
        <is>
          <t>Foi gerado, na mesma pasta desta planilha, o projeto "PowerBI_Produtividade_Preventivas" com o arquivo Produtividade_Preventivas.pbip.</t>
        </is>
      </c>
    </row>
    <row r="7" ht="42" customHeight="1">
      <c r="B7" s="8" t="inlineStr">
        <is>
          <t>Dê duplo clique em Produtividade_Preventivas.pbip para abrir no Power BI Desktop. O modelo de dados (tabelas Dim_* e Fato_*, relacionamentos e todas as medidas DAX) já vem pronto e conectado a esta planilha; você só precisa montar os visuais na página em branco, seguindo a seção 3.</t>
        </is>
      </c>
    </row>
    <row r="8" ht="28" customHeight="1">
      <c r="B8" s="8" t="inlineStr">
        <is>
          <t>Se o arquivo não abrir corretamente (o formato de projeto .pbip/TMDL é recente e pode variar entre versões do Power BI Desktop), use o caminho manual da seção 2 — os mesmos dados e medidas podem ser recriados em poucos minutos.</t>
        </is>
      </c>
    </row>
    <row r="10">
      <c r="B10" s="4" t="inlineStr">
        <is>
          <t>2) CAMINHO MANUAL (caso o projeto não abra, ou para conectar do zero)</t>
        </is>
      </c>
    </row>
    <row r="11" ht="15" customHeight="1">
      <c r="B11" s="8" t="inlineStr">
        <is>
          <t>1. No Power BI Desktop: Obter Dados → Excel → selecione o arquivo Base_Produtividade_Equipes_Preventivas.xlsx.</t>
        </is>
      </c>
    </row>
    <row r="12" ht="42" customHeight="1">
      <c r="B12" s="8" t="inlineStr">
        <is>
          <t>2. Marque as tabelas: Dim_Distrito, Dim_Atividade, Dim_Colaborador, Dim_Calendario, Fato_RDO_Detalhe, Fato_Producao_Mensal, Fato_Efetivo_Mensal, Fato_Improdutividade_Mensal. (Não marque as abas Calc_*, Producao_por_Item, Grafico_Produtividade, Quadro_Distrito — são visões auxiliares já calculadas na planilha, não fazem parte do modelo do Power BI.) Clique em Carregar.</t>
        </is>
      </c>
    </row>
    <row r="13" ht="56" customHeight="1">
      <c r="B13" s="8" t="inlineStr">
        <is>
          <t>3. Em Modelagem → Gerenciar Relacionamentos, crie: Dim_Distrito[Distrito]→Fato_RDO_Detalhe[Distrito]; Dim_Distrito[Distrito]→Fato_Producao_Mensal[Distrito]; Dim_Distrito[Distrito]→Fato_Efetivo_Mensal[Distrito]; Dim_Distrito[Distrito]→Fato_Improdutividade_Mensal[Distrito]; Dim_Atividade[Atividade_Codigo]→Fato_RDO_Detalhe[Atividade_Codigo]; Dim_Atividade[Atividade_Codigo]→Fato_Producao_Mensal[Item_Codigo]; Dim_Colaborador[Colaborador]→Fato_RDO_Detalhe[Colaborador]; Dim_Calendario[Data]→Fato_RDO_Detalhe[Data].</t>
        </is>
      </c>
    </row>
    <row r="14" ht="15" customHeight="1">
      <c r="B14" s="8" t="inlineStr">
        <is>
          <t>4. Crie as medidas DAX da seção 4 abaixo (clique com o botão direito em cada tabela → Nova medida → cole a fórmula).</t>
        </is>
      </c>
    </row>
    <row r="16">
      <c r="B16" s="4" t="inlineStr">
        <is>
          <t>3) MONTAGEM DOS VISUAIS (mesmo estilo das imagens de referência)</t>
        </is>
      </c>
    </row>
    <row r="17" ht="15" customHeight="1">
      <c r="B17" s="7" t="inlineStr">
        <is>
          <t>Cartões de KPI (topo da página)</t>
        </is>
      </c>
    </row>
    <row r="18" ht="28" customHeight="1">
      <c r="B18" s="8" t="inlineStr">
        <is>
          <t>Inserir → Cartão. Um cartão para cada medida: "PUS Geral", "Eficiência Média Ponderada", "Efetivo Total" (tabela Fato_Efetivo_Mensal), "Dias Improdutivos" e "Horas Improdutivas" (tabela Fato_Improdutividade_Mensal).</t>
        </is>
      </c>
    </row>
    <row r="19" ht="15" customHeight="1">
      <c r="B19" s="7" t="inlineStr">
        <is>
          <t>Gráfico de colunas agrupadas — Produtividade Média Equipes Preventivas (mesmo gráfico da foto 1)</t>
        </is>
      </c>
    </row>
    <row r="20" ht="56" customHeight="1">
      <c r="B20" s="8" t="inlineStr">
        <is>
          <t>Inserir → Gráfico de colunas agrupadas. Eixo X = Atividade_Descricao (ou crie uma coluna calculada agrupando em "Roçada", "Limpeza de Canaleta", "Limpeza de Valeta/Meio-fio", "Recuperação de Drenagem", como na aba Grafico_Produtividade da planilha); Legenda = Distrito; Valor = medida "Produtividade Média/Hora" (tabela Fato_Producao_Mensal). Cores sugeridas: Marabá teal (#1F6F6B), Parauapebas laranja (#E08E2B), Canaã cinza (#A6A6A6) — mesmas cores usadas nos gráficos da planilha.</t>
        </is>
      </c>
    </row>
    <row r="21" ht="15" customHeight="1">
      <c r="B21" s="7" t="inlineStr">
        <is>
          <t>Medidores (gauge) — PUS por Distrito</t>
        </is>
      </c>
    </row>
    <row r="22" ht="42" customHeight="1">
      <c r="B22" s="8" t="inlineStr">
        <is>
          <t>Inserir → Medidor, um por distrito (filtrando o visual por Distrito = Marabá / Parauapebas / Canaã). Valor = medida "PUS Geral"; Valor mínimo = 0; Valor máximo = 30; Meta = medida "Meta Padrão do Contrato". Estes dados existem apenas para Junho/2026 (ver Memorial_Calculo) — filtre também Fato_RDO_Detalhe[Data] para o mês de junho.</t>
        </is>
      </c>
    </row>
    <row r="23" ht="15" customHeight="1">
      <c r="B23" s="7" t="inlineStr">
        <is>
          <t>Tabela/matriz — Produtividade por Colaborador</t>
        </is>
      </c>
    </row>
    <row r="24" ht="28" customHeight="1">
      <c r="B24" s="8" t="inlineStr">
        <is>
          <t>Inserir → Matriz. Linhas = Colaborador, Atividade_Descricao (tabela Fato_RDO_Detalhe); Valores = "Produção Total (RDO)", "Homens-Hora Total", "PUS por Atividade", "Eficiência Média Ponderada".</t>
        </is>
      </c>
    </row>
    <row r="25" ht="15" customHeight="1">
      <c r="B25" s="7" t="inlineStr">
        <is>
          <t>Gráfico de barras — Produção por Item</t>
        </is>
      </c>
    </row>
    <row r="26" ht="28" customHeight="1">
      <c r="B26" s="8" t="inlineStr">
        <is>
          <t>Inserir → Gráfico de barras. Eixo Y = Atividade_Descricao; Valor = "Produção Total (Item)" (tabela Fato_Producao_Mensal). Ordene do maior para o menor.</t>
        </is>
      </c>
    </row>
    <row r="27" ht="15" customHeight="1">
      <c r="B27" s="7" t="inlineStr">
        <is>
          <t>Quadro por Distrito (Efetivo + Improdutividade)</t>
        </is>
      </c>
    </row>
    <row r="28" ht="56" customHeight="1">
      <c r="B28" s="8" t="inlineStr">
        <is>
          <t>Inserir 3 tabelas/cartões, uma por distrito (com filtro visual Distrito = X): Servente, Oficial, Jornada Média (medidas da tabela Fato_Efetivo_Mensal) + Dias Improdutivos, Horas Improdutivas e a coluna Causa (tabela Fato_Improdutividade_Mensal, em uma tabela simples). Use um segmentador de dados (slicer) de MesNome para trocar o mês exibido — o mesmo layout do quadro por distrito da aba Quadro_Distrito desta planilha.</t>
        </is>
      </c>
    </row>
    <row r="29" ht="15" customHeight="1">
      <c r="B29" s="7" t="inlineStr">
        <is>
          <t>Segmentadores (slicers)</t>
        </is>
      </c>
    </row>
    <row r="30" ht="15" customHeight="1">
      <c r="B30" s="8" t="inlineStr">
        <is>
          <t>Adicione segmentadores de Distrito, MesNome e Colaborador no topo da página para filtrar todos os visuais ao mesmo tempo.</t>
        </is>
      </c>
    </row>
    <row r="32">
      <c r="B32" s="4" t="inlineStr">
        <is>
          <t>4) MEDIDAS DAX (copiar e colar no Power BI, caso use o caminho manual)</t>
        </is>
      </c>
    </row>
    <row r="33">
      <c r="A33" s="9" t="n"/>
      <c r="B33" s="9" t="inlineStr">
        <is>
          <t>Tabela</t>
        </is>
      </c>
      <c r="C33" s="9" t="inlineStr">
        <is>
          <t>Medida</t>
        </is>
      </c>
      <c r="D33" t="inlineStr">
        <is>
          <t>Fórmula DAX</t>
        </is>
      </c>
    </row>
    <row r="34">
      <c r="B34" s="10" t="inlineStr">
        <is>
          <t>Fato_RDO_Detalhe</t>
        </is>
      </c>
      <c r="C34" s="32" t="inlineStr">
        <is>
          <t>Homens-Hora Total</t>
        </is>
      </c>
      <c r="D34" s="33" t="inlineStr">
        <is>
          <t>SUM(Fato_RDO_Detalhe[Homens_Hora])</t>
        </is>
      </c>
    </row>
    <row r="35">
      <c r="B35" s="10" t="inlineStr">
        <is>
          <t>Fato_RDO_Detalhe</t>
        </is>
      </c>
      <c r="C35" s="32" t="inlineStr">
        <is>
          <t>Eficiência Média Ponderada</t>
        </is>
      </c>
      <c r="D35" s="33" t="inlineStr">
        <is>
          <t>DIVIDE(SUMX(Fato_RDO_Detalhe, Fato_RDO_Detalhe[Eficiencia_Calculada] * Fato_RDO_Detalhe[Homens_Hora]), [Homens-Hora Total])</t>
        </is>
      </c>
    </row>
    <row r="36">
      <c r="B36" s="10" t="inlineStr">
        <is>
          <t>Fato_RDO_Detalhe</t>
        </is>
      </c>
      <c r="C36" s="32" t="inlineStr">
        <is>
          <t>Meta Padrão do Contrato</t>
        </is>
      </c>
      <c r="D36" s="33" t="inlineStr">
        <is>
          <t>18</t>
        </is>
      </c>
    </row>
    <row r="37">
      <c r="B37" s="10" t="inlineStr">
        <is>
          <t>Fato_RDO_Detalhe</t>
        </is>
      </c>
      <c r="C37" s="32" t="inlineStr">
        <is>
          <t>PUS Geral</t>
        </is>
      </c>
      <c r="D37" s="33" t="inlineStr">
        <is>
          <t>[Eficiência Média Ponderada] * [Meta Padrão do Contrato]</t>
        </is>
      </c>
    </row>
    <row r="38">
      <c r="B38" s="10" t="inlineStr">
        <is>
          <t>Fato_RDO_Detalhe</t>
        </is>
      </c>
      <c r="C38" s="32" t="inlineStr">
        <is>
          <t>Produção Total (RDO)</t>
        </is>
      </c>
      <c r="D38" s="33" t="inlineStr">
        <is>
          <t>SUM(Fato_RDO_Detalhe[Producao])</t>
        </is>
      </c>
    </row>
    <row r="39">
      <c r="B39" s="10" t="inlineStr">
        <is>
          <t>Fato_RDO_Detalhe</t>
        </is>
      </c>
      <c r="C39" s="32" t="inlineStr">
        <is>
          <t>PUS por Atividade</t>
        </is>
      </c>
      <c r="D39" s="33" t="inlineStr">
        <is>
          <t>DIVIDE([Produção Total (RDO)], [Homens-Hora Total])</t>
        </is>
      </c>
    </row>
    <row r="40">
      <c r="B40" s="10" t="inlineStr">
        <is>
          <t>Fato_Producao_Mensal</t>
        </is>
      </c>
      <c r="C40" s="32" t="inlineStr">
        <is>
          <t>Produção Total (Item)</t>
        </is>
      </c>
      <c r="D40" s="33" t="inlineStr">
        <is>
          <t>SUM(Fato_Producao_Mensal[Producao])</t>
        </is>
      </c>
    </row>
    <row r="41">
      <c r="B41" s="10" t="inlineStr">
        <is>
          <t>Fato_Producao_Mensal</t>
        </is>
      </c>
      <c r="C41" s="32" t="inlineStr">
        <is>
          <t>Homens-Hora Total (Item)</t>
        </is>
      </c>
      <c r="D41" s="33" t="inlineStr">
        <is>
          <t>SUM(Fato_Producao_Mensal[Homens_Hora_Implicito])</t>
        </is>
      </c>
    </row>
    <row r="42">
      <c r="B42" s="10" t="inlineStr">
        <is>
          <t>Fato_Producao_Mensal</t>
        </is>
      </c>
      <c r="C42" s="32" t="inlineStr">
        <is>
          <t>Produtividade Média/Hora</t>
        </is>
      </c>
      <c r="D42" s="33" t="inlineStr">
        <is>
          <t>DIVIDE([Produção Total (Item)], [Homens-Hora Total (Item)])</t>
        </is>
      </c>
    </row>
    <row r="43">
      <c r="B43" s="10" t="inlineStr">
        <is>
          <t>Fato_Efetivo_Mensal</t>
        </is>
      </c>
      <c r="C43" s="32" t="inlineStr">
        <is>
          <t>Total Servente</t>
        </is>
      </c>
      <c r="D43" s="33" t="inlineStr">
        <is>
          <t>SUM(Fato_Efetivo_Mensal[Servente])</t>
        </is>
      </c>
    </row>
    <row r="44">
      <c r="B44" s="10" t="inlineStr">
        <is>
          <t>Fato_Efetivo_Mensal</t>
        </is>
      </c>
      <c r="C44" s="32" t="inlineStr">
        <is>
          <t>Total Oficial</t>
        </is>
      </c>
      <c r="D44" s="33" t="inlineStr">
        <is>
          <t>SUM(Fato_Efetivo_Mensal[Oficial])</t>
        </is>
      </c>
    </row>
    <row r="45">
      <c r="B45" s="10" t="inlineStr">
        <is>
          <t>Fato_Efetivo_Mensal</t>
        </is>
      </c>
      <c r="C45" s="32" t="inlineStr">
        <is>
          <t>Efetivo Total</t>
        </is>
      </c>
      <c r="D45" s="33" t="inlineStr">
        <is>
          <t>[Total Servente] + [Total Oficial]</t>
        </is>
      </c>
    </row>
    <row r="46">
      <c r="B46" s="10" t="inlineStr">
        <is>
          <t>Fato_Efetivo_Mensal</t>
        </is>
      </c>
      <c r="C46" s="32" t="inlineStr">
        <is>
          <t>Jornada Média (H)</t>
        </is>
      </c>
      <c r="D46" s="33" t="inlineStr">
        <is>
          <t>AVERAGE(Fato_Efetivo_Mensal[Jornada_Media_H])</t>
        </is>
      </c>
    </row>
    <row r="47">
      <c r="B47" s="10" t="inlineStr">
        <is>
          <t>Fato_Improdutividade_Mensal</t>
        </is>
      </c>
      <c r="C47" s="32" t="inlineStr">
        <is>
          <t>Dias Improdutivos</t>
        </is>
      </c>
      <c r="D47" s="33" t="inlineStr">
        <is>
          <t>SUM(Fato_Improdutividade_Mensal[Qtd_Dias])</t>
        </is>
      </c>
    </row>
    <row r="48">
      <c r="B48" s="10" t="inlineStr">
        <is>
          <t>Fato_Improdutividade_Mensal</t>
        </is>
      </c>
      <c r="C48" s="32" t="inlineStr">
        <is>
          <t>Horas Improdutivas</t>
        </is>
      </c>
      <c r="D48" s="33" t="inlineStr">
        <is>
          <t>SUM(Fato_Improdutividade_Mensal[Qtd_Horas])</t>
        </is>
      </c>
    </row>
    <row r="50">
      <c r="B50" s="4" t="inlineStr">
        <is>
          <t>5) LEGENDAS E TEXTOS EM PORTUGUÊS</t>
        </is>
      </c>
    </row>
    <row r="51" ht="42" customHeight="1">
      <c r="B51" s="8" t="inlineStr">
        <is>
          <t>Todos os nomes de tabelas, colunas e medidas já estão em português. Ao formatar os visuais, mantenha os títulos como no guia acima (ex.: "Produtividade Média Equipes Preventivas", "PUS por Distrito", "Quadro por Distrito") para manter a mesma linguagem dos relatórios que a equipe já usa.</t>
        </is>
      </c>
    </row>
  </sheetData>
  <mergeCells count="27">
    <mergeCell ref="B14:G14"/>
    <mergeCell ref="B17:G17"/>
    <mergeCell ref="B23:G23"/>
    <mergeCell ref="B8:G8"/>
    <mergeCell ref="B13:G13"/>
    <mergeCell ref="B29:G29"/>
    <mergeCell ref="B19:G19"/>
    <mergeCell ref="B10:G10"/>
    <mergeCell ref="B28:G28"/>
    <mergeCell ref="B30:G30"/>
    <mergeCell ref="B6:G6"/>
    <mergeCell ref="B24:G24"/>
    <mergeCell ref="B51:G51"/>
    <mergeCell ref="B20:G20"/>
    <mergeCell ref="B5:G5"/>
    <mergeCell ref="B32:G32"/>
    <mergeCell ref="B50:G50"/>
    <mergeCell ref="B26:G26"/>
    <mergeCell ref="B7:G7"/>
    <mergeCell ref="B25:G25"/>
    <mergeCell ref="B16:G16"/>
    <mergeCell ref="B22:G22"/>
    <mergeCell ref="B27:G27"/>
    <mergeCell ref="B12:G12"/>
    <mergeCell ref="B18:G18"/>
    <mergeCell ref="B21:G21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2026-08-13T10:54:36Z</dcterms:created>
  <dcterms:modified xmlns:dcterms="http://purl.org/dc/terms/" xmlns:xsi="http://www.w3.org/2001/XMLSchema-instance" xsi:type="dcterms:W3CDTF">2026-08-13T10:54:38Z</dcterms:modified>
</cp:coreProperties>
</file>