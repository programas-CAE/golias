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EDIÇÃO INFRA IV\BI DE PRODUTIVIDADE\"/>
    </mc:Choice>
  </mc:AlternateContent>
  <xr:revisionPtr revIDLastSave="0" documentId="13_ncr:1_{246342EE-D996-4429-8206-ECBFA4C5C323}" xr6:coauthVersionLast="47" xr6:coauthVersionMax="47" xr10:uidLastSave="{00000000-0000-0000-0000-000000000000}"/>
  <bookViews>
    <workbookView xWindow="-108" yWindow="-108" windowWidth="23256" windowHeight="13896" activeTab="2" xr2:uid="{067E4ACA-FCA4-49DB-BE4B-A3C7091DFC6F}"/>
  </bookViews>
  <sheets>
    <sheet name="RESUM. MAN. PREV. ABRIL" sheetId="4" r:id="rId1"/>
    <sheet name="RESUM. MAN. PREV. MAIO" sheetId="3" r:id="rId2"/>
    <sheet name="RESUM. MAN. PREV. JUNHO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0">'[1]OPE-D.Guanhães'!#REF!</definedName>
    <definedName name="\0" localSheetId="2">'[1]OPE-D.Guanhães'!#REF!</definedName>
    <definedName name="\0" localSheetId="1">'[1]OPE-D.Guanhães'!#REF!</definedName>
    <definedName name="\0">'[1]OPE-D.Guanhães'!#REF!</definedName>
    <definedName name="\a">#N/A</definedName>
    <definedName name="\F" localSheetId="0">'[1]OPE-D.Guanhães'!#REF!</definedName>
    <definedName name="\F" localSheetId="2">'[1]OPE-D.Guanhães'!#REF!</definedName>
    <definedName name="\F" localSheetId="1">'[1]OPE-D.Guanhães'!#REF!</definedName>
    <definedName name="\F">'[1]OPE-D.Guanhães'!#REF!</definedName>
    <definedName name="\P" localSheetId="0">'[1]OPE-D.Guanhães'!#REF!</definedName>
    <definedName name="\P" localSheetId="2">'[1]OPE-D.Guanhães'!#REF!</definedName>
    <definedName name="\P" localSheetId="1">'[1]OPE-D.Guanhães'!#REF!</definedName>
    <definedName name="\P">'[1]OPE-D.Guanhães'!#REF!</definedName>
    <definedName name="\Q" localSheetId="0">'[1]OPE-D.Guanhães'!#REF!</definedName>
    <definedName name="\Q" localSheetId="2">'[1]OPE-D.Guanhães'!#REF!</definedName>
    <definedName name="\Q" localSheetId="1">'[1]OPE-D.Guanhães'!#REF!</definedName>
    <definedName name="\Q">'[1]OPE-D.Guanhães'!#REF!</definedName>
    <definedName name="\R" localSheetId="0">'[1]OPE-D.Guanhães'!#REF!</definedName>
    <definedName name="\R" localSheetId="2">'[1]OPE-D.Guanhães'!#REF!</definedName>
    <definedName name="\R" localSheetId="1">'[1]OPE-D.Guanhães'!#REF!</definedName>
    <definedName name="\R">'[1]OPE-D.Guanhães'!#REF!</definedName>
    <definedName name="____pla1" localSheetId="0">#REF!</definedName>
    <definedName name="____pla1" localSheetId="1">#REF!</definedName>
    <definedName name="____pla1">#REF!</definedName>
    <definedName name="____pla1_1" localSheetId="0">#REF!</definedName>
    <definedName name="____pla1_1" localSheetId="1">#REF!</definedName>
    <definedName name="____pla1_1">#REF!</definedName>
    <definedName name="___pla1" localSheetId="0">#REF!</definedName>
    <definedName name="___pla1" localSheetId="1">#REF!</definedName>
    <definedName name="___pla1">#REF!</definedName>
    <definedName name="___pla1_1" localSheetId="0">#REF!</definedName>
    <definedName name="___pla1_1" localSheetId="1">#REF!</definedName>
    <definedName name="___pla1_1">#REF!</definedName>
    <definedName name="__123Graph_A" hidden="1">[2]A!$AF$59:$AF$65</definedName>
    <definedName name="__123Graph_B" hidden="1">[2]A!$AG$58:$AG$64</definedName>
    <definedName name="__123Graph_X" hidden="1">[2]A!$AE$59:$AE$65</definedName>
    <definedName name="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pla1" localSheetId="0">#REF!</definedName>
    <definedName name="__pla1" localSheetId="1">#REF!</definedName>
    <definedName name="__pla1">#REF!</definedName>
    <definedName name="__pla1_1" localSheetId="0">#REF!</definedName>
    <definedName name="__pla1_1" localSheetId="1">#REF!</definedName>
    <definedName name="__pla1_1">#REF!</definedName>
    <definedName name="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1__123Graph_ACHART_1" hidden="1">[2]A!$F$59:$AG$59</definedName>
    <definedName name="_1__123Graph_ECHART_1" localSheetId="0" hidden="1">[3]GEMIN!#REF!</definedName>
    <definedName name="_1__123Graph_ECHART_1" localSheetId="2" hidden="1">[3]GEMIN!#REF!</definedName>
    <definedName name="_1__123Graph_ECHART_1" localSheetId="1" hidden="1">[3]GEMIN!#REF!</definedName>
    <definedName name="_1__123Graph_ECHART_1" hidden="1">[3]GEMIN!#REF!</definedName>
    <definedName name="_2__123Graph_ACHART_2" localSheetId="0" hidden="1">#REF!</definedName>
    <definedName name="_2__123Graph_ACHART_2" localSheetId="1" hidden="1">#REF!</definedName>
    <definedName name="_2__123Graph_ACHART_2" hidden="1">#REF!</definedName>
    <definedName name="_2__123Graph_BCHART_1" hidden="1">[2]A!$F$63:$AG$63</definedName>
    <definedName name="_2__123Graph_FCHART_1" localSheetId="0" hidden="1">[4]GEMIN!#REF!</definedName>
    <definedName name="_2__123Graph_FCHART_1" localSheetId="2" hidden="1">[4]GEMIN!#REF!</definedName>
    <definedName name="_2__123Graph_FCHART_1" localSheetId="1" hidden="1">[4]GEMIN!#REF!</definedName>
    <definedName name="_2__123Graph_FCHART_1" hidden="1">[4]GEMIN!#REF!</definedName>
    <definedName name="_3__123Graph_ACHART_3" localSheetId="0" hidden="1">#REF!</definedName>
    <definedName name="_3__123Graph_ACHART_3" localSheetId="1" hidden="1">#REF!</definedName>
    <definedName name="_3__123Graph_ACHART_3" hidden="1">#REF!</definedName>
    <definedName name="_3__123Graph_XCHART_1" hidden="1">[2]A!$F$11:$AG$11</definedName>
    <definedName name="_3__123Graph_XCHART_3" localSheetId="0" hidden="1">[5]estgg!#REF!</definedName>
    <definedName name="_3__123Graph_XCHART_3" localSheetId="2" hidden="1">[5]estgg!#REF!</definedName>
    <definedName name="_3__123Graph_XCHART_3" localSheetId="1" hidden="1">[5]estgg!#REF!</definedName>
    <definedName name="_3__123Graph_XCHART_3" hidden="1">[5]estgg!#REF!</definedName>
    <definedName name="_4__123Graph_BCHART_1" localSheetId="0" hidden="1">#REF!</definedName>
    <definedName name="_4__123Graph_BCHART_1" localSheetId="1" hidden="1">#REF!</definedName>
    <definedName name="_4__123Graph_BCHART_1" hidden="1">#REF!</definedName>
    <definedName name="_5__123Graph_BCHART_2" localSheetId="0" hidden="1">#REF!</definedName>
    <definedName name="_5__123Graph_BCHART_2" localSheetId="1" hidden="1">#REF!</definedName>
    <definedName name="_5__123Graph_BCHART_2" hidden="1">#REF!</definedName>
    <definedName name="_6__123Graph_FCHART_1" localSheetId="0" hidden="1">#REF!</definedName>
    <definedName name="_6__123Graph_FCHART_1" localSheetId="1" hidden="1">#REF!</definedName>
    <definedName name="_6__123Graph_FCHART_1" hidden="1">#REF!</definedName>
    <definedName name="_63" localSheetId="0">[6]Acionamento!#REF!</definedName>
    <definedName name="_63" localSheetId="2">[6]Acionamento!#REF!</definedName>
    <definedName name="_63" localSheetId="1">[6]Acionamento!#REF!</definedName>
    <definedName name="_63">[6]Acionamento!#REF!</definedName>
    <definedName name="_7__123Graph_XCHART_3" localSheetId="0" hidden="1">#REF!</definedName>
    <definedName name="_7__123Graph_XCHART_3" localSheetId="1" hidden="1">#REF!</definedName>
    <definedName name="_7__123Graph_XCHART_3" hidden="1">#REF!</definedName>
    <definedName name="_a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br1" localSheetId="0">#REF!</definedName>
    <definedName name="_Abr1" localSheetId="2">#REF!</definedName>
    <definedName name="_Abr1" localSheetId="1">#REF!</definedName>
    <definedName name="_Abr1">#REF!</definedName>
    <definedName name="_Ago1" localSheetId="0">#REF!</definedName>
    <definedName name="_Ago1" localSheetId="2">#REF!</definedName>
    <definedName name="_Ago1" localSheetId="1">#REF!</definedName>
    <definedName name="_Ago1">#REF!</definedName>
    <definedName name="_Brz1" localSheetId="0">#REF!</definedName>
    <definedName name="_Brz1" localSheetId="2">#REF!</definedName>
    <definedName name="_Brz1" localSheetId="1">#REF!</definedName>
    <definedName name="_Brz1">#REF!</definedName>
    <definedName name="_Brz2" localSheetId="0">#REF!</definedName>
    <definedName name="_Brz2" localSheetId="1">#REF!</definedName>
    <definedName name="_Brz2">#REF!</definedName>
    <definedName name="_C" localSheetId="0" hidden="1">#REF!</definedName>
    <definedName name="_C" localSheetId="1" hidden="1">#REF!</definedName>
    <definedName name="_C" hidden="1">#REF!</definedName>
    <definedName name="_d" localSheetId="0" hidden="1">#REF!</definedName>
    <definedName name="_d" localSheetId="1" hidden="1">#REF!</definedName>
    <definedName name="_d" hidden="1">#REF!</definedName>
    <definedName name="_Dez1" localSheetId="0">#REF!</definedName>
    <definedName name="_Dez1" localSheetId="1">#REF!</definedName>
    <definedName name="_Dez1">#REF!</definedName>
    <definedName name="_Fev1" localSheetId="0">#REF!</definedName>
    <definedName name="_Fev1" localSheetId="1">#REF!</definedName>
    <definedName name="_Fev1">#REF!</definedName>
    <definedName name="_Fill" localSheetId="0" hidden="1">'[7]A.2- RESUMO'!#REF!</definedName>
    <definedName name="_Fill" localSheetId="2" hidden="1">'[7]A.2- RESUMO'!#REF!</definedName>
    <definedName name="_Fill" localSheetId="1" hidden="1">'[7]A.2- RESUMO'!#REF!</definedName>
    <definedName name="_Fill" hidden="1">'[7]A.2- RESUMO'!#REF!</definedName>
    <definedName name="_fill1" localSheetId="0" hidden="1">#REF!</definedName>
    <definedName name="_fill1" localSheetId="2" hidden="1">#REF!</definedName>
    <definedName name="_fill1" localSheetId="1" hidden="1">#REF!</definedName>
    <definedName name="_fill1" hidden="1">#REF!</definedName>
    <definedName name="_fILLL" hidden="1">'[7]A.2- RESUMO'!#REF!</definedName>
    <definedName name="_xlnm._FilterDatabase" localSheetId="0" hidden="1">'RESUM. MAN. PREV. ABRIL'!$C$9:$I$40</definedName>
    <definedName name="_xlnm._FilterDatabase" localSheetId="2" hidden="1">'RESUM. MAN. PREV. JUNHO'!$C$9:$I$40</definedName>
    <definedName name="_xlnm._FilterDatabase" localSheetId="1" hidden="1">'RESUM. MAN. PREV. MAIO'!$C$9:$I$40</definedName>
    <definedName name="_h" localSheetId="0" hidden="1">#REF!</definedName>
    <definedName name="_h" localSheetId="2" hidden="1">#REF!</definedName>
    <definedName name="_h" localSheetId="1" hidden="1">#REF!</definedName>
    <definedName name="_h" hidden="1">#REF!</definedName>
    <definedName name="_i" localSheetId="0" hidden="1">'[7]A.2- RESUMO'!#REF!</definedName>
    <definedName name="_i" localSheetId="2" hidden="1">'[7]A.2- RESUMO'!#REF!</definedName>
    <definedName name="_i" localSheetId="1" hidden="1">'[7]A.2- RESUMO'!#REF!</definedName>
    <definedName name="_i" hidden="1">'[7]A.2- RESUMO'!#REF!</definedName>
    <definedName name="_Jan1" localSheetId="0">#REF!</definedName>
    <definedName name="_Jan1" localSheetId="2">#REF!</definedName>
    <definedName name="_Jan1" localSheetId="1">#REF!</definedName>
    <definedName name="_Jan1">#REF!</definedName>
    <definedName name="_JU" localSheetId="0" hidden="1">#REF!</definedName>
    <definedName name="_JU" localSheetId="1" hidden="1">#REF!</definedName>
    <definedName name="_JU" hidden="1">#REF!</definedName>
    <definedName name="_Jul1" localSheetId="0">#REF!</definedName>
    <definedName name="_Jul1" localSheetId="2">#REF!</definedName>
    <definedName name="_Jul1" localSheetId="1">#REF!</definedName>
    <definedName name="_Jul1">#REF!</definedName>
    <definedName name="_Jun1" localSheetId="0">#REF!</definedName>
    <definedName name="_Jun1" localSheetId="2">#REF!</definedName>
    <definedName name="_Jun1" localSheetId="1">#REF!</definedName>
    <definedName name="_Jun1">#REF!</definedName>
    <definedName name="_k" localSheetId="0" hidden="1">#REF!</definedName>
    <definedName name="_k" localSheetId="1" hidden="1">#REF!</definedName>
    <definedName name="_k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kk" localSheetId="0" hidden="1">#REF!</definedName>
    <definedName name="_kk" localSheetId="1" hidden="1">#REF!</definedName>
    <definedName name="_kk" hidden="1">#REF!</definedName>
    <definedName name="_lkjhg" localSheetId="0" hidden="1">#REF!</definedName>
    <definedName name="_lkjhg" localSheetId="1" hidden="1">#REF!</definedName>
    <definedName name="_lkjhg" hidden="1">#REF!</definedName>
    <definedName name="_Mai1" localSheetId="0">#REF!</definedName>
    <definedName name="_Mai1" localSheetId="1">#REF!</definedName>
    <definedName name="_Mai1">#REF!</definedName>
    <definedName name="_Mar1" localSheetId="0">#REF!</definedName>
    <definedName name="_Mar1" localSheetId="1">#REF!</definedName>
    <definedName name="_Mar1">#REF!</definedName>
    <definedName name="_Nov1" localSheetId="0">#REF!</definedName>
    <definedName name="_Nov1" localSheetId="1">#REF!</definedName>
    <definedName name="_Nov1">#REF!</definedName>
    <definedName name="_Order1" hidden="1">255</definedName>
    <definedName name="_Order2" hidden="1">255</definedName>
    <definedName name="_Out1" localSheetId="0">#REF!</definedName>
    <definedName name="_Out1" localSheetId="2">#REF!</definedName>
    <definedName name="_Out1" localSheetId="1">#REF!</definedName>
    <definedName name="_Out1">#REF!</definedName>
    <definedName name="_p" localSheetId="0" hidden="1">#REF!</definedName>
    <definedName name="_p" localSheetId="2" hidden="1">#REF!</definedName>
    <definedName name="_p" localSheetId="1" hidden="1">#REF!</definedName>
    <definedName name="_p" hidden="1">#REF!</definedName>
    <definedName name="_pA5" localSheetId="0">[8]!_xlbgnm.pA5</definedName>
    <definedName name="_pA5" localSheetId="2">[8]!_xlbgnm.pA5</definedName>
    <definedName name="_pA5" localSheetId="1">[8]!_xlbgnm.pA5</definedName>
    <definedName name="_pA5">[8]!_xlbgnm.pA5</definedName>
    <definedName name="_pA6" localSheetId="0">[8]!_xlbgnm.pA6</definedName>
    <definedName name="_pA6" localSheetId="2">[8]!_xlbgnm.pA6</definedName>
    <definedName name="_pA6" localSheetId="1">[8]!_xlbgnm.pA6</definedName>
    <definedName name="_pA6">[8]!_xlbgnm.pA6</definedName>
    <definedName name="_pC5" localSheetId="0">[8]!_xlbgnm.pC5</definedName>
    <definedName name="_pC5" localSheetId="2">[8]!_xlbgnm.pC5</definedName>
    <definedName name="_pC5" localSheetId="1">[8]!_xlbgnm.pC5</definedName>
    <definedName name="_pC5">[8]!_xlbgnm.pC5</definedName>
    <definedName name="_pla1" localSheetId="0">'[9]Fresagem de Pista Ago-98'!#REF!</definedName>
    <definedName name="_pla1" localSheetId="2">'[9]Fresagem de Pista Ago-98'!#REF!</definedName>
    <definedName name="_pla1" localSheetId="1">'[9]Fresagem de Pista Ago-98'!#REF!</definedName>
    <definedName name="_pla1">'[9]Fresagem de Pista Ago-98'!#REF!</definedName>
    <definedName name="_pla1_1" localSheetId="0">#REF!</definedName>
    <definedName name="_pla1_1" localSheetId="1">#REF!</definedName>
    <definedName name="_pla1_1">#REF!</definedName>
    <definedName name="_popo´" localSheetId="0" hidden="1">#REF!</definedName>
    <definedName name="_popo´" localSheetId="2" hidden="1">#REF!</definedName>
    <definedName name="_popo´" localSheetId="1" hidden="1">#REF!</definedName>
    <definedName name="_popo´" hidden="1">#REF!</definedName>
    <definedName name="_R" localSheetId="0">#REF!</definedName>
    <definedName name="_R" localSheetId="2">#REF!</definedName>
    <definedName name="_R" localSheetId="1">#REF!</definedName>
    <definedName name="_R">#REF!</definedName>
    <definedName name="_Set1" localSheetId="0">#REF!</definedName>
    <definedName name="_Set1" localSheetId="2">#REF!</definedName>
    <definedName name="_Set1" localSheetId="1">#REF!</definedName>
    <definedName name="_Set1">#REF!</definedName>
    <definedName name="_Sort" localSheetId="0" hidden="1">#REF!</definedName>
    <definedName name="_Sort" localSheetId="1" hidden="1">#REF!</definedName>
    <definedName name="_Sort" hidden="1">#REF!</definedName>
    <definedName name="_tab1" localSheetId="0">#REF!</definedName>
    <definedName name="_tab1" localSheetId="1">#REF!</definedName>
    <definedName name="_tab1">#REF!</definedName>
    <definedName name="_TOT1" localSheetId="0">#REF!</definedName>
    <definedName name="_TOT1" localSheetId="1">#REF!</definedName>
    <definedName name="_TOT1">#REF!</definedName>
    <definedName name="_TOT2" localSheetId="0">#REF!</definedName>
    <definedName name="_TOT2" localSheetId="1">#REF!</definedName>
    <definedName name="_TOT2">#REF!</definedName>
    <definedName name="_TOT3" localSheetId="0">#REF!</definedName>
    <definedName name="_TOT3" localSheetId="1">#REF!</definedName>
    <definedName name="_TOT3">#REF!</definedName>
    <definedName name="_TOT4" localSheetId="0">#REF!</definedName>
    <definedName name="_TOT4" localSheetId="1">#REF!</definedName>
    <definedName name="_TOT4">#REF!</definedName>
    <definedName name="_TOT5" localSheetId="0">#REF!</definedName>
    <definedName name="_TOT5" localSheetId="1">#REF!</definedName>
    <definedName name="_TOT5">#REF!</definedName>
    <definedName name="_TOT6" localSheetId="0">#REF!</definedName>
    <definedName name="_TOT6" localSheetId="1">#REF!</definedName>
    <definedName name="_TOT6">#REF!</definedName>
    <definedName name="_TOT7" localSheetId="0">#REF!</definedName>
    <definedName name="_TOT7" localSheetId="1">#REF!</definedName>
    <definedName name="_TOT7">#REF!</definedName>
    <definedName name="_xlcn.WorksheetConnection_MB04DEZEMBROrev02.xlsmtbl_Fornecimento1" hidden="1">[10]!tbl_Fornecimento[#Data]</definedName>
    <definedName name="_xlcn.WorksheetConnection_MB04DEZEMBROrev02.xlsmtbl_Manutencao1" hidden="1">[10]!tbl_Manutencao[#Data]</definedName>
    <definedName name="_xlcn.WorksheetConnection_MB04DEZEMBROrev02.xlsmtbl_Operacao1" hidden="1">[10]!tbl_Operacao[#Data]</definedName>
    <definedName name="A_km" localSheetId="0">'[11]Fresagem de Pista Ago-98'!#REF!</definedName>
    <definedName name="A_km" localSheetId="2">'[11]Fresagem de Pista Ago-98'!#REF!</definedName>
    <definedName name="A_km" localSheetId="1">'[11]Fresagem de Pista Ago-98'!#REF!</definedName>
    <definedName name="A_km">'[11]Fresagem de Pista Ago-98'!#REF!</definedName>
    <definedName name="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BC" localSheetId="0" hidden="1">{#N/A,#N/A,FALSE,"ET-CAPA";#N/A,#N/A,FALSE,"ET-PAG1";#N/A,#N/A,FALSE,"ET-PAG2";#N/A,#N/A,FALSE,"ET-PAG3";#N/A,#N/A,FALSE,"ET-PAG4";#N/A,#N/A,FALSE,"ET-PAG5"}</definedName>
    <definedName name="ABC" localSheetId="2" hidden="1">{#N/A,#N/A,FALSE,"ET-CAPA";#N/A,#N/A,FALSE,"ET-PAG1";#N/A,#N/A,FALSE,"ET-PAG2";#N/A,#N/A,FALSE,"ET-PAG3";#N/A,#N/A,FALSE,"ET-PAG4";#N/A,#N/A,FALSE,"ET-PAG5"}</definedName>
    <definedName name="ABC" localSheetId="1" hidden="1">{#N/A,#N/A,FALSE,"ET-CAPA";#N/A,#N/A,FALSE,"ET-PAG1";#N/A,#N/A,FALSE,"ET-PAG2";#N/A,#N/A,FALSE,"ET-PAG3";#N/A,#N/A,FALSE,"ET-PAG4";#N/A,#N/A,FALSE,"ET-PAG5"}</definedName>
    <definedName name="ABC" hidden="1">{#N/A,#N/A,FALSE,"ET-CAPA";#N/A,#N/A,FALSE,"ET-PAG1";#N/A,#N/A,FALSE,"ET-PAG2";#N/A,#N/A,FALSE,"ET-PAG3";#N/A,#N/A,FALSE,"ET-PAG4";#N/A,#N/A,FALSE,"ET-PAG5"}</definedName>
    <definedName name="ad" hidden="1">[2]A!$F$59:$AG$59</definedName>
    <definedName name="adicional_eixo" localSheetId="0">#REF!</definedName>
    <definedName name="adicional_eixo" localSheetId="2">#REF!</definedName>
    <definedName name="adicional_eixo" localSheetId="1">#REF!</definedName>
    <definedName name="adicional_eixo">#REF!</definedName>
    <definedName name="A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" hidden="1">[2]A!$F$11:$AG$11</definedName>
    <definedName name="Ago" localSheetId="0">#REF!</definedName>
    <definedName name="Ago" localSheetId="1">#REF!</definedName>
    <definedName name="Ago">#REF!</definedName>
    <definedName name="Ajuste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no" localSheetId="0">#REF!</definedName>
    <definedName name="Ano" localSheetId="2">#REF!</definedName>
    <definedName name="Ano" localSheetId="1">#REF!</definedName>
    <definedName name="Ano">#REF!</definedName>
    <definedName name="anscount" hidden="1">1</definedName>
    <definedName name="APRESENTADO" localSheetId="0">#REF!</definedName>
    <definedName name="APRESENTADO" localSheetId="1">#REF!</definedName>
    <definedName name="APRESENTADO">#REF!</definedName>
    <definedName name="ÀREA" localSheetId="0">'[11]Fresagem de Pista Ago-98'!#REF!</definedName>
    <definedName name="ÀREA" localSheetId="2">'[11]Fresagem de Pista Ago-98'!#REF!</definedName>
    <definedName name="ÀREA" localSheetId="1">'[11]Fresagem de Pista Ago-98'!#REF!</definedName>
    <definedName name="ÀREA">'[11]Fresagem de Pista Ago-98'!#REF!</definedName>
    <definedName name="ÀREA_ACUM" localSheetId="0">'[11]Fresagem de Pista Ago-98'!#REF!</definedName>
    <definedName name="ÀREA_ACUM" localSheetId="2">'[11]Fresagem de Pista Ago-98'!#REF!</definedName>
    <definedName name="ÀREA_ACUM" localSheetId="1">'[11]Fresagem de Pista Ago-98'!#REF!</definedName>
    <definedName name="ÀREA_ACUM">'[11]Fresagem de Pista Ago-98'!#REF!</definedName>
    <definedName name="_xlnm.Print_Area" localSheetId="0">'RESUM. MAN. PREV. ABRIL'!$A$1:$AA$6</definedName>
    <definedName name="_xlnm.Print_Area" localSheetId="2">'RESUM. MAN. PREV. JUNHO'!$A$1:$AA$6</definedName>
    <definedName name="_xlnm.Print_Area" localSheetId="1">'RESUM. MAN. PREV. MAIO'!$A$1:$AA$6</definedName>
    <definedName name="_xlnm.Print_Area">#REF!</definedName>
    <definedName name="Area_Executante" localSheetId="0">#REF!</definedName>
    <definedName name="Area_Executante" localSheetId="2">#REF!</definedName>
    <definedName name="Area_Executante" localSheetId="1">#REF!</definedName>
    <definedName name="Area_Executante">#REF!</definedName>
    <definedName name="Área_impressão_IM" localSheetId="0">#REF!</definedName>
    <definedName name="Área_impressão_IM" localSheetId="2">#REF!</definedName>
    <definedName name="Área_impressão_IM" localSheetId="1">#REF!</definedName>
    <definedName name="Área_impressão_IM">#REF!</definedName>
    <definedName name="Area_Solicitante" localSheetId="0">#REF!</definedName>
    <definedName name="Area_Solicitante" localSheetId="1">#REF!</definedName>
    <definedName name="Area_Solicitante">#REF!</definedName>
    <definedName name="AREAMADEIRITE">2.44*0.122</definedName>
    <definedName name="AREATABUA">0.75</definedName>
    <definedName name="Arq_Nome">[12]Principal!$D$22</definedName>
    <definedName name="ArquivoCD" localSheetId="0">#REF!</definedName>
    <definedName name="ArquivoCD" localSheetId="2">#REF!</definedName>
    <definedName name="ArquivoCD" localSheetId="1">#REF!</definedName>
    <definedName name="ArquivoCD">#REF!</definedName>
    <definedName name="Arranc_de_guias_de_granito">'[13]200.024'!$D$8</definedName>
    <definedName name="Arranc_de_lajotas_de_concreto" localSheetId="0">#REF!</definedName>
    <definedName name="Arranc_de_lajotas_de_concreto" localSheetId="2">#REF!</definedName>
    <definedName name="Arranc_de_lajotas_de_concreto" localSheetId="1">#REF!</definedName>
    <definedName name="Arranc_de_lajotas_de_concreto">#REF!</definedName>
    <definedName name="Arranc_de_lousas_de_granito" localSheetId="0">#REF!</definedName>
    <definedName name="Arranc_de_lousas_de_granito" localSheetId="2">#REF!</definedName>
    <definedName name="Arranc_de_lousas_de_granito" localSheetId="1">#REF!</definedName>
    <definedName name="Arranc_de_lousas_de_granito">#REF!</definedName>
    <definedName name="Arranc_de_sarjeta_com_2_paralelos_rejuntados">'[13]200.026'!$D$8</definedName>
    <definedName name="Arranc_e_reassent_de_guias_de_granito" localSheetId="0">#REF!</definedName>
    <definedName name="Arranc_e_reassent_de_guias_de_granito" localSheetId="2">#REF!</definedName>
    <definedName name="Arranc_e_reassent_de_guias_de_granito" localSheetId="1">#REF!</definedName>
    <definedName name="Arranc_e_reassent_de_guias_de_granito">#REF!</definedName>
    <definedName name="Arranc_e_reassent_petit_pavet" localSheetId="0">#REF!</definedName>
    <definedName name="Arranc_e_reassent_petit_pavet" localSheetId="2">#REF!</definedName>
    <definedName name="Arranc_e_reassent_petit_pavet" localSheetId="1">#REF!</definedName>
    <definedName name="Arranc_e_reassent_petit_pavet">#REF!</definedName>
    <definedName name="Arranc_e_reassent_sarjeta_com_2_paralelos_rejunt">'[13]200.032'!$D$8</definedName>
    <definedName name="A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QWQW" localSheetId="0">#REF!</definedName>
    <definedName name="ASDQWQW" localSheetId="1">#REF!</definedName>
    <definedName name="ASDQWQW">#REF!</definedName>
    <definedName name="ASDWQS" localSheetId="0">#REF!</definedName>
    <definedName name="ASDWQS" localSheetId="1">#REF!</definedName>
    <definedName name="ASDWQS">#REF!</definedName>
    <definedName name="ASWDW" localSheetId="0">OFFSET(#REF!,#REF!,3,#REF!,1)</definedName>
    <definedName name="ASWDW" localSheetId="1">OFFSET(#REF!,#REF!,3,#REF!,1)</definedName>
    <definedName name="ASWDW">OFFSET(#REF!,#REF!,3,#REF!,1)</definedName>
    <definedName name="ATRA" localSheetId="0">#REF!</definedName>
    <definedName name="ATRA" localSheetId="2">#REF!</definedName>
    <definedName name="ATRA" localSheetId="1">#REF!</definedName>
    <definedName name="ATRA">#REF!</definedName>
    <definedName name="auxiliar" localSheetId="0">#REF!</definedName>
    <definedName name="auxiliar" localSheetId="2">#REF!</definedName>
    <definedName name="auxiliar" localSheetId="1">#REF!</definedName>
    <definedName name="auxiliar">#REF!</definedName>
    <definedName name="_xlnm.Database" localSheetId="0">#REF!</definedName>
    <definedName name="_xlnm.Database" localSheetId="2">#REF!</definedName>
    <definedName name="_xlnm.Database" localSheetId="1">#REF!</definedName>
    <definedName name="_xlnm.Database">#REF!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" localSheetId="0">#REF!</definedName>
    <definedName name="bb" localSheetId="1">#REF!</definedName>
    <definedName name="bb">#REF!</definedName>
    <definedName name="bb_1" localSheetId="0">#REF!</definedName>
    <definedName name="bb_1" localSheetId="1">#REF!</definedName>
    <definedName name="bb_1">#REF!</definedName>
    <definedName name="BBR" localSheetId="0">#REF!</definedName>
    <definedName name="BBR" localSheetId="1">#REF!</definedName>
    <definedName name="BBR">#REF!</definedName>
    <definedName name="bca" localSheetId="0" hidden="1">{#N/A,#N/A,FALSE,"ET-CAPA";#N/A,#N/A,FALSE,"ET-PAG1";#N/A,#N/A,FALSE,"ET-PAG2";#N/A,#N/A,FALSE,"ET-PAG3";#N/A,#N/A,FALSE,"ET-PAG4";#N/A,#N/A,FALSE,"ET-PAG5"}</definedName>
    <definedName name="bca" localSheetId="2" hidden="1">{#N/A,#N/A,FALSE,"ET-CAPA";#N/A,#N/A,FALSE,"ET-PAG1";#N/A,#N/A,FALSE,"ET-PAG2";#N/A,#N/A,FALSE,"ET-PAG3";#N/A,#N/A,FALSE,"ET-PAG4";#N/A,#N/A,FALSE,"ET-PAG5"}</definedName>
    <definedName name="bca" localSheetId="1" hidden="1">{#N/A,#N/A,FALSE,"ET-CAPA";#N/A,#N/A,FALSE,"ET-PAG1";#N/A,#N/A,FALSE,"ET-PAG2";#N/A,#N/A,FALSE,"ET-PAG3";#N/A,#N/A,FALSE,"ET-PAG4";#N/A,#N/A,FALSE,"ET-PAG5"}</definedName>
    <definedName name="bca" hidden="1">{#N/A,#N/A,FALSE,"ET-CAPA";#N/A,#N/A,FALSE,"ET-PAG1";#N/A,#N/A,FALSE,"ET-PAG2";#N/A,#N/A,FALSE,"ET-PAG3";#N/A,#N/A,FALSE,"ET-PAG4";#N/A,#N/A,FALSE,"ET-PAG5"}</definedName>
    <definedName name="BD" localSheetId="0">#REF!</definedName>
    <definedName name="BD" localSheetId="1">#REF!</definedName>
    <definedName name="BD">#REF!</definedName>
    <definedName name="BD_1" localSheetId="0">#REF!</definedName>
    <definedName name="BD_1" localSheetId="1">#REF!</definedName>
    <definedName name="BD_1">#REF!</definedName>
    <definedName name="BDBS" localSheetId="0">#REF!</definedName>
    <definedName name="BDBS" localSheetId="1">#REF!</definedName>
    <definedName name="BDBS">#REF!</definedName>
    <definedName name="BDI" localSheetId="0">#REF!</definedName>
    <definedName name="BDI" localSheetId="2">#REF!</definedName>
    <definedName name="BDI" localSheetId="1">#REF!</definedName>
    <definedName name="BDI">#REF!</definedName>
    <definedName name="BDI_1" localSheetId="0">#REF!</definedName>
    <definedName name="BDI_1" localSheetId="1">#REF!</definedName>
    <definedName name="BDI_1">#REF!</definedName>
    <definedName name="BenCust">'[14]VPL-FCA'!$F$23</definedName>
    <definedName name="Beneficio_Custo" localSheetId="0">#REF!</definedName>
    <definedName name="Beneficio_Custo" localSheetId="2">#REF!</definedName>
    <definedName name="Beneficio_Custo" localSheetId="1">#REF!</definedName>
    <definedName name="Beneficio_Custo">#REF!</definedName>
    <definedName name="BJTocantins" localSheetId="0" hidden="1">'[7]A.2- RESUMO'!#REF!</definedName>
    <definedName name="BJTocantins" localSheetId="2" hidden="1">'[7]A.2- RESUMO'!#REF!</definedName>
    <definedName name="BJTocantins" localSheetId="1" hidden="1">'[7]A.2- RESUMO'!#REF!</definedName>
    <definedName name="BJTocantins" hidden="1">'[7]A.2- RESUMO'!#REF!</definedName>
    <definedName name="bjtocantins2" localSheetId="0" hidden="1">'[7]A.2- RESUMO'!#REF!</definedName>
    <definedName name="bjtocantins2" localSheetId="2" hidden="1">'[7]A.2- RESUMO'!#REF!</definedName>
    <definedName name="bjtocantins2" localSheetId="1" hidden="1">'[7]A.2- RESUMO'!#REF!</definedName>
    <definedName name="bjtocantins2" hidden="1">'[7]A.2- RESUMO'!#REF!</definedName>
    <definedName name="BLPH10" localSheetId="0" hidden="1">#REF!</definedName>
    <definedName name="BLPH10" localSheetId="2" hidden="1">#REF!</definedName>
    <definedName name="BLPH10" localSheetId="1" hidden="1">#REF!</definedName>
    <definedName name="BLPH10" hidden="1">#REF!</definedName>
    <definedName name="BLPH23" localSheetId="0" hidden="1">#REF!</definedName>
    <definedName name="BLPH23" localSheetId="2" hidden="1">#REF!</definedName>
    <definedName name="BLPH23" localSheetId="1" hidden="1">#REF!</definedName>
    <definedName name="BLPH23" hidden="1">#REF!</definedName>
    <definedName name="BLPH24" localSheetId="0" hidden="1">#REF!</definedName>
    <definedName name="BLPH24" localSheetId="2" hidden="1">#REF!</definedName>
    <definedName name="BLPH24" localSheetId="1" hidden="1">#REF!</definedName>
    <definedName name="BLPH24" hidden="1">#REF!</definedName>
    <definedName name="BLPH25" localSheetId="0" hidden="1">#REF!</definedName>
    <definedName name="BLPH25" localSheetId="1" hidden="1">#REF!</definedName>
    <definedName name="BLPH25" hidden="1">#REF!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" localSheetId="0">#REF!</definedName>
    <definedName name="CA" localSheetId="1">#REF!</definedName>
    <definedName name="CA">#REF!</definedName>
    <definedName name="CACA" localSheetId="0">#REF!</definedName>
    <definedName name="CACA" localSheetId="1">#REF!</definedName>
    <definedName name="CACA">#REF!</definedName>
    <definedName name="CAR" localSheetId="0">#REF!</definedName>
    <definedName name="CAR" localSheetId="1">#REF!</definedName>
    <definedName name="CAR">#REF!</definedName>
    <definedName name="CAR_1" localSheetId="0">#REF!</definedName>
    <definedName name="CAR_1" localSheetId="1">#REF!</definedName>
    <definedName name="CAR_1">#REF!</definedName>
    <definedName name="CARGOS_E_SALÁRIOS" localSheetId="0">#REF!</definedName>
    <definedName name="CARGOS_E_SALÁRIOS" localSheetId="1">#REF!</definedName>
    <definedName name="CARGOS_E_SALÁRIOS">#REF!</definedName>
    <definedName name="CARGOS_E_SALÁRIOS_1" localSheetId="0">#REF!</definedName>
    <definedName name="CARGOS_E_SALÁRIOS_1" localSheetId="1">#REF!</definedName>
    <definedName name="CARGOS_E_SALÁRIOS_1">#REF!</definedName>
    <definedName name="carregadeira" localSheetId="0">#REF!</definedName>
    <definedName name="carregadeira" localSheetId="1">#REF!</definedName>
    <definedName name="carregadeira">#REF!</definedName>
    <definedName name="ccc" hidden="1">'[7]A.2- RESUMO'!#REF!</definedName>
    <definedName name="CCM" localSheetId="0">#REF!</definedName>
    <definedName name="CCM" localSheetId="2">#REF!</definedName>
    <definedName name="CCM" localSheetId="1">#REF!</definedName>
    <definedName name="CCM">#REF!</definedName>
    <definedName name="CDAC" localSheetId="0">#REF!</definedName>
    <definedName name="CDAC" localSheetId="1">#REF!</definedName>
    <definedName name="CDAC">#REF!</definedName>
    <definedName name="CFEP10TEP165" localSheetId="0">#REF!</definedName>
    <definedName name="CFEP10TEP165" localSheetId="1">#REF!</definedName>
    <definedName name="CFEP10TEP165">#REF!</definedName>
    <definedName name="CFEP157" localSheetId="0">#REF!</definedName>
    <definedName name="CFEP157" localSheetId="1">#REF!</definedName>
    <definedName name="CFEP157">#REF!</definedName>
    <definedName name="CFEP164" localSheetId="0">#REF!</definedName>
    <definedName name="CFEP164" localSheetId="1">#REF!</definedName>
    <definedName name="CFEP164">#REF!</definedName>
    <definedName name="CFGTO123" localSheetId="0">#REF!</definedName>
    <definedName name="CFGTO123" localSheetId="1">#REF!</definedName>
    <definedName name="CFGTO123">#REF!</definedName>
    <definedName name="CFGTO125" localSheetId="0">#REF!</definedName>
    <definedName name="CFGTO125" localSheetId="1">#REF!</definedName>
    <definedName name="CFGTO125">#REF!</definedName>
    <definedName name="CFGTO126" localSheetId="0">#REF!</definedName>
    <definedName name="CFGTO126" localSheetId="1">#REF!</definedName>
    <definedName name="CFGTO126">#REF!</definedName>
    <definedName name="CFGTO127" localSheetId="0">#REF!</definedName>
    <definedName name="CFGTO127" localSheetId="1">#REF!</definedName>
    <definedName name="CFGTO127">#REF!</definedName>
    <definedName name="CFGTO129" localSheetId="0">#REF!</definedName>
    <definedName name="CFGTO129" localSheetId="1">#REF!</definedName>
    <definedName name="CFGTO129">#REF!</definedName>
    <definedName name="CFGTO130" localSheetId="0">#REF!</definedName>
    <definedName name="CFGTO130" localSheetId="1">#REF!</definedName>
    <definedName name="CFGTO130">#REF!</definedName>
    <definedName name="CFPL15M" localSheetId="0">#REF!</definedName>
    <definedName name="CFPL15M" localSheetId="1">#REF!</definedName>
    <definedName name="CFPL15M">#REF!</definedName>
    <definedName name="CFPL30M" localSheetId="0">#REF!</definedName>
    <definedName name="CFPL30M" localSheetId="1">#REF!</definedName>
    <definedName name="CFPL30M">#REF!</definedName>
    <definedName name="CIDADES" localSheetId="0">OFFSET(#REF!,0,0,COUNTA(#REF!),1)</definedName>
    <definedName name="CIDADES" localSheetId="1">OFFSET(#REF!,0,0,COUNTA(#REF!),1)</definedName>
    <definedName name="CIDADES">OFFSET(#REF!,0,0,COUNTA(#REF!),1)</definedName>
    <definedName name="CLEONES" localSheetId="0">#REF!</definedName>
    <definedName name="CLEONES" localSheetId="1">#REF!</definedName>
    <definedName name="CLEONES">#REF!</definedName>
    <definedName name="CÓDIGO_FUNÇÕES" localSheetId="0">#REF!</definedName>
    <definedName name="CÓDIGO_FUNÇÕES" localSheetId="2">#REF!</definedName>
    <definedName name="CÓDIGO_FUNÇÕES" localSheetId="1">#REF!</definedName>
    <definedName name="CÓDIGO_FUNÇÕES">#REF!</definedName>
    <definedName name="CÓDIGO_SIM_NÃO" localSheetId="0">#REF!</definedName>
    <definedName name="CÓDIGO_SIM_NÃO" localSheetId="2">#REF!</definedName>
    <definedName name="CÓDIGO_SIM_NÃO" localSheetId="1">#REF!</definedName>
    <definedName name="CÓDIGO_SIM_NÃO">#REF!</definedName>
    <definedName name="codservn">[15]Listas!$C$2:$E$7455</definedName>
    <definedName name="COEFCUSIND" localSheetId="0">#REF!</definedName>
    <definedName name="COEFCUSIND" localSheetId="2">#REF!</definedName>
    <definedName name="COEFCUSIND" localSheetId="1">#REF!</definedName>
    <definedName name="COEFCUSIND">#REF!</definedName>
    <definedName name="composicao">[16]composicao!$B$1:$C$65536</definedName>
    <definedName name="Concreto_fck___150_kgf_cm2" localSheetId="0">#REF!</definedName>
    <definedName name="Concreto_fck___150_kgf_cm2" localSheetId="2">#REF!</definedName>
    <definedName name="Concreto_fck___150_kgf_cm2" localSheetId="1">#REF!</definedName>
    <definedName name="Concreto_fck___150_kgf_cm2">#REF!</definedName>
    <definedName name="CONFERIDA" localSheetId="0">#REF!</definedName>
    <definedName name="CONFERIDA" localSheetId="1">#REF!</definedName>
    <definedName name="CONFERIDA">#REF!</definedName>
    <definedName name="Contas" localSheetId="0">#REF!</definedName>
    <definedName name="Contas" localSheetId="1">#REF!</definedName>
    <definedName name="Contas">#REF!</definedName>
    <definedName name="copiaranch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t" localSheetId="0">#REF!</definedName>
    <definedName name="cot" localSheetId="1">#REF!</definedName>
    <definedName name="cot">#REF!</definedName>
    <definedName name="cot_1" localSheetId="0">#REF!</definedName>
    <definedName name="cot_1" localSheetId="1">#REF!</definedName>
    <definedName name="cot_1">#REF!</definedName>
    <definedName name="CSC" localSheetId="0">#REF!</definedName>
    <definedName name="CSC" localSheetId="1">#REF!</definedName>
    <definedName name="CSC">#REF!</definedName>
    <definedName name="CSCS" localSheetId="0">#REF!</definedName>
    <definedName name="CSCS" localSheetId="1">#REF!</definedName>
    <definedName name="CSCS">#REF!</definedName>
    <definedName name="CUSRED">[17]Acionamento!#REF!</definedName>
    <definedName name="CUSTEIO" localSheetId="0">OFFSET(#REF!,0,0,COUNTA(#REF!),1)</definedName>
    <definedName name="CUSTEIO" localSheetId="1">OFFSET(#REF!,0,0,COUNTA(#REF!),1)</definedName>
    <definedName name="CUSTEIO">OFFSET(#REF!,0,0,COUNTA(#REF!),1)</definedName>
    <definedName name="custoA" localSheetId="0">#REF!</definedName>
    <definedName name="custoA" localSheetId="2">#REF!</definedName>
    <definedName name="custoA" localSheetId="1">#REF!</definedName>
    <definedName name="custoA">#REF!</definedName>
    <definedName name="custoB" localSheetId="0">#REF!</definedName>
    <definedName name="custoB" localSheetId="2">#REF!</definedName>
    <definedName name="custoB" localSheetId="1">#REF!</definedName>
    <definedName name="custoB">#REF!</definedName>
    <definedName name="custoSUB" localSheetId="0">#REF!</definedName>
    <definedName name="custoSUB" localSheetId="2">#REF!</definedName>
    <definedName name="custoSUB" localSheetId="1">#REF!</definedName>
    <definedName name="custoSUB">#REF!</definedName>
    <definedName name="CVEP10TEP165" localSheetId="0">#REF!</definedName>
    <definedName name="CVEP10TEP165" localSheetId="1">#REF!</definedName>
    <definedName name="CVEP10TEP165">#REF!</definedName>
    <definedName name="CVEP157" localSheetId="0">#REF!</definedName>
    <definedName name="CVEP157" localSheetId="1">#REF!</definedName>
    <definedName name="CVEP157">#REF!</definedName>
    <definedName name="CVEP164" localSheetId="0">#REF!</definedName>
    <definedName name="CVEP164" localSheetId="1">#REF!</definedName>
    <definedName name="CVEP164">#REF!</definedName>
    <definedName name="CVGTO123" localSheetId="0">#REF!</definedName>
    <definedName name="CVGTO123" localSheetId="1">#REF!</definedName>
    <definedName name="CVGTO123">#REF!</definedName>
    <definedName name="CVGTO125" localSheetId="0">#REF!</definedName>
    <definedName name="CVGTO125" localSheetId="1">#REF!</definedName>
    <definedName name="CVGTO125">#REF!</definedName>
    <definedName name="CVGTO126" localSheetId="0">#REF!</definedName>
    <definedName name="CVGTO126" localSheetId="1">#REF!</definedName>
    <definedName name="CVGTO126">#REF!</definedName>
    <definedName name="CVGTO127" localSheetId="0">#REF!</definedName>
    <definedName name="CVGTO127" localSheetId="1">#REF!</definedName>
    <definedName name="CVGTO127">#REF!</definedName>
    <definedName name="CVGTO129" localSheetId="0">#REF!</definedName>
    <definedName name="CVGTO129" localSheetId="1">#REF!</definedName>
    <definedName name="CVGTO129">#REF!</definedName>
    <definedName name="CVGTO130" localSheetId="0">#REF!</definedName>
    <definedName name="CVGTO130" localSheetId="1">#REF!</definedName>
    <definedName name="CVGTO130">#REF!</definedName>
    <definedName name="CVPL15M" localSheetId="0">#REF!</definedName>
    <definedName name="CVPL15M" localSheetId="1">#REF!</definedName>
    <definedName name="CVPL15M">#REF!</definedName>
    <definedName name="CVPLA30M" localSheetId="0">#REF!</definedName>
    <definedName name="CVPLA30M" localSheetId="1">#REF!</definedName>
    <definedName name="CVPLA30M">#REF!</definedName>
    <definedName name="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_1" localSheetId="0">#REF!</definedName>
    <definedName name="d_1" localSheetId="1">#REF!</definedName>
    <definedName name="d_1">#REF!</definedName>
    <definedName name="DAD" localSheetId="0">#REF!</definedName>
    <definedName name="DAD" localSheetId="1">#REF!</definedName>
    <definedName name="DAD">#REF!</definedName>
    <definedName name="dados" localSheetId="0">#REF!</definedName>
    <definedName name="dados" localSheetId="1">#REF!</definedName>
    <definedName name="dados">#REF!</definedName>
    <definedName name="dados_1" localSheetId="0">#REF!</definedName>
    <definedName name="dados_1" localSheetId="1">#REF!</definedName>
    <definedName name="dados_1">#REF!</definedName>
    <definedName name="das" localSheetId="0" hidden="1">{#N/A,#N/A,FALSE,"ET-CAPA";#N/A,#N/A,FALSE,"ET-PAG1";#N/A,#N/A,FALSE,"ET-PAG2";#N/A,#N/A,FALSE,"ET-PAG3";#N/A,#N/A,FALSE,"ET-PAG4";#N/A,#N/A,FALSE,"ET-PAG5"}</definedName>
    <definedName name="das" localSheetId="2" hidden="1">{#N/A,#N/A,FALSE,"ET-CAPA";#N/A,#N/A,FALSE,"ET-PAG1";#N/A,#N/A,FALSE,"ET-PAG2";#N/A,#N/A,FALSE,"ET-PAG3";#N/A,#N/A,FALSE,"ET-PAG4";#N/A,#N/A,FALSE,"ET-PAG5"}</definedName>
    <definedName name="das" localSheetId="1" hidden="1">{#N/A,#N/A,FALSE,"ET-CAPA";#N/A,#N/A,FALSE,"ET-PAG1";#N/A,#N/A,FALSE,"ET-PAG2";#N/A,#N/A,FALSE,"ET-PAG3";#N/A,#N/A,FALSE,"ET-PAG4";#N/A,#N/A,FALSE,"ET-PAG5"}</definedName>
    <definedName name="das" hidden="1">{#N/A,#N/A,FALSE,"ET-CAPA";#N/A,#N/A,FALSE,"ET-PAG1";#N/A,#N/A,FALSE,"ET-PAG2";#N/A,#N/A,FALSE,"ET-PAG3";#N/A,#N/A,FALSE,"ET-PAG4";#N/A,#N/A,FALSE,"ET-PAG5"}</definedName>
    <definedName name="DATA">'[11]Fresagem de Pista Ago-98'!#REF!</definedName>
    <definedName name="DATA_CONDITION" comment="Dados da coluna &quot;Meta de Condição&quot;." localSheetId="0">#REF!</definedName>
    <definedName name="DATA_CONDITION" comment="Dados da coluna &quot;Meta de Condição&quot;." localSheetId="2">#REF!</definedName>
    <definedName name="DATA_CONDITION" comment="Dados da coluna &quot;Meta de Condição&quot;." localSheetId="1">#REF!</definedName>
    <definedName name="DATA_CONDITION" comment="Dados da coluna &quot;Meta de Condição&quot;.">#REF!</definedName>
    <definedName name="DATA_HOLIDAY" comment="Dados da coluna &quot;Feriado&quot;." localSheetId="0">#REF!</definedName>
    <definedName name="DATA_HOLIDAY" comment="Dados da coluna &quot;Feriado&quot;." localSheetId="2">#REF!</definedName>
    <definedName name="DATA_HOLIDAY" comment="Dados da coluna &quot;Feriado&quot;." localSheetId="1">#REF!</definedName>
    <definedName name="DATA_HOLIDAY" comment="Dados da coluna &quot;Feriado&quot;.">#REF!</definedName>
    <definedName name="DATA_NIGHTLY" comment="Dados da coluna &quot;Noturno&quot;." localSheetId="0">#REF!</definedName>
    <definedName name="DATA_NIGHTLY" comment="Dados da coluna &quot;Noturno&quot;." localSheetId="2">#REF!</definedName>
    <definedName name="DATA_NIGHTLY" comment="Dados da coluna &quot;Noturno&quot;." localSheetId="1">#REF!</definedName>
    <definedName name="DATA_NIGHTLY" comment="Dados da coluna &quot;Noturno&quot;.">#REF!</definedName>
    <definedName name="DATA_WEEKEND" comment="Dados da coluna &quot;Fim de Semana&quot;." localSheetId="0">#REF!</definedName>
    <definedName name="DATA_WEEKEND" comment="Dados da coluna &quot;Fim de Semana&quot;." localSheetId="1">#REF!</definedName>
    <definedName name="DATA_WEEKEND" comment="Dados da coluna &quot;Fim de Semana&quot;.">#REF!</definedName>
    <definedName name="DATMODELE" localSheetId="0">#REF!</definedName>
    <definedName name="DATMODELE" localSheetId="1">#REF!</definedName>
    <definedName name="DATMODELE">#REF!</definedName>
    <definedName name="DATMODMEC" localSheetId="0">#REF!</definedName>
    <definedName name="DATMODMEC" localSheetId="1">#REF!</definedName>
    <definedName name="DATMODMEC">#REF!</definedName>
    <definedName name="DATTML" localSheetId="0">#REF!</definedName>
    <definedName name="DATTML" localSheetId="1">#REF!</definedName>
    <definedName name="DATTML">#REF!</definedName>
    <definedName name="dd" localSheetId="0" hidden="1">#REF!</definedName>
    <definedName name="dd" localSheetId="1" hidden="1">#REF!</definedName>
    <definedName name="dd" hidden="1">#REF!</definedName>
    <definedName name="dd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hidden="1">'[18]A.2- RESUMO'!#REF!</definedName>
    <definedName name="DDDDDDD" localSheetId="0">#REF!</definedName>
    <definedName name="DDDDDDD" localSheetId="2">#REF!</definedName>
    <definedName name="DDDDDDD" localSheetId="1">#REF!</definedName>
    <definedName name="DDDDDDD">#REF!</definedName>
    <definedName name="DE_km" localSheetId="0">'[11]Fresagem de Pista Ago-98'!#REF!</definedName>
    <definedName name="DE_km" localSheetId="2">'[11]Fresagem de Pista Ago-98'!#REF!</definedName>
    <definedName name="DE_km" localSheetId="1">'[11]Fresagem de Pista Ago-98'!#REF!</definedName>
    <definedName name="DE_km">'[11]Fresagem de Pista Ago-98'!#REF!</definedName>
    <definedName name="DEFLATOR" localSheetId="0">[19]FINAME!#REF!</definedName>
    <definedName name="DEFLATOR" localSheetId="2">[19]FINAME!#REF!</definedName>
    <definedName name="DEFLATOR" localSheetId="1">[19]FINAME!#REF!</definedName>
    <definedName name="DEFLATOR">[19]FINAME!#REF!</definedName>
    <definedName name="deflator1">[19]FINAME!#REF!</definedName>
    <definedName name="deflator2">[19]FINAME!#REF!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molição_e_retirada_do_piso_de_concreto_existente_esp._8_cm" localSheetId="0">#REF!</definedName>
    <definedName name="Demolição_e_retirada_do_piso_de_concreto_existente_esp._8_cm" localSheetId="2">#REF!</definedName>
    <definedName name="Demolição_e_retirada_do_piso_de_concreto_existente_esp._8_cm" localSheetId="1">#REF!</definedName>
    <definedName name="Demolição_e_retirada_do_piso_de_concreto_existente_esp._8_cm">#REF!</definedName>
    <definedName name="Denominação" localSheetId="0">#REF!</definedName>
    <definedName name="Denominação" localSheetId="2">#REF!</definedName>
    <definedName name="Denominação" localSheetId="1">#REF!</definedName>
    <definedName name="Denominação">#REF!</definedName>
    <definedName name="desc" localSheetId="0">#REF!</definedName>
    <definedName name="desc" localSheetId="2">#REF!</definedName>
    <definedName name="desc" localSheetId="1">#REF!</definedName>
    <definedName name="desc">#REF!</definedName>
    <definedName name="DESCRITIVO1" localSheetId="0">#REF!</definedName>
    <definedName name="DESCRITIVO1" localSheetId="1">#REF!</definedName>
    <definedName name="DESCRITIVO1">#REF!</definedName>
    <definedName name="desempenhoOrçamentário" localSheetId="0">#REF!</definedName>
    <definedName name="desempenhoOrçamentário" localSheetId="1">#REF!</definedName>
    <definedName name="desempenhoOrçamentário">#REF!</definedName>
    <definedName name="dfd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ssfd" localSheetId="0">#REF!</definedName>
    <definedName name="dfdssfd" localSheetId="1">#REF!</definedName>
    <definedName name="dfdssfd">#REF!</definedName>
    <definedName name="DGSDG" localSheetId="0">#REF!</definedName>
    <definedName name="DGSDG" localSheetId="1">#REF!</definedName>
    <definedName name="DGSDG">#REF!</definedName>
    <definedName name="DGSGSDG" localSheetId="0">#REF!</definedName>
    <definedName name="DGSGSDG" localSheetId="1">#REF!</definedName>
    <definedName name="DGSGSDG">#REF!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ólar" localSheetId="0">#REF!</definedName>
    <definedName name="Dólar" localSheetId="2">#REF!</definedName>
    <definedName name="Dólar" localSheetId="1">#REF!</definedName>
    <definedName name="Dólar">#REF!</definedName>
    <definedName name="DSA" localSheetId="0">OFFSET(#REF!,#REF!,2,#REF!,1)</definedName>
    <definedName name="DSA" localSheetId="1">OFFSET(#REF!,#REF!,2,#REF!,1)</definedName>
    <definedName name="DSA">OFFSET(#REF!,#REF!,2,#REF!,1)</definedName>
    <definedName name="dsffdsgdf" localSheetId="0">#REF!</definedName>
    <definedName name="dsffdsgdf" localSheetId="1">#REF!</definedName>
    <definedName name="dsffdsgdf">#REF!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DFSFD" localSheetId="0">#REF!</definedName>
    <definedName name="DSSDFSFD" localSheetId="1">#REF!</definedName>
    <definedName name="DSSDFSFD">#REF!</definedName>
    <definedName name="DWADAS" localSheetId="0">#REF!</definedName>
    <definedName name="DWADAS" localSheetId="1">#REF!</definedName>
    <definedName name="DWADAS">#REF!</definedName>
    <definedName name="DWQWDWDFW" localSheetId="0">#REF!</definedName>
    <definedName name="DWQWDWDFW" localSheetId="1">#REF!</definedName>
    <definedName name="DWQWDWDFW">#REF!</definedName>
    <definedName name="DWWFQ" localSheetId="0">#REF!</definedName>
    <definedName name="DWWFQ" localSheetId="1">#REF!</definedName>
    <definedName name="DWWFQ">#REF!</definedName>
    <definedName name="e" localSheetId="0">#REF!</definedName>
    <definedName name="e" localSheetId="2">#REF!</definedName>
    <definedName name="e" localSheetId="1">#REF!</definedName>
    <definedName name="e">#REF!</definedName>
    <definedName name="e__cm" localSheetId="0">'[11]Fresagem de Pista Ago-98'!#REF!</definedName>
    <definedName name="e__cm" localSheetId="2">'[11]Fresagem de Pista Ago-98'!#REF!</definedName>
    <definedName name="e__cm" localSheetId="1">'[11]Fresagem de Pista Ago-98'!#REF!</definedName>
    <definedName name="e__cm">'[11]Fresagem de Pista Ago-98'!#REF!</definedName>
    <definedName name="ECVCFELE" localSheetId="0">#REF!</definedName>
    <definedName name="ECVCFELE" localSheetId="2">#REF!</definedName>
    <definedName name="ECVCFELE" localSheetId="1">#REF!</definedName>
    <definedName name="ECVCFELE">#REF!</definedName>
    <definedName name="ECVCFMEC" localSheetId="0">#REF!</definedName>
    <definedName name="ECVCFMEC" localSheetId="2">#REF!</definedName>
    <definedName name="ECVCFMEC" localSheetId="1">#REF!</definedName>
    <definedName name="ECVCFMEC">#REF!</definedName>
    <definedName name="EDC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Q" localSheetId="0">#REF!</definedName>
    <definedName name="EDQ" localSheetId="1">#REF!</definedName>
    <definedName name="EDQ">#REF!</definedName>
    <definedName name="ee" localSheetId="0">#REF!</definedName>
    <definedName name="ee" localSheetId="1">#REF!</definedName>
    <definedName name="ee">#REF!</definedName>
    <definedName name="EE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EE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we" localSheetId="0">#REF!</definedName>
    <definedName name="eeeeewe" localSheetId="1">#REF!</definedName>
    <definedName name="eeeeewe">#REF!</definedName>
    <definedName name="eeeew" localSheetId="0">#REF!</definedName>
    <definedName name="eeeew" localSheetId="1">#REF!</definedName>
    <definedName name="eeeew">#REF!</definedName>
    <definedName name="eeetyuerrweu" localSheetId="0">#REF!</definedName>
    <definedName name="eeetyuerrweu" localSheetId="1">#REF!</definedName>
    <definedName name="eeetyuerrweu">#REF!</definedName>
    <definedName name="eeewr" localSheetId="0">#REF!</definedName>
    <definedName name="eeewr" localSheetId="1">#REF!</definedName>
    <definedName name="eeewr">#REF!</definedName>
    <definedName name="EEWQR" localSheetId="0">#REF!</definedName>
    <definedName name="EEWQR" localSheetId="1">#REF!</definedName>
    <definedName name="EEWQR">#REF!</definedName>
    <definedName name="E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TEQRWT" localSheetId="0">#REF!</definedName>
    <definedName name="EFTEQRWT" localSheetId="1">#REF!</definedName>
    <definedName name="EFTEQRWT">#REF!</definedName>
    <definedName name="EG" localSheetId="0">#REF!</definedName>
    <definedName name="EG" localSheetId="1">#REF!</definedName>
    <definedName name="EG">#REF!</definedName>
    <definedName name="ehdf" localSheetId="0">#REF!</definedName>
    <definedName name="ehdf" localSheetId="1">#REF!</definedName>
    <definedName name="ehdf">#REF!</definedName>
    <definedName name="eixos">[6]Acionamento!#REF!</definedName>
    <definedName name="EmpMn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ncargos_sociais_mão_de_obra_direta" localSheetId="0">#REF!</definedName>
    <definedName name="Encargos_sociais_mão_de_obra_direta" localSheetId="1">#REF!</definedName>
    <definedName name="Encargos_sociais_mão_de_obra_direta">#REF!</definedName>
    <definedName name="Encargos_sociais_mão_de_obra_direta_1" localSheetId="0">#REF!</definedName>
    <definedName name="Encargos_sociais_mão_de_obra_direta_1" localSheetId="1">#REF!</definedName>
    <definedName name="Encargos_sociais_mão_de_obra_direta_1">#REF!</definedName>
    <definedName name="Encargos_sociais_mão_de_obra_indireta" localSheetId="0">#REF!</definedName>
    <definedName name="Encargos_sociais_mão_de_obra_indireta" localSheetId="1">#REF!</definedName>
    <definedName name="Encargos_sociais_mão_de_obra_indireta">#REF!</definedName>
    <definedName name="Encargos_sociais_mão_de_obra_indireta_1" localSheetId="0">#REF!</definedName>
    <definedName name="Encargos_sociais_mão_de_obra_indireta_1" localSheetId="1">#REF!</definedName>
    <definedName name="Encargos_sociais_mão_de_obra_indireta_1">#REF!</definedName>
    <definedName name="ENT" localSheetId="0">#REF!</definedName>
    <definedName name="ENT" localSheetId="2">#REF!</definedName>
    <definedName name="ENT" localSheetId="1">#REF!</definedName>
    <definedName name="ENT">#REF!</definedName>
    <definedName name="EQUIPAMENTOS" localSheetId="0" hidden="1">[3]GEMIN!#REF!</definedName>
    <definedName name="EQUIPAMENTOS" localSheetId="2" hidden="1">[3]GEMIN!#REF!</definedName>
    <definedName name="EQUIPAMENTOS" localSheetId="1" hidden="1">[3]GEMIN!#REF!</definedName>
    <definedName name="EQUIPAMENTOS" hidden="1">[3]GEMIN!#REF!</definedName>
    <definedName name="eqwjirjjeoiiew´qooe" localSheetId="0">#REF!</definedName>
    <definedName name="eqwjirjjeoiiew´qooe" localSheetId="1">#REF!</definedName>
    <definedName name="eqwjirjjeoiiew´qooe">#REF!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ctrr" localSheetId="0">#REF!</definedName>
    <definedName name="erctrr" localSheetId="1">#REF!</definedName>
    <definedName name="erctrr">#REF!</definedName>
    <definedName name="erdftdrtrt" localSheetId="0">#REF!</definedName>
    <definedName name="erdftdrtrt" localSheetId="1">#REF!</definedName>
    <definedName name="erdftdrtrt">#REF!</definedName>
    <definedName name="ere" localSheetId="0">[20]!telaC</definedName>
    <definedName name="ere" localSheetId="2">[20]!telaC</definedName>
    <definedName name="ere" localSheetId="1">[20]!telaC</definedName>
    <definedName name="ere">[20]!telaC</definedName>
    <definedName name="ererrrye" localSheetId="0">#REF!</definedName>
    <definedName name="ererrrye" localSheetId="1">#REF!</definedName>
    <definedName name="ererrrye">#REF!</definedName>
    <definedName name="erewewer" localSheetId="0">#REF!</definedName>
    <definedName name="erewewer" localSheetId="1">#REF!</definedName>
    <definedName name="erewewer">#REF!</definedName>
    <definedName name="EREWQ" localSheetId="0">#REF!</definedName>
    <definedName name="EREWQ" localSheetId="1">#REF!</definedName>
    <definedName name="EREWQ">#REF!</definedName>
    <definedName name="ertrertre" localSheetId="0">#REF!</definedName>
    <definedName name="ertrertre" localSheetId="1">#REF!</definedName>
    <definedName name="ertrertre">#REF!</definedName>
    <definedName name="erweopkorkwkerkr" localSheetId="0">#REF!</definedName>
    <definedName name="erweopkorkwkerkr" localSheetId="1">#REF!</definedName>
    <definedName name="erweopkorkwkerkr">#REF!</definedName>
    <definedName name="ERWWERTE" localSheetId="0">#REF!</definedName>
    <definedName name="ERWWERTE" localSheetId="1">#REF!</definedName>
    <definedName name="ERWWERTE">#REF!</definedName>
    <definedName name="ESocial" localSheetId="0">#REF!</definedName>
    <definedName name="ESocial" localSheetId="2">#REF!</definedName>
    <definedName name="ESocial" localSheetId="1">#REF!</definedName>
    <definedName name="ESocial">#REF!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ELE" localSheetId="0">#REF!</definedName>
    <definedName name="ESTELE" localSheetId="2">#REF!</definedName>
    <definedName name="ESTELE" localSheetId="1">#REF!</definedName>
    <definedName name="ESTELE">#REF!</definedName>
    <definedName name="ESTMEC" localSheetId="0">#REF!</definedName>
    <definedName name="ESTMEC" localSheetId="2">#REF!</definedName>
    <definedName name="ESTMEC" localSheetId="1">#REF!</definedName>
    <definedName name="ESTMEC">#REF!</definedName>
    <definedName name="ettrrr" localSheetId="0">#REF!</definedName>
    <definedName name="ettrrr" localSheetId="1">#REF!</definedName>
    <definedName name="ettrrr">#REF!</definedName>
    <definedName name="EVENT" localSheetId="0">#REF!</definedName>
    <definedName name="EVENT" localSheetId="1">#REF!</definedName>
    <definedName name="EVENT">#REF!</definedName>
    <definedName name="EW1EW" localSheetId="0">#REF!</definedName>
    <definedName name="EW1EW" localSheetId="1">#REF!</definedName>
    <definedName name="EW1EW">#REF!</definedName>
    <definedName name="ewerrweq" localSheetId="0">#REF!</definedName>
    <definedName name="ewerrweq" localSheetId="1">#REF!</definedName>
    <definedName name="ewerrweq">#REF!</definedName>
    <definedName name="eweweew" localSheetId="0">#REF!</definedName>
    <definedName name="eweweew" localSheetId="1">#REF!</definedName>
    <definedName name="eweweew">#REF!</definedName>
    <definedName name="ewewwq" localSheetId="0">#REF!</definedName>
    <definedName name="ewewwq" localSheetId="1">#REF!</definedName>
    <definedName name="ewewwq">#REF!</definedName>
    <definedName name="ewrerere" localSheetId="0">#REF!</definedName>
    <definedName name="ewrerere" localSheetId="1">#REF!</definedName>
    <definedName name="ewrerere">#REF!</definedName>
    <definedName name="ewrerwer" localSheetId="0">#REF!</definedName>
    <definedName name="ewrerwer" localSheetId="1">#REF!</definedName>
    <definedName name="ewrerwer">#REF!</definedName>
    <definedName name="ewrewr" localSheetId="0">#REF!</definedName>
    <definedName name="ewrewr" localSheetId="1">#REF!</definedName>
    <definedName name="ewrewr">#REF!</definedName>
    <definedName name="EWRQQ43" localSheetId="0">#REF!</definedName>
    <definedName name="EWRQQ43" localSheetId="1">#REF!</definedName>
    <definedName name="EWRQQ43">#REF!</definedName>
    <definedName name="ewwere" localSheetId="0">#REF!</definedName>
    <definedName name="ewwere" localSheetId="1">#REF!</definedName>
    <definedName name="ewwere">#REF!</definedName>
    <definedName name="ewyruiyeuryeeio" localSheetId="0">#REF!</definedName>
    <definedName name="ewyruiyeuryeeio" localSheetId="1">#REF!</definedName>
    <definedName name="ewyruiyeuryeeio">#REF!</definedName>
    <definedName name="Excel_BuiltIn_Database" localSheetId="0">#REF!</definedName>
    <definedName name="Excel_BuiltIn_Database" localSheetId="1">#REF!</definedName>
    <definedName name="Excel_BuiltIn_Database">#REF!</definedName>
    <definedName name="Excel_BuiltIn_Database_1" localSheetId="0">#REF!</definedName>
    <definedName name="Excel_BuiltIn_Database_1" localSheetId="1">#REF!</definedName>
    <definedName name="Excel_BuiltIn_Database_1">#REF!</definedName>
    <definedName name="ExecFerr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ibir_Dat_Com" localSheetId="0">#REF!</definedName>
    <definedName name="Exibir_Dat_Com" localSheetId="2">#REF!</definedName>
    <definedName name="Exibir_Dat_Com" localSheetId="1">#REF!</definedName>
    <definedName name="Exibir_Dat_Com">#REF!</definedName>
    <definedName name="Exibir_Fer_EUA" localSheetId="0">#REF!</definedName>
    <definedName name="Exibir_Fer_EUA" localSheetId="2">#REF!</definedName>
    <definedName name="Exibir_Fer_EUA" localSheetId="1">#REF!</definedName>
    <definedName name="Exibir_Fer_EUA">#REF!</definedName>
    <definedName name="Exibir_Fer_Nac" localSheetId="0">#REF!</definedName>
    <definedName name="Exibir_Fer_Nac" localSheetId="2">#REF!</definedName>
    <definedName name="Exibir_Fer_Nac" localSheetId="1">#REF!</definedName>
    <definedName name="Exibir_Fer_Nac">#REF!</definedName>
    <definedName name="EXPLOSIV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T__m">'[11]Fresagem de Pista Ago-98'!#REF!</definedName>
    <definedName name="EXTRA" localSheetId="0" hidden="1">#REF!</definedName>
    <definedName name="EXTRA" localSheetId="1" hidden="1">#REF!</definedName>
    <definedName name="EXTRA" hidden="1">#REF!</definedName>
    <definedName name="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TELE" localSheetId="0">#REF!</definedName>
    <definedName name="FATELE" localSheetId="2">#REF!</definedName>
    <definedName name="FATELE" localSheetId="1">#REF!</definedName>
    <definedName name="FATELE">#REF!</definedName>
    <definedName name="FATMEC" localSheetId="0">#REF!</definedName>
    <definedName name="FATMEC" localSheetId="2">#REF!</definedName>
    <definedName name="FATMEC" localSheetId="1">#REF!</definedName>
    <definedName name="FATMEC">#REF!</definedName>
    <definedName name="FATOR" localSheetId="0">#REF!</definedName>
    <definedName name="FATOR" localSheetId="2">#REF!</definedName>
    <definedName name="FATOR" localSheetId="1">#REF!</definedName>
    <definedName name="FATOR">#REF!</definedName>
    <definedName name="fatorg" localSheetId="0">#REF!</definedName>
    <definedName name="fatorg" localSheetId="1">#REF!</definedName>
    <definedName name="fatorg">#REF!</definedName>
    <definedName name="FATTML" localSheetId="0">#REF!</definedName>
    <definedName name="FATTML" localSheetId="1">#REF!</definedName>
    <definedName name="FATTML">#REF!</definedName>
    <definedName name="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SSGRTEY" localSheetId="0">#REF!</definedName>
    <definedName name="FDFSSGRTEY" localSheetId="1">#REF!</definedName>
    <definedName name="FDFSSGRTEY">#REF!</definedName>
    <definedName name="FDSFDFDS" localSheetId="0">#REF!</definedName>
    <definedName name="FDSFDFDS" localSheetId="1">#REF!</definedName>
    <definedName name="FDSFDFDS">#REF!</definedName>
    <definedName name="FDYTSRWEYT" localSheetId="0">OFFSET(#REF!,#REF!,3,#REF!,1)</definedName>
    <definedName name="FDYTSRWEYT" localSheetId="1">OFFSET(#REF!,#REF!,3,#REF!,1)</definedName>
    <definedName name="FDYTSRWEYT">OFFSET(#REF!,#REF!,3,#REF!,1)</definedName>
    <definedName name="fff" localSheetId="0" hidden="1">{"'Plan1'!$B$10","'Plan1'!$A$1","'Plan1'!$C$2:$N$28"}</definedName>
    <definedName name="fff" localSheetId="2" hidden="1">{"'Plan1'!$B$10","'Plan1'!$A$1","'Plan1'!$C$2:$N$28"}</definedName>
    <definedName name="fff" localSheetId="1" hidden="1">{"'Plan1'!$B$10","'Plan1'!$A$1","'Plan1'!$C$2:$N$28"}</definedName>
    <definedName name="fff" hidden="1">{"'Plan1'!$B$10","'Plan1'!$A$1","'Plan1'!$C$2:$N$28"}</definedName>
    <definedName name="FFFFFF" hidden="1">'[18]A.2- RESUMO'!#REF!</definedName>
    <definedName name="fggffg" localSheetId="0">#REF!</definedName>
    <definedName name="fggffg" localSheetId="1">#REF!</definedName>
    <definedName name="fggffg">#REF!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avia" hidden="1">[2]A!$F$59:$AG$59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" localSheetId="0">#REF!</definedName>
    <definedName name="FO" localSheetId="2">#REF!</definedName>
    <definedName name="FO" localSheetId="1">#REF!</definedName>
    <definedName name="FO">#REF!</definedName>
    <definedName name="FORMA_ADMISSÃO" localSheetId="0">#REF!</definedName>
    <definedName name="FORMA_ADMISSÃO" localSheetId="2">#REF!</definedName>
    <definedName name="FORMA_ADMISSÃO" localSheetId="1">#REF!</definedName>
    <definedName name="FORMA_ADMISSÃO">#REF!</definedName>
    <definedName name="Fornec_assent_lajotas_concreto_45x45x5_cm" localSheetId="0">#REF!</definedName>
    <definedName name="Fornec_assent_lajotas_concreto_45x45x5_cm" localSheetId="2">#REF!</definedName>
    <definedName name="Fornec_assent_lajotas_concreto_45x45x5_cm" localSheetId="1">#REF!</definedName>
    <definedName name="Fornec_assent_lajotas_concreto_45x45x5_cm">#REF!</definedName>
    <definedName name="Fornec_e_Assent_de_Petit_Pavet" localSheetId="0">#REF!</definedName>
    <definedName name="Fornec_e_Assent_de_Petit_Pavet" localSheetId="1">#REF!</definedName>
    <definedName name="Fornec_e_Assent_de_Petit_Pavet">#REF!</definedName>
    <definedName name="Fornec_e_assent_lousas_de_granito">'[13]210.005'!$D$8</definedName>
    <definedName name="FornosBO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READVAL" localSheetId="0">#REF!</definedName>
    <definedName name="FREADVAL" localSheetId="2">#REF!</definedName>
    <definedName name="FREADVAL" localSheetId="1">#REF!</definedName>
    <definedName name="FREADVAL">#REF!</definedName>
    <definedName name="FREFIX" localSheetId="0">#REF!</definedName>
    <definedName name="FREFIX" localSheetId="2">#REF!</definedName>
    <definedName name="FREFIX" localSheetId="1">#REF!</definedName>
    <definedName name="FREFIX">#REF!</definedName>
    <definedName name="FREPES" localSheetId="0">#REF!</definedName>
    <definedName name="FREPES" localSheetId="2">#REF!</definedName>
    <definedName name="FREPES" localSheetId="1">#REF!</definedName>
    <definedName name="FREPES">#REF!</definedName>
    <definedName name="frequência" localSheetId="0">#REF!</definedName>
    <definedName name="frequência" localSheetId="1">#REF!</definedName>
    <definedName name="frequência">#REF!</definedName>
    <definedName name="FRESAGEM" localSheetId="0">'[11]Fresagem de Pista Ago-98'!#REF!</definedName>
    <definedName name="FRESAGEM" localSheetId="2">'[11]Fresagem de Pista Ago-98'!#REF!</definedName>
    <definedName name="FRESAGEM" localSheetId="1">'[11]Fresagem de Pista Ago-98'!#REF!</definedName>
    <definedName name="FRESAGEM">'[11]Fresagem de Pista Ago-98'!#REF!</definedName>
    <definedName name="Frete_matéria_prima" localSheetId="0">#REF!</definedName>
    <definedName name="Frete_matéria_prima" localSheetId="1">#REF!</definedName>
    <definedName name="Frete_matéria_prima">#REF!</definedName>
    <definedName name="Frete_matéria_prima_1" localSheetId="0">#REF!</definedName>
    <definedName name="Frete_matéria_prima_1" localSheetId="1">#REF!</definedName>
    <definedName name="Frete_matéria_prima_1">#REF!</definedName>
    <definedName name="FS" localSheetId="0" hidden="1">#REF!</definedName>
    <definedName name="FS" localSheetId="1" hidden="1">#REF!</definedName>
    <definedName name="FS" hidden="1">#REF!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e" localSheetId="0">#REF!</definedName>
    <definedName name="fse" localSheetId="2">#REF!</definedName>
    <definedName name="fse" localSheetId="1">#REF!</definedName>
    <definedName name="fse">#REF!</definedName>
    <definedName name="fsn" localSheetId="0">#REF!</definedName>
    <definedName name="fsn" localSheetId="2">#REF!</definedName>
    <definedName name="fsn" localSheetId="1">#REF!</definedName>
    <definedName name="fsn">#REF!</definedName>
    <definedName name="g">'[21]ACOPL ENG'!$F$3:$J$20</definedName>
    <definedName name="Ganhos_intangiveis" localSheetId="0">#REF!</definedName>
    <definedName name="Ganhos_intangiveis" localSheetId="2">#REF!</definedName>
    <definedName name="Ganhos_intangiveis" localSheetId="1">#REF!</definedName>
    <definedName name="Ganhos_intangiveis">#REF!</definedName>
    <definedName name="Ganhos_Tangiveis" localSheetId="0">#REF!</definedName>
    <definedName name="Ganhos_Tangiveis" localSheetId="2">#REF!</definedName>
    <definedName name="Ganhos_Tangiveis" localSheetId="1">#REF!</definedName>
    <definedName name="Ganhos_Tangiveis">#REF!</definedName>
    <definedName name="GDG" localSheetId="0">#REF!</definedName>
    <definedName name="GDG" localSheetId="1">#REF!</definedName>
    <definedName name="GDG">#REF!</definedName>
    <definedName name="GDGSDG" localSheetId="0">#REF!</definedName>
    <definedName name="GDGSDG" localSheetId="1">#REF!</definedName>
    <definedName name="GDGSDG">#REF!</definedName>
    <definedName name="GERAL" localSheetId="0">#REF!,#REF!,#REF!,#REF!,#REF!,#REF!,#REF!,#REF!</definedName>
    <definedName name="GERAL" localSheetId="2">#REF!,#REF!,#REF!,#REF!,#REF!,#REF!,#REF!,#REF!</definedName>
    <definedName name="GERAL" localSheetId="1">#REF!,#REF!,#REF!,#REF!,#REF!,#REF!,#REF!,#REF!</definedName>
    <definedName name="GERAL">#REF!,#REF!,#REF!,#REF!,#REF!,#REF!,#REF!,#REF!</definedName>
    <definedName name="GFDGEQRQA" localSheetId="0">#REF!</definedName>
    <definedName name="GFDGEQRQA" localSheetId="1">#REF!</definedName>
    <definedName name="GFDGEQRQA">#REF!</definedName>
    <definedName name="GGFHDFJKJ" localSheetId="0">#REF!</definedName>
    <definedName name="GGFHDFJKJ" localSheetId="1">#REF!</definedName>
    <definedName name="GGFHDFJKJ">#REF!</definedName>
    <definedName name="GGGG" localSheetId="0" hidden="1">'[18]A.2- RESUMO'!#REF!</definedName>
    <definedName name="GGGG" localSheetId="2" hidden="1">'[18]A.2- RESUMO'!#REF!</definedName>
    <definedName name="GGGG" localSheetId="1" hidden="1">'[18]A.2- RESUMO'!#REF!</definedName>
    <definedName name="GGGG" hidden="1">'[18]A.2- RESUMO'!#REF!</definedName>
    <definedName name="gghh" localSheetId="0">#REF!</definedName>
    <definedName name="gghh" localSheetId="1">#REF!</definedName>
    <definedName name="gghh">#REF!</definedName>
    <definedName name="gghtyt" localSheetId="0">#REF!</definedName>
    <definedName name="gghtyt" localSheetId="1">#REF!</definedName>
    <definedName name="gghtyt">#REF!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duad" localSheetId="0">#REF!</definedName>
    <definedName name="graduad" localSheetId="2">#REF!</definedName>
    <definedName name="graduad" localSheetId="1">#REF!</definedName>
    <definedName name="graduad">#REF!</definedName>
    <definedName name="GRADUADA" localSheetId="0">#REF!</definedName>
    <definedName name="GRADUADA" localSheetId="2">#REF!</definedName>
    <definedName name="GRADUADA" localSheetId="1">#REF!</definedName>
    <definedName name="GRADUADA">#REF!</definedName>
    <definedName name="graph" hidden="1">[2]A!$F$63:$AG$63</definedName>
    <definedName name="GSGS" localSheetId="0">#REF!</definedName>
    <definedName name="GSGS" localSheetId="1">#REF!</definedName>
    <definedName name="GSGS">#REF!</definedName>
    <definedName name="G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ty" localSheetId="0">#REF!</definedName>
    <definedName name="gtty" localSheetId="1">#REF!</definedName>
    <definedName name="gtty">#REF!</definedName>
    <definedName name="HABIT" localSheetId="0">#REF!</definedName>
    <definedName name="HABIT" localSheetId="1">#REF!</definedName>
    <definedName name="HABIT">#REF!</definedName>
    <definedName name="hddsa" localSheetId="0">#REF!</definedName>
    <definedName name="hddsa" localSheetId="1">#REF!</definedName>
    <definedName name="hddsa">#REF!</definedName>
    <definedName name="hdhsd" localSheetId="0">#REF!</definedName>
    <definedName name="hdhsd" localSheetId="1">#REF!</definedName>
    <definedName name="hdhsd">#REF!</definedName>
    <definedName name="HEADER_CONDITION" comment="O cabeçalho da coluna &quot;Meta de Condição&quot;." localSheetId="0">#REF!</definedName>
    <definedName name="HEADER_CONDITION" comment="O cabeçalho da coluna &quot;Meta de Condição&quot;." localSheetId="1">#REF!</definedName>
    <definedName name="HEADER_CONDITION" comment="O cabeçalho da coluna &quot;Meta de Condição&quot;.">#REF!</definedName>
    <definedName name="HEADER_HOLIDAY" comment="O cabeçalho da coluna &quot;Feriado&quot;." localSheetId="0">#REF!</definedName>
    <definedName name="HEADER_HOLIDAY" comment="O cabeçalho da coluna &quot;Feriado&quot;." localSheetId="1">#REF!</definedName>
    <definedName name="HEADER_HOLIDAY" comment="O cabeçalho da coluna &quot;Feriado&quot;.">#REF!</definedName>
    <definedName name="HEADER_NIGHTLY" comment="O cabeçalho da coluna &quot;Noturno&quot;." localSheetId="0">#REF!</definedName>
    <definedName name="HEADER_NIGHTLY" comment="O cabeçalho da coluna &quot;Noturno&quot;." localSheetId="1">#REF!</definedName>
    <definedName name="HEADER_NIGHTLY" comment="O cabeçalho da coluna &quot;Noturno&quot;.">#REF!</definedName>
    <definedName name="HEADER_WEEKEND" comment="O cabeçalho da coluna &quot;Fim de Semana&quot;." localSheetId="0">#REF!</definedName>
    <definedName name="HEADER_WEEKEND" comment="O cabeçalho da coluna &quot;Fim de Semana&quot;." localSheetId="1">#REF!</definedName>
    <definedName name="HEADER_WEEKEND" comment="O cabeçalho da coluna &quot;Fim de Semana&quot;.">#REF!</definedName>
    <definedName name="HENFEL4">[21]henfel!$A$1:$D$28</definedName>
    <definedName name="HENFEL6">[21]henfel!$F$1:$I$28</definedName>
    <definedName name="hghgffujewoje" localSheetId="0">#REF!</definedName>
    <definedName name="hghgffujewoje" localSheetId="1">#REF!</definedName>
    <definedName name="hghgffujewoje">#REF!</definedName>
    <definedName name="HH" localSheetId="0">#REF!</definedName>
    <definedName name="HH" localSheetId="2">#REF!</definedName>
    <definedName name="HH" localSheetId="1">#REF!</definedName>
    <definedName name="HH">#REF!</definedName>
    <definedName name="Hh_por_t" localSheetId="0">#REF!</definedName>
    <definedName name="Hh_por_t" localSheetId="1">#REF!</definedName>
    <definedName name="Hh_por_t">#REF!</definedName>
    <definedName name="Hh_por_t_1" localSheetId="0">#REF!</definedName>
    <definedName name="Hh_por_t_1" localSheetId="1">#REF!</definedName>
    <definedName name="Hh_por_t_1">#REF!</definedName>
    <definedName name="HHDESELE" localSheetId="0">#REF!</definedName>
    <definedName name="HHDESELE" localSheetId="2">#REF!</definedName>
    <definedName name="HHDESELE" localSheetId="1">#REF!</definedName>
    <definedName name="HHDESELE">#REF!</definedName>
    <definedName name="HHDESMEC" localSheetId="0">#REF!</definedName>
    <definedName name="HHDESMEC" localSheetId="2">#REF!</definedName>
    <definedName name="HHDESMEC" localSheetId="1">#REF!</definedName>
    <definedName name="HHDESMEC">#REF!</definedName>
    <definedName name="HHENGELE" localSheetId="0">#REF!</definedName>
    <definedName name="HHENGELE" localSheetId="1">#REF!</definedName>
    <definedName name="HHENGELE">#REF!</definedName>
    <definedName name="HHENGMEC" localSheetId="0">#REF!</definedName>
    <definedName name="HHENGMEC" localSheetId="1">#REF!</definedName>
    <definedName name="HHENGMEC">#REF!</definedName>
    <definedName name="hhh" localSheetId="0">#REF!</definedName>
    <definedName name="hhh" localSheetId="1">#REF!</definedName>
    <definedName name="hhh">#REF!</definedName>
    <definedName name="HHHH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MONELE" localSheetId="0">#REF!</definedName>
    <definedName name="HHMONELE" localSheetId="2">#REF!</definedName>
    <definedName name="HHMONELE" localSheetId="1">#REF!</definedName>
    <definedName name="HHMONELE">#REF!</definedName>
    <definedName name="HHMONMEC" localSheetId="0">#REF!</definedName>
    <definedName name="HHMONMEC" localSheetId="2">#REF!</definedName>
    <definedName name="HHMONMEC" localSheetId="1">#REF!</definedName>
    <definedName name="HHMONMEC">#REF!</definedName>
    <definedName name="HHPROELE" localSheetId="0">#REF!</definedName>
    <definedName name="HHPROELE" localSheetId="2">#REF!</definedName>
    <definedName name="HHPROELE" localSheetId="1">#REF!</definedName>
    <definedName name="HHPROELE">#REF!</definedName>
    <definedName name="HHPROMEC" localSheetId="0">#REF!</definedName>
    <definedName name="HHPROMEC" localSheetId="1">#REF!</definedName>
    <definedName name="HHPROMEC">#REF!</definedName>
    <definedName name="HJBJB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ORAS_TURNO" localSheetId="0">#REF!</definedName>
    <definedName name="HORAS_TURNO" localSheetId="1">#REF!</definedName>
    <definedName name="HORAS_TURNO">#REF!</definedName>
    <definedName name="HTML_CodePage" hidden="1">1252</definedName>
    <definedName name="HTML_Control" localSheetId="0" hidden="1">{"'Plan1 (2)'!$A$5:$F$63"}</definedName>
    <definedName name="HTML_Control" localSheetId="2" hidden="1">{"'Plan1 (2)'!$A$5:$F$63"}</definedName>
    <definedName name="HTML_Control" localSheetId="1" hidden="1">{"'Plan1 (2)'!$A$5:$F$63"}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yttttttu" localSheetId="0">#REF!</definedName>
    <definedName name="hyttttttu" localSheetId="1">#REF!</definedName>
    <definedName name="hyttttttu">#REF!</definedName>
    <definedName name="i" localSheetId="0">#REF!</definedName>
    <definedName name="i" localSheetId="2">#REF!</definedName>
    <definedName name="i" localSheetId="1">#REF!</definedName>
    <definedName name="i">#REF!</definedName>
    <definedName name="ieuriui" localSheetId="0">#REF!</definedName>
    <definedName name="ieuriui" localSheetId="1">#REF!</definedName>
    <definedName name="ieuriui">#REF!</definedName>
    <definedName name="IIII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yu" localSheetId="0">#REF!</definedName>
    <definedName name="iiyu" localSheetId="1">#REF!</definedName>
    <definedName name="iiyu">#REF!</definedName>
    <definedName name="Imprimir_títulos_IM" localSheetId="0">#REF!</definedName>
    <definedName name="Imprimir_títulos_IM" localSheetId="2">#REF!</definedName>
    <definedName name="Imprimir_títulos_IM" localSheetId="1">#REF!</definedName>
    <definedName name="Imprimir_títulos_IM">#REF!</definedName>
    <definedName name="Indicador_Desempenho" localSheetId="0">#REF!</definedName>
    <definedName name="Indicador_Desempenho" localSheetId="2">#REF!</definedName>
    <definedName name="Indicador_Desempenho" localSheetId="1">#REF!</definedName>
    <definedName name="Indicador_Desempenho">#REF!</definedName>
    <definedName name="INSALgrau_percentual" localSheetId="0">#REF!</definedName>
    <definedName name="INSALgrau_percentual" localSheetId="2">#REF!</definedName>
    <definedName name="INSALgrau_percentual" localSheetId="1">#REF!</definedName>
    <definedName name="INSALgrau_percentual">#REF!</definedName>
    <definedName name="INSALUBRIDADE" localSheetId="0">#REF!</definedName>
    <definedName name="INSALUBRIDADE" localSheetId="1">#REF!</definedName>
    <definedName name="INSALUBRIDADE">#REF!</definedName>
    <definedName name="INVALID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ALID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ALID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ALID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estimento_Ano_Anterior" localSheetId="0">#REF!</definedName>
    <definedName name="Investimento_Ano_Anterior" localSheetId="2">#REF!</definedName>
    <definedName name="Investimento_Ano_Anterior" localSheetId="1">#REF!</definedName>
    <definedName name="Investimento_Ano_Anterior">#REF!</definedName>
    <definedName name="Investimento_Ano0" localSheetId="0">#REF!</definedName>
    <definedName name="Investimento_Ano0" localSheetId="2">#REF!</definedName>
    <definedName name="Investimento_Ano0" localSheetId="1">#REF!</definedName>
    <definedName name="Investimento_Ano0">#REF!</definedName>
    <definedName name="Investimento_Ano1" localSheetId="0">#REF!</definedName>
    <definedName name="Investimento_Ano1" localSheetId="2">#REF!</definedName>
    <definedName name="Investimento_Ano1" localSheetId="1">#REF!</definedName>
    <definedName name="Investimento_Ano1">#REF!</definedName>
    <definedName name="Investimento_Ano2" localSheetId="0">#REF!</definedName>
    <definedName name="Investimento_Ano2" localSheetId="1">#REF!</definedName>
    <definedName name="Investimento_Ano2">#REF!</definedName>
    <definedName name="Investimento_Ano3" localSheetId="0">#REF!</definedName>
    <definedName name="Investimento_Ano3" localSheetId="1">#REF!</definedName>
    <definedName name="Investimento_Ano3">#REF!</definedName>
    <definedName name="Investimento_Ano4" localSheetId="0">#REF!</definedName>
    <definedName name="Investimento_Ano4" localSheetId="1">#REF!</definedName>
    <definedName name="Investimento_Ano4">#REF!</definedName>
    <definedName name="Investimento_Ano5" localSheetId="0">#REF!</definedName>
    <definedName name="Investimento_Ano5" localSheetId="1">#REF!</definedName>
    <definedName name="Investimento_Ano5">#REF!</definedName>
    <definedName name="Investimento_Ano6" localSheetId="0">#REF!</definedName>
    <definedName name="Investimento_Ano6" localSheetId="1">#REF!</definedName>
    <definedName name="Investimento_Ano6">#REF!</definedName>
    <definedName name="Investimento_Total_RS" localSheetId="0">#REF!</definedName>
    <definedName name="Investimento_Total_RS" localSheetId="1">#REF!</definedName>
    <definedName name="Investimento_Total_RS">#REF!</definedName>
    <definedName name="Investimento_Total_US" localSheetId="0">#REF!</definedName>
    <definedName name="Investimento_Total_US" localSheetId="1">#REF!</definedName>
    <definedName name="Investimento_Total_US">#REF!</definedName>
    <definedName name="iopoup" localSheetId="0">#REF!</definedName>
    <definedName name="iopoup" localSheetId="1">#REF!</definedName>
    <definedName name="iopoup">#REF!</definedName>
    <definedName name="IOUIYTOÇPP" localSheetId="0">#REF!</definedName>
    <definedName name="IOUIYTOÇPP" localSheetId="1">#REF!</definedName>
    <definedName name="IOUIYTOÇPP">#REF!</definedName>
    <definedName name="ioyuouiy" localSheetId="0" hidden="1">#REF!</definedName>
    <definedName name="ioyuouiy" localSheetId="1" hidden="1">#REF!</definedName>
    <definedName name="ioyuouiy" hidden="1">#REF!</definedName>
    <definedName name="IRRF" localSheetId="0">#REF!</definedName>
    <definedName name="IRRF" localSheetId="1">#REF!</definedName>
    <definedName name="IRRF">#REF!</definedName>
    <definedName name="I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EMS_MEDICAO" localSheetId="0">OFFSET(#REF!,0,0,COUNTA(#REF!),1)</definedName>
    <definedName name="ITEMS_MEDICAO" localSheetId="1">OFFSET(#REF!,0,0,COUNTA(#REF!),1)</definedName>
    <definedName name="ITEMS_MEDICAO">OFFSET(#REF!,0,0,COUNTA(#REF!),1)</definedName>
    <definedName name="ITYIOPOI" localSheetId="0">#REF!</definedName>
    <definedName name="ITYIOPOI" localSheetId="1">#REF!</definedName>
    <definedName name="ITYIOPOI">#REF!</definedName>
    <definedName name="iuyuyuy" localSheetId="0">#REF!</definedName>
    <definedName name="iuyuyuy" localSheetId="1">#REF!</definedName>
    <definedName name="iuyuyuy">#REF!</definedName>
    <definedName name="j" hidden="1">[2]A!$F$59:$AG$59</definedName>
    <definedName name="Jan" localSheetId="0">#REF!</definedName>
    <definedName name="Jan" localSheetId="1">#REF!</definedName>
    <definedName name="Jan">#REF!</definedName>
    <definedName name="jcdc" hidden="1">[2]A!$F$59:$AG$59</definedName>
    <definedName name="JELE" localSheetId="0">#REF!</definedName>
    <definedName name="JELE" localSheetId="2">#REF!</definedName>
    <definedName name="JELE" localSheetId="1">#REF!</definedName>
    <definedName name="JELE">#REF!</definedName>
    <definedName name="jerioitpter" localSheetId="0">#REF!</definedName>
    <definedName name="jerioitpter" localSheetId="1">#REF!</definedName>
    <definedName name="jerioitpter">#REF!</definedName>
    <definedName name="jfkhyg" localSheetId="0">#REF!</definedName>
    <definedName name="jfkhyg" localSheetId="1">#REF!</definedName>
    <definedName name="jfkhyg">#REF!</definedName>
    <definedName name="JJ" localSheetId="0">#REF!</definedName>
    <definedName name="JJ" localSheetId="1">#REF!</definedName>
    <definedName name="JJ">#REF!</definedName>
    <definedName name="JJJ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MEC" localSheetId="0">#REF!</definedName>
    <definedName name="JMEC" localSheetId="2">#REF!</definedName>
    <definedName name="JMEC" localSheetId="1">#REF!</definedName>
    <definedName name="JMEC">#REF!</definedName>
    <definedName name="Jul" localSheetId="0">#REF!</definedName>
    <definedName name="Jul" localSheetId="1">#REF!</definedName>
    <definedName name="Jul">#REF!</definedName>
    <definedName name="Jun" localSheetId="0">#REF!</definedName>
    <definedName name="Jun" localSheetId="1">#REF!</definedName>
    <definedName name="Jun">#REF!</definedName>
    <definedName name="JUNHO2" localSheetId="0">#REF!</definedName>
    <definedName name="JUNHO2" localSheetId="1">#REF!</definedName>
    <definedName name="JUNHO2">#REF!</definedName>
    <definedName name="JUNHO2_1" localSheetId="0">#REF!</definedName>
    <definedName name="JUNHO2_1" localSheetId="1">#REF!</definedName>
    <definedName name="JUNHO2_1">#REF!</definedName>
    <definedName name="Justificativa" localSheetId="0">#REF!</definedName>
    <definedName name="Justificativa" localSheetId="2">#REF!</definedName>
    <definedName name="Justificativa" localSheetId="1">#REF!</definedName>
    <definedName name="Justificativa">#REF!</definedName>
    <definedName name="KHGKLÇPOIÇ" localSheetId="0">#REF!</definedName>
    <definedName name="KHGKLÇPOIÇ" localSheetId="1">#REF!</definedName>
    <definedName name="KHGKLÇPOIÇ">#REF!</definedName>
    <definedName name="KKKKK" localSheetId="0">#REF!</definedName>
    <definedName name="KKKKK" localSheetId="2">#REF!</definedName>
    <definedName name="KKKKK" localSheetId="1">#REF!</definedName>
    <definedName name="KKKKK">#REF!</definedName>
    <definedName name="KKKKKK" localSheetId="0">#REF!</definedName>
    <definedName name="KKKKKK" localSheetId="1">#REF!</definedName>
    <definedName name="KKKKKK">#REF!</definedName>
    <definedName name="klylipyu" localSheetId="0">#REF!</definedName>
    <definedName name="klylipyu" localSheetId="1">#REF!</definedName>
    <definedName name="klylipyu">#REF!</definedName>
    <definedName name="KUBUS" localSheetId="0">#REF!</definedName>
    <definedName name="KUBUS" localSheetId="1">#REF!</definedName>
    <definedName name="KUBUS">#REF!</definedName>
    <definedName name="Kubus1" localSheetId="0">#REF!</definedName>
    <definedName name="Kubus1" localSheetId="1">#REF!</definedName>
    <definedName name="Kubus1">#REF!</definedName>
    <definedName name="LADO" localSheetId="0">'[11]Fresagem de Pista Ago-98'!#REF!</definedName>
    <definedName name="LADO" localSheetId="2">'[11]Fresagem de Pista Ago-98'!#REF!</definedName>
    <definedName name="LADO" localSheetId="1">'[11]Fresagem de Pista Ago-98'!#REF!</definedName>
    <definedName name="LADO">'[11]Fresagem de Pista Ago-98'!#REF!</definedName>
    <definedName name="LARG" localSheetId="0">'[11]Fresagem de Pista Ago-98'!#REF!</definedName>
    <definedName name="LARG" localSheetId="2">'[11]Fresagem de Pista Ago-98'!#REF!</definedName>
    <definedName name="LARG" localSheetId="1">'[11]Fresagem de Pista Ago-98'!#REF!</definedName>
    <definedName name="LARG">'[11]Fresagem de Pista Ago-98'!#REF!</definedName>
    <definedName name="LD" localSheetId="0">'[11]Fresagem de Pista Ago-98'!#REF!</definedName>
    <definedName name="LD" localSheetId="2">'[11]Fresagem de Pista Ago-98'!#REF!</definedName>
    <definedName name="LD" localSheetId="1">'[11]Fresagem de Pista Ago-98'!#REF!</definedName>
    <definedName name="LD">'[11]Fresagem de Pista Ago-98'!#REF!</definedName>
    <definedName name="lega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st_insp" localSheetId="0">#REF!</definedName>
    <definedName name="list_insp" localSheetId="1">#REF!</definedName>
    <definedName name="list_insp">#REF!</definedName>
    <definedName name="Lista" localSheetId="0">#REF!</definedName>
    <definedName name="Lista" localSheetId="2">#REF!</definedName>
    <definedName name="Lista" localSheetId="1">#REF!</definedName>
    <definedName name="Lista">#REF!</definedName>
    <definedName name="lista_Calendario">[22]!tbl_Calendario[Data]</definedName>
    <definedName name="LISTA_CAT" localSheetId="0">#REF!</definedName>
    <definedName name="LISTA_CAT" localSheetId="1">#REF!</definedName>
    <definedName name="LISTA_CAT">#REF!</definedName>
    <definedName name="lista_datas">[22]!tbl_Calendario[Data]</definedName>
    <definedName name="lista_Eventuais" localSheetId="0">#REF!</definedName>
    <definedName name="lista_Eventuais" localSheetId="1">#REF!</definedName>
    <definedName name="lista_Eventuais">#REF!</definedName>
    <definedName name="lista_funcoes" localSheetId="0">#REF!</definedName>
    <definedName name="lista_funcoes" localSheetId="1">#REF!</definedName>
    <definedName name="lista_funcoes">#REF!</definedName>
    <definedName name="lista_Habituais" localSheetId="0">#REF!</definedName>
    <definedName name="lista_Habituais" localSheetId="1">#REF!</definedName>
    <definedName name="lista_Habituais">#REF!</definedName>
    <definedName name="Lista_Horas">[23]!tbl_Horas[Horas Extras]</definedName>
    <definedName name="lista_horas_extras_para">[23]!tbl_Horas[Horas Extras]</definedName>
    <definedName name="lista_Locais">[23]!tbl_Locais[Sigla]</definedName>
    <definedName name="lista_Manut_TAG" localSheetId="0">#REF!</definedName>
    <definedName name="lista_Manut_TAG" localSheetId="1">#REF!</definedName>
    <definedName name="lista_Manut_TAG">#REF!</definedName>
    <definedName name="lista_Oper_TAGS" localSheetId="0">#REF!</definedName>
    <definedName name="lista_Oper_TAGS" localSheetId="1">#REF!</definedName>
    <definedName name="lista_Oper_TAGS">#REF!</definedName>
    <definedName name="lista_Semana">[22]!tbl_Semana[Dia Semana]</definedName>
    <definedName name="lista_TAG" localSheetId="0">#REF!</definedName>
    <definedName name="lista_TAG" localSheetId="1">#REF!</definedName>
    <definedName name="lista_TAG">#REF!</definedName>
    <definedName name="listaDistritosMaranhão">[23]!tbl_Locais[Sigla]</definedName>
    <definedName name="listaDistritosPara">[24]!tbl_Locais[Sigla]</definedName>
    <definedName name="ListaFim" localSheetId="0">#REF!</definedName>
    <definedName name="ListaFim" localSheetId="2">#REF!</definedName>
    <definedName name="ListaFim" localSheetId="1">#REF!</definedName>
    <definedName name="ListaFim">#REF!</definedName>
    <definedName name="ListaHorasExtraMaranhão">[23]!tbl_Horas[Horas Extras]</definedName>
    <definedName name="LJLLÇHGUOI" localSheetId="0">#REF!</definedName>
    <definedName name="LJLLÇHGUOI" localSheetId="1">#REF!</definedName>
    <definedName name="LJLLÇHGUOI">#REF!</definedName>
    <definedName name="lkçlfhkohkgf" localSheetId="0">#REF!</definedName>
    <definedName name="lkçlfhkohkgf" localSheetId="1">#REF!</definedName>
    <definedName name="lkçlfhkohkgf">#REF!</definedName>
    <definedName name="ll" hidden="1">[2]A!$F$11:$AG$11</definedName>
    <definedName name="LLL" localSheetId="0">#REF!</definedName>
    <definedName name="LLL" localSheetId="2">#REF!</definedName>
    <definedName name="LLL" localSheetId="1">#REF!</definedName>
    <definedName name="LLL">#REF!</definedName>
    <definedName name="LLL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ok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k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k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k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uis" localSheetId="0" hidden="1">{"'Plan1 (2)'!$A$5:$F$63"}</definedName>
    <definedName name="luis" localSheetId="2" hidden="1">{"'Plan1 (2)'!$A$5:$F$63"}</definedName>
    <definedName name="luis" localSheetId="1" hidden="1">{"'Plan1 (2)'!$A$5:$F$63"}</definedName>
    <definedName name="luis" hidden="1">{"'Plan1 (2)'!$A$5:$F$63"}</definedName>
    <definedName name="m" hidden="1">[2]A!$F$63:$AG$63</definedName>
    <definedName name="m_1" localSheetId="0">#REF!</definedName>
    <definedName name="m_1" localSheetId="1">#REF!</definedName>
    <definedName name="m_1">#REF!</definedName>
    <definedName name="Macro1" localSheetId="0">[12]!Macro1</definedName>
    <definedName name="Macro1" localSheetId="2">[12]!Macro1</definedName>
    <definedName name="Macro1" localSheetId="1">[12]!Macro1</definedName>
    <definedName name="Macro1">[12]!Macro1</definedName>
    <definedName name="Macro10" localSheetId="0">[25]!Macro10</definedName>
    <definedName name="Macro10" localSheetId="2">[25]!Macro10</definedName>
    <definedName name="Macro10" localSheetId="1">[25]!Macro10</definedName>
    <definedName name="Macro10">[25]!Macro10</definedName>
    <definedName name="Macro11" localSheetId="0">[25]!Macro11</definedName>
    <definedName name="Macro11" localSheetId="2">[25]!Macro11</definedName>
    <definedName name="Macro11" localSheetId="1">[25]!Macro11</definedName>
    <definedName name="Macro11">[25]!Macro11</definedName>
    <definedName name="Macro12" localSheetId="0">[25]!Macro12</definedName>
    <definedName name="Macro12" localSheetId="2">[25]!Macro12</definedName>
    <definedName name="Macro12" localSheetId="1">[25]!Macro12</definedName>
    <definedName name="Macro12">[25]!Macro12</definedName>
    <definedName name="Macro13" localSheetId="0">[25]!Macro13</definedName>
    <definedName name="Macro13" localSheetId="2">[25]!Macro13</definedName>
    <definedName name="Macro13" localSheetId="1">[25]!Macro13</definedName>
    <definedName name="Macro13">[25]!Macro13</definedName>
    <definedName name="Macro14" localSheetId="0">[25]!Macro14</definedName>
    <definedName name="Macro14" localSheetId="2">[25]!Macro14</definedName>
    <definedName name="Macro14" localSheetId="1">[25]!Macro14</definedName>
    <definedName name="Macro14">[25]!Macro14</definedName>
    <definedName name="Macro15" localSheetId="0">[25]!Macro15</definedName>
    <definedName name="Macro15" localSheetId="2">[25]!Macro15</definedName>
    <definedName name="Macro15" localSheetId="1">[25]!Macro15</definedName>
    <definedName name="Macro15">[25]!Macro15</definedName>
    <definedName name="Macro16" localSheetId="0">[25]!Macro16</definedName>
    <definedName name="Macro16" localSheetId="2">[25]!Macro16</definedName>
    <definedName name="Macro16" localSheetId="1">[25]!Macro16</definedName>
    <definedName name="Macro16">[25]!Macro16</definedName>
    <definedName name="Macro17" localSheetId="0">[25]!Macro17</definedName>
    <definedName name="Macro17" localSheetId="2">[25]!Macro17</definedName>
    <definedName name="Macro17" localSheetId="1">[25]!Macro17</definedName>
    <definedName name="Macro17">[25]!Macro17</definedName>
    <definedName name="Macro18" localSheetId="0">[25]!Macro18</definedName>
    <definedName name="Macro18" localSheetId="2">[25]!Macro18</definedName>
    <definedName name="Macro18" localSheetId="1">[25]!Macro18</definedName>
    <definedName name="Macro18">[25]!Macro18</definedName>
    <definedName name="Macro19" localSheetId="0">[25]!Macro19</definedName>
    <definedName name="Macro19" localSheetId="2">[25]!Macro19</definedName>
    <definedName name="Macro19" localSheetId="1">[25]!Macro19</definedName>
    <definedName name="Macro19">[25]!Macro19</definedName>
    <definedName name="Macro2" localSheetId="0">[25]!Macro2</definedName>
    <definedName name="Macro2" localSheetId="2">[25]!Macro2</definedName>
    <definedName name="Macro2" localSheetId="1">[25]!Macro2</definedName>
    <definedName name="Macro2">[25]!Macro2</definedName>
    <definedName name="Macro20" localSheetId="0">[25]!Macro20</definedName>
    <definedName name="Macro20" localSheetId="2">[25]!Macro20</definedName>
    <definedName name="Macro20" localSheetId="1">[25]!Macro20</definedName>
    <definedName name="Macro20">[25]!Macro20</definedName>
    <definedName name="Macro21" localSheetId="0">[25]!Macro21</definedName>
    <definedName name="Macro21" localSheetId="2">[25]!Macro21</definedName>
    <definedName name="Macro21" localSheetId="1">[25]!Macro21</definedName>
    <definedName name="Macro21">[25]!Macro21</definedName>
    <definedName name="Macro22" localSheetId="0">[25]!Macro22</definedName>
    <definedName name="Macro22" localSheetId="2">[25]!Macro22</definedName>
    <definedName name="Macro22" localSheetId="1">[25]!Macro22</definedName>
    <definedName name="Macro22">[25]!Macro22</definedName>
    <definedName name="Macro23" localSheetId="0">[25]!Macro23</definedName>
    <definedName name="Macro23" localSheetId="2">[25]!Macro23</definedName>
    <definedName name="Macro23" localSheetId="1">[25]!Macro23</definedName>
    <definedName name="Macro23">[25]!Macro23</definedName>
    <definedName name="Macro24" localSheetId="0">[25]!Macro24</definedName>
    <definedName name="Macro24" localSheetId="2">[25]!Macro24</definedName>
    <definedName name="Macro24" localSheetId="1">[25]!Macro24</definedName>
    <definedName name="Macro24">[25]!Macro24</definedName>
    <definedName name="Macro25" localSheetId="0">[25]!Macro25</definedName>
    <definedName name="Macro25" localSheetId="2">[25]!Macro25</definedName>
    <definedName name="Macro25" localSheetId="1">[25]!Macro25</definedName>
    <definedName name="Macro25">[25]!Macro25</definedName>
    <definedName name="Macro26" localSheetId="0">[25]!Macro26</definedName>
    <definedName name="Macro26" localSheetId="2">[25]!Macro26</definedName>
    <definedName name="Macro26" localSheetId="1">[25]!Macro26</definedName>
    <definedName name="Macro26">[25]!Macro26</definedName>
    <definedName name="Macro28" localSheetId="0">[25]!Macro28</definedName>
    <definedName name="Macro28" localSheetId="2">[25]!Macro28</definedName>
    <definedName name="Macro28" localSheetId="1">[25]!Macro28</definedName>
    <definedName name="Macro28">[25]!Macro28</definedName>
    <definedName name="Macro3" localSheetId="0">'[12]#REF'!Macro3</definedName>
    <definedName name="Macro3" localSheetId="2">'[12]#REF'!Macro3</definedName>
    <definedName name="Macro3" localSheetId="1">'[12]#REF'!Macro3</definedName>
    <definedName name="Macro3">'[12]#REF'!Macro3</definedName>
    <definedName name="Macro4" localSheetId="0">[25]!Macro4</definedName>
    <definedName name="Macro4" localSheetId="2">[25]!Macro4</definedName>
    <definedName name="Macro4" localSheetId="1">[25]!Macro4</definedName>
    <definedName name="Macro4">[25]!Macro4</definedName>
    <definedName name="Macro5" localSheetId="0">[25]!Macro5</definedName>
    <definedName name="Macro5" localSheetId="2">[25]!Macro5</definedName>
    <definedName name="Macro5" localSheetId="1">[25]!Macro5</definedName>
    <definedName name="Macro5">[25]!Macro5</definedName>
    <definedName name="Macro6" localSheetId="0">[25]!Macro6</definedName>
    <definedName name="Macro6" localSheetId="2">[25]!Macro6</definedName>
    <definedName name="Macro6" localSheetId="1">[25]!Macro6</definedName>
    <definedName name="Macro6">[25]!Macro6</definedName>
    <definedName name="Macro7" localSheetId="0">[25]!Macro7</definedName>
    <definedName name="Macro7" localSheetId="2">[25]!Macro7</definedName>
    <definedName name="Macro7" localSheetId="1">[25]!Macro7</definedName>
    <definedName name="Macro7">[25]!Macro7</definedName>
    <definedName name="Macro8" localSheetId="0">[25]!Macro8</definedName>
    <definedName name="Macro8" localSheetId="2">[25]!Macro8</definedName>
    <definedName name="Macro8" localSheetId="1">[25]!Macro8</definedName>
    <definedName name="Macro8">[25]!Macro8</definedName>
    <definedName name="Macro9" localSheetId="0">[25]!Macro9</definedName>
    <definedName name="Macro9" localSheetId="2">[25]!Macro9</definedName>
    <definedName name="Macro9" localSheetId="1">[25]!Macro9</definedName>
    <definedName name="Macro9">[25]!Macro9</definedName>
    <definedName name="Mai" localSheetId="0">#REF!</definedName>
    <definedName name="Mai" localSheetId="1">#REF!</definedName>
    <definedName name="Mai">#REF!</definedName>
    <definedName name="Mar" localSheetId="0">#REF!</definedName>
    <definedName name="Mar" localSheetId="1">#REF!</definedName>
    <definedName name="Mar">#REF!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BV" localSheetId="0">#REF!</definedName>
    <definedName name="MBV" localSheetId="1">#REF!</definedName>
    <definedName name="MBV">#REF!</definedName>
    <definedName name="MBV_1" localSheetId="0">#REF!</definedName>
    <definedName name="MBV_1" localSheetId="1">#REF!</definedName>
    <definedName name="MBV_1">#REF!</definedName>
    <definedName name="MELHOR" localSheetId="0">#REF!</definedName>
    <definedName name="MELHOR" localSheetId="1">#REF!</definedName>
    <definedName name="MELHOR">#REF!</definedName>
    <definedName name="Mes_pesq" localSheetId="0">#REF!</definedName>
    <definedName name="Mes_pesq" localSheetId="1">#REF!</definedName>
    <definedName name="Mes_pesq">#REF!</definedName>
    <definedName name="MesCalc" localSheetId="0">#REF!</definedName>
    <definedName name="MesCalc" localSheetId="2">#REF!</definedName>
    <definedName name="MesCalc" localSheetId="1">#REF!</definedName>
    <definedName name="MesCalc">#REF!</definedName>
    <definedName name="Meses" localSheetId="0">#REF!,#REF!,#REF!,#REF!,#REF!,#REF!,#REF!,#REF!,#REF!,#REF!,#REF!,#REF!</definedName>
    <definedName name="Meses" localSheetId="2">#REF!,#REF!,#REF!,#REF!,#REF!,#REF!,#REF!,#REF!,#REF!,#REF!,#REF!,#REF!</definedName>
    <definedName name="Meses" localSheetId="1">#REF!,#REF!,#REF!,#REF!,#REF!,#REF!,#REF!,#REF!,#REF!,#REF!,#REF!,#REF!</definedName>
    <definedName name="Meses">#REF!,#REF!,#REF!,#REF!,#REF!,#REF!,#REF!,#REF!,#REF!,#REF!,#REF!,#REF!</definedName>
    <definedName name="MesNegociado" localSheetId="0">#REF!</definedName>
    <definedName name="MesNegociado" localSheetId="2">#REF!</definedName>
    <definedName name="MesNegociado" localSheetId="1">#REF!</definedName>
    <definedName name="MesNegociado">#REF!</definedName>
    <definedName name="MINAS" localSheetId="0">#REF!</definedName>
    <definedName name="MINAS" localSheetId="2">#REF!</definedName>
    <definedName name="MINAS" localSheetId="1">#REF!</definedName>
    <definedName name="MINAS">#REF!</definedName>
    <definedName name="MINPGPELE" localSheetId="0">#REF!</definedName>
    <definedName name="MINPGPELE" localSheetId="2">#REF!</definedName>
    <definedName name="MINPGPELE" localSheetId="1">#REF!</definedName>
    <definedName name="MINPGPELE">#REF!</definedName>
    <definedName name="MINPGPMEC" localSheetId="0">#REF!</definedName>
    <definedName name="MINPGPMEC" localSheetId="1">#REF!</definedName>
    <definedName name="MINPGPMEC">#REF!</definedName>
    <definedName name="MIX" localSheetId="0">#REF!</definedName>
    <definedName name="MIX" localSheetId="1">#REF!</definedName>
    <definedName name="MIX">#REF!</definedName>
    <definedName name="M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MM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ódulo1.Macro1" localSheetId="0">[26]!Módulo1.Macro1</definedName>
    <definedName name="Módulo1.Macro1" localSheetId="2">[26]!Módulo1.Macro1</definedName>
    <definedName name="Módulo1.Macro1" localSheetId="1">[26]!Módulo1.Macro1</definedName>
    <definedName name="Módulo1.Macro1">[26]!Módulo1.Macro1</definedName>
    <definedName name="Módulo1.Macro2" localSheetId="0">[26]!Módulo1.Macro2</definedName>
    <definedName name="Módulo1.Macro2" localSheetId="2">[26]!Módulo1.Macro2</definedName>
    <definedName name="Módulo1.Macro2" localSheetId="1">[26]!Módulo1.Macro2</definedName>
    <definedName name="Módulo1.Macro2">[26]!Módulo1.Macro2</definedName>
    <definedName name="Módulo1.Macro3" localSheetId="0">[26]!Módulo1.Macro3</definedName>
    <definedName name="Módulo1.Macro3" localSheetId="2">[26]!Módulo1.Macro3</definedName>
    <definedName name="Módulo1.Macro3" localSheetId="1">[26]!Módulo1.Macro3</definedName>
    <definedName name="Módulo1.Macro3">[26]!Módulo1.Macro3</definedName>
    <definedName name="Módulo1.Macro4" localSheetId="0">[26]!Módulo1.Macro4</definedName>
    <definedName name="Módulo1.Macro4" localSheetId="2">[26]!Módulo1.Macro4</definedName>
    <definedName name="Módulo1.Macro4" localSheetId="1">[26]!Módulo1.Macro4</definedName>
    <definedName name="Módulo1.Macro4">[26]!Módulo1.Macro4</definedName>
    <definedName name="Módulo1.Macro5" localSheetId="0">[26]!Módulo1.Macro5</definedName>
    <definedName name="Módulo1.Macro5" localSheetId="2">[26]!Módulo1.Macro5</definedName>
    <definedName name="Módulo1.Macro5" localSheetId="1">[26]!Módulo1.Macro5</definedName>
    <definedName name="Módulo1.Macro5">[26]!Módulo1.Macro5</definedName>
    <definedName name="MOEDAS">OFFSET([27]Planilha1!$K$1,0,0,COUNTA([27]Planilha1!$K:$K),1)</definedName>
    <definedName name="motor4">[17]Motores!$A$1:$G$21</definedName>
    <definedName name="motor6">[17]Motores!$I$1:$O$21</definedName>
    <definedName name="n" hidden="1">[2]A!$F$11:$AG$11</definedName>
    <definedName name="n_1" localSheetId="0">#REF!</definedName>
    <definedName name="n_1" localSheetId="1">#REF!</definedName>
    <definedName name="n_1">#REF!</definedName>
    <definedName name="NFN" localSheetId="0">#REF!</definedName>
    <definedName name="NFN" localSheetId="1">#REF!</definedName>
    <definedName name="NFN">#REF!</definedName>
    <definedName name="nhb" localSheetId="0">#REF!</definedName>
    <definedName name="nhb" localSheetId="1">#REF!</definedName>
    <definedName name="nhb">#REF!</definedName>
    <definedName name="nhb_1" localSheetId="0">#REF!</definedName>
    <definedName name="nhb_1" localSheetId="1">#REF!</definedName>
    <definedName name="nhb_1">#REF!</definedName>
    <definedName name="NIVEL3" localSheetId="0">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</definedName>
    <definedName name="NIVEL3" localSheetId="2">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</definedName>
    <definedName name="NIVEL3" localSheetId="1">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</definedName>
    <definedName name="NIVEL3">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,[28]EAP!#REF!</definedName>
    <definedName name="NNNNN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v" localSheetId="0">#REF!</definedName>
    <definedName name="Nov" localSheetId="1">#REF!</definedName>
    <definedName name="Nov">#REF!</definedName>
    <definedName name="NOVA" localSheetId="0">#REF!</definedName>
    <definedName name="NOVA" localSheetId="1">#REF!</definedName>
    <definedName name="NOVA">#REF!</definedName>
    <definedName name="num_linhas" localSheetId="0">#REF!</definedName>
    <definedName name="num_linhas" localSheetId="2">#REF!</definedName>
    <definedName name="num_linhas" localSheetId="1">#REF!</definedName>
    <definedName name="num_linhas">#REF!</definedName>
    <definedName name="nvd">'[21]ACOPL ENG'!$A$3:$E$20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bjetivo" localSheetId="0">#REF!</definedName>
    <definedName name="Objetivo" localSheetId="2">#REF!</definedName>
    <definedName name="Objetivo" localSheetId="1">#REF!</definedName>
    <definedName name="Objetivo">#REF!</definedName>
    <definedName name="Objeto" localSheetId="0">#REF!</definedName>
    <definedName name="Objeto" localSheetId="2">#REF!</definedName>
    <definedName name="Objeto" localSheetId="1">#REF!</definedName>
    <definedName name="Objeto">#REF!</definedName>
    <definedName name="oiporooritoir" localSheetId="0">#REF!</definedName>
    <definedName name="oiporooritoir" localSheetId="1">#REF!</definedName>
    <definedName name="oiporooritoir">#REF!</definedName>
    <definedName name="OKTRYKRP" localSheetId="0">OFFSET(#REF!,#REF!,4,#REF!,1)</definedName>
    <definedName name="OKTRYKRP" localSheetId="1">OFFSET(#REF!,#REF!,4,#REF!,1)</definedName>
    <definedName name="OKTRYKRP">OFFSET(#REF!,#REF!,4,#REF!,1)</definedName>
    <definedName name="OOOO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erações" localSheetId="0">#REF!</definedName>
    <definedName name="Operações" localSheetId="1">#REF!</definedName>
    <definedName name="Operações">#REF!</definedName>
    <definedName name="opuo" localSheetId="0">#REF!</definedName>
    <definedName name="opuo" localSheetId="1">#REF!</definedName>
    <definedName name="opuo">#REF!</definedName>
    <definedName name="ORÇADO" localSheetId="0">OFFSET(#REF!,#REF!,1,#REF!,1)</definedName>
    <definedName name="ORÇADO" localSheetId="1">OFFSET(#REF!,#REF!,1,#REF!,1)</definedName>
    <definedName name="ORÇADO">OFFSET(#REF!,#REF!,1,#REF!,1)</definedName>
    <definedName name="ORCREAL" localSheetId="0">OFFSET(#REF!,#REF!,4,#REF!,1)</definedName>
    <definedName name="ORCREAL" localSheetId="1">OFFSET(#REF!,#REF!,4,#REF!,1)</definedName>
    <definedName name="ORCREAL">OFFSET(#REF!,#REF!,4,#REF!,1)</definedName>
    <definedName name="ORDEM" localSheetId="0">OFFSET(#REF!,0,0,COUNTA(#REF!),1)</definedName>
    <definedName name="ORDEM" localSheetId="1">OFFSET(#REF!,0,0,COUNTA(#REF!),1)</definedName>
    <definedName name="ORDEM">OFFSET(#REF!,0,0,COUNTA(#REF!),1)</definedName>
    <definedName name="Out" localSheetId="0">#REF!</definedName>
    <definedName name="Out" localSheetId="1">#REF!</definedName>
    <definedName name="Out">#REF!</definedName>
    <definedName name="oyhioghoijijef" localSheetId="0">#REF!</definedName>
    <definedName name="oyhioghoijijef" localSheetId="1">#REF!</definedName>
    <definedName name="oyhioghoijijef">#REF!</definedName>
    <definedName name="p" localSheetId="0">#REF!</definedName>
    <definedName name="p" localSheetId="1">#REF!</definedName>
    <definedName name="p">#REF!</definedName>
    <definedName name="P.Aparente" localSheetId="0">#REF!</definedName>
    <definedName name="P.Aparente" localSheetId="2">#REF!</definedName>
    <definedName name="P.Aparente" localSheetId="1">#REF!</definedName>
    <definedName name="P.Aparente">#REF!</definedName>
    <definedName name="P.Reatia" localSheetId="0">#REF!</definedName>
    <definedName name="P.Reatia" localSheetId="2">#REF!</definedName>
    <definedName name="P.Reatia" localSheetId="1">#REF!</definedName>
    <definedName name="P.Reatia">#REF!</definedName>
    <definedName name="p_1" localSheetId="0">#REF!</definedName>
    <definedName name="p_1" localSheetId="1">#REF!</definedName>
    <definedName name="p_1">#REF!</definedName>
    <definedName name="P_SUCATA" localSheetId="0">#REF!</definedName>
    <definedName name="P_SUCATA" localSheetId="2">#REF!</definedName>
    <definedName name="P_SUCATA" localSheetId="1">#REF!</definedName>
    <definedName name="P_SUCATA">#REF!</definedName>
    <definedName name="Páscoa" localSheetId="0">#REF!</definedName>
    <definedName name="Páscoa" localSheetId="1">#REF!</definedName>
    <definedName name="Páscoa">#REF!</definedName>
    <definedName name="PassaExtenso" localSheetId="0">[29]!PassaExtenso</definedName>
    <definedName name="PassaExtenso" localSheetId="2">[29]!PassaExtenso</definedName>
    <definedName name="PassaExtenso" localSheetId="1">[29]!PassaExtenso</definedName>
    <definedName name="PassaExtenso">[29]!PassaExtenso</definedName>
    <definedName name="pativar" localSheetId="0">#REF!</definedName>
    <definedName name="pativar" localSheetId="2">#REF!</definedName>
    <definedName name="pativar" localSheetId="1">#REF!</definedName>
    <definedName name="pativar">#REF!</definedName>
    <definedName name="Pavimen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vimen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vimen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vimen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yback" localSheetId="0">#REF!</definedName>
    <definedName name="Payback" localSheetId="2">#REF!</definedName>
    <definedName name="Payback" localSheetId="1">#REF!</definedName>
    <definedName name="Payback">#REF!</definedName>
    <definedName name="PE" localSheetId="0">#REF!</definedName>
    <definedName name="PE" localSheetId="2">#REF!</definedName>
    <definedName name="PE" localSheetId="1">#REF!</definedName>
    <definedName name="PE">#REF!</definedName>
    <definedName name="pipgoiopfiop" localSheetId="0">#REF!</definedName>
    <definedName name="pipgoiopfiop" localSheetId="1">#REF!</definedName>
    <definedName name="pipgoiopfiop">#REF!</definedName>
    <definedName name="pl" localSheetId="0">#REF!</definedName>
    <definedName name="pl" localSheetId="1">#REF!</definedName>
    <definedName name="pl">#REF!</definedName>
    <definedName name="pl_1" localSheetId="0">#REF!</definedName>
    <definedName name="pl_1" localSheetId="1">#REF!</definedName>
    <definedName name="pl_1">#REF!</definedName>
    <definedName name="PLA" localSheetId="0">#REF!</definedName>
    <definedName name="PLA" localSheetId="2">#REF!</definedName>
    <definedName name="PLA" localSheetId="1">#REF!</definedName>
    <definedName name="PLA">#REF!</definedName>
    <definedName name="pla_1" localSheetId="0">#REF!</definedName>
    <definedName name="pla_1" localSheetId="1">#REF!</definedName>
    <definedName name="pla_1">#REF!</definedName>
    <definedName name="Pla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.g" localSheetId="0">#REF!</definedName>
    <definedName name="Plan.g" localSheetId="1">#REF!</definedName>
    <definedName name="Plan.g">#REF!</definedName>
    <definedName name="Plan.g_1" localSheetId="0">#REF!</definedName>
    <definedName name="Plan.g_1" localSheetId="1">#REF!</definedName>
    <definedName name="Plan.g_1">#REF!</definedName>
    <definedName name="PLANEJADA" localSheetId="0">#REF!</definedName>
    <definedName name="PLANEJADA" localSheetId="2">#REF!</definedName>
    <definedName name="PLANEJADA" localSheetId="1">#REF!</definedName>
    <definedName name="PLANEJADA">#REF!</definedName>
    <definedName name="planejam" localSheetId="0">#REF!</definedName>
    <definedName name="planejam" localSheetId="1">#REF!</definedName>
    <definedName name="planejam">#REF!</definedName>
    <definedName name="planejam_1" localSheetId="0">#REF!</definedName>
    <definedName name="planejam_1" localSheetId="1">#REF!</definedName>
    <definedName name="planejam_1">#REF!</definedName>
    <definedName name="PLANTAS" localSheetId="0">OFFSET(#REF!,0,0,COUNTA(#REF!),1)</definedName>
    <definedName name="PLANTAS" localSheetId="1">OFFSET(#REF!,0,0,COUNTA(#REF!),1)</definedName>
    <definedName name="PLANTAS">OFFSET(#REF!,0,0,COUNTA(#REF!),1)</definedName>
    <definedName name="PLANTAS_2" localSheetId="0">OFFSET(#REF!,0,0,COUNTA(#REF!),1)</definedName>
    <definedName name="PLANTAS_2" localSheetId="1">OFFSET(#REF!,0,0,COUNTA(#REF!),1)</definedName>
    <definedName name="PLANTAS_2">OFFSET(#REF!,0,0,COUNTA(#REF!),1)</definedName>
    <definedName name="PLANTAS_DESCR" localSheetId="0">OFFSET(#REF!,0,0,COUNTA(#REF!),1)</definedName>
    <definedName name="PLANTAS_DESCR" localSheetId="1">OFFSET(#REF!,0,0,COUNTA(#REF!),1)</definedName>
    <definedName name="PLANTAS_DESCR">OFFSET(#REF!,0,0,COUNTA(#REF!),1)</definedName>
    <definedName name="PLAT1" localSheetId="0">[30]JAN!#REF!</definedName>
    <definedName name="PLAT1" localSheetId="2">[30]JAN!#REF!</definedName>
    <definedName name="PLAT1" localSheetId="1">[30]JAN!#REF!</definedName>
    <definedName name="PLAT1">[30]JAN!#REF!</definedName>
    <definedName name="PMREC" localSheetId="0">#REF!</definedName>
    <definedName name="PMREC" localSheetId="2">#REF!</definedName>
    <definedName name="PMREC" localSheetId="1">#REF!</definedName>
    <definedName name="PMREC">#REF!</definedName>
    <definedName name="PNPBASELE" localSheetId="0">#REF!</definedName>
    <definedName name="PNPBASELE" localSheetId="2">#REF!</definedName>
    <definedName name="PNPBASELE" localSheetId="1">#REF!</definedName>
    <definedName name="PNPBASELE">#REF!</definedName>
    <definedName name="PNPBASMEC" localSheetId="0">#REF!</definedName>
    <definedName name="PNPBASMEC" localSheetId="2">#REF!</definedName>
    <definedName name="PNPBASMEC" localSheetId="1">#REF!</definedName>
    <definedName name="PNPBASMEC">#REF!</definedName>
    <definedName name="po" localSheetId="0">#REF!</definedName>
    <definedName name="po" localSheetId="1">#REF!</definedName>
    <definedName name="po">#REF!</definedName>
    <definedName name="poi9896589658906" localSheetId="0">#REF!</definedName>
    <definedName name="poi9896589658906" localSheetId="1">#REF!</definedName>
    <definedName name="poi9896589658906">#REF!</definedName>
    <definedName name="PORCENTAGEM" localSheetId="0">#REF!</definedName>
    <definedName name="PORCENTAGEM" localSheetId="1">#REF!</definedName>
    <definedName name="PORCENTAGEM">#REF!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tencia" localSheetId="0">#REF!</definedName>
    <definedName name="Potencia" localSheetId="2">#REF!</definedName>
    <definedName name="Potencia" localSheetId="1">#REF!</definedName>
    <definedName name="Potencia">#REF!</definedName>
    <definedName name="PPAG" localSheetId="0">#REF!</definedName>
    <definedName name="PPAG" localSheetId="2">#REF!</definedName>
    <definedName name="PPAG" localSheetId="1">#REF!</definedName>
    <definedName name="PPAG">#REF!</definedName>
    <definedName name="PPCOFINS" localSheetId="0">#REF!</definedName>
    <definedName name="PPCOFINS" localSheetId="2">#REF!</definedName>
    <definedName name="PPCOFINS" localSheetId="1">#REF!</definedName>
    <definedName name="PPCOFINS">#REF!</definedName>
    <definedName name="PPFRE" localSheetId="0">#REF!</definedName>
    <definedName name="PPFRE" localSheetId="1">#REF!</definedName>
    <definedName name="PPFRE">#REF!</definedName>
    <definedName name="PPICMS" localSheetId="0">#REF!</definedName>
    <definedName name="PPICMS" localSheetId="1">#REF!</definedName>
    <definedName name="PPICMS">#REF!</definedName>
    <definedName name="PPIPI" localSheetId="0">#REF!</definedName>
    <definedName name="PPIPI" localSheetId="1">#REF!</definedName>
    <definedName name="PPIPI">#REF!</definedName>
    <definedName name="pp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IS" localSheetId="0">#REF!</definedName>
    <definedName name="PPPIS" localSheetId="2">#REF!</definedName>
    <definedName name="PPPIS" localSheetId="1">#REF!</definedName>
    <definedName name="PPPIS">#REF!</definedName>
    <definedName name="PPPP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EP" localSheetId="0">#REF!</definedName>
    <definedName name="PPREP" localSheetId="2">#REF!</definedName>
    <definedName name="PPREP" localSheetId="1">#REF!</definedName>
    <definedName name="PPREP">#REF!</definedName>
    <definedName name="PPSAL" localSheetId="0">#REF!</definedName>
    <definedName name="PPSAL" localSheetId="2">#REF!</definedName>
    <definedName name="PPSAL" localSheetId="1">#REF!</definedName>
    <definedName name="PPSAL">#REF!</definedName>
    <definedName name="Print_Area_MI">'[12]#REF'!$A$1:$U$38</definedName>
    <definedName name="Print_Titles_MI" localSheetId="0">#REF!</definedName>
    <definedName name="Print_Titles_MI" localSheetId="2">#REF!</definedName>
    <definedName name="Print_Titles_MI" localSheetId="1">#REF!</definedName>
    <definedName name="Print_Titles_MI">#REF!</definedName>
    <definedName name="priordefini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idade" localSheetId="0">#REF!</definedName>
    <definedName name="Prioridade" localSheetId="2">#REF!</definedName>
    <definedName name="Prioridade" localSheetId="1">#REF!</definedName>
    <definedName name="Prioridade">#REF!</definedName>
    <definedName name="PROJETADO" localSheetId="0">OFFSET(#REF!,#REF!,2,#REF!,1)</definedName>
    <definedName name="PROJETADO" localSheetId="1">OFFSET(#REF!,#REF!,2,#REF!,1)</definedName>
    <definedName name="PROJETADO">OFFSET(#REF!,#REF!,2,#REF!,1)</definedName>
    <definedName name="Projeto" localSheetId="0">#REF!</definedName>
    <definedName name="Projeto" localSheetId="2">#REF!</definedName>
    <definedName name="Projeto" localSheetId="1">#REF!</definedName>
    <definedName name="Projeto">#REF!</definedName>
    <definedName name="PTONSUCATA" localSheetId="0">#REF!</definedName>
    <definedName name="PTONSUCATA" localSheetId="2">#REF!</definedName>
    <definedName name="PTONSUCATA" localSheetId="1">#REF!</definedName>
    <definedName name="PTONSUCATA">#REF!</definedName>
    <definedName name="q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E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" localSheetId="0">#REF!</definedName>
    <definedName name="qq" localSheetId="1">#REF!</definedName>
    <definedName name="qq">#REF!</definedName>
    <definedName name="QQQQQ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S" localSheetId="0">#REF!</definedName>
    <definedName name="QS" localSheetId="1">#REF!</definedName>
    <definedName name="QS">#REF!</definedName>
    <definedName name="qwqww" localSheetId="0">#REF!</definedName>
    <definedName name="qwqww" localSheetId="1">#REF!</definedName>
    <definedName name="qwqww">#REF!</definedName>
    <definedName name="Ramal" localSheetId="0">#REF!</definedName>
    <definedName name="Ramal" localSheetId="2">#REF!</definedName>
    <definedName name="Ramal" localSheetId="1">#REF!</definedName>
    <definedName name="Ramal">#REF!</definedName>
    <definedName name="RDGDCELE" localSheetId="0">#REF!</definedName>
    <definedName name="RDGDCELE" localSheetId="2">#REF!</definedName>
    <definedName name="RDGDCELE" localSheetId="1">#REF!</definedName>
    <definedName name="RDGDCELE">#REF!</definedName>
    <definedName name="RDGDCMEC" localSheetId="0">#REF!</definedName>
    <definedName name="RDGDCMEC" localSheetId="2">#REF!</definedName>
    <definedName name="RDGDCMEC" localSheetId="1">#REF!</definedName>
    <definedName name="RDGDCMEC">#REF!</definedName>
    <definedName name="RD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ttaytauy" localSheetId="0">OFFSET(#REF!,#REF!,0,#REF!,1)</definedName>
    <definedName name="rdttaytauy" localSheetId="1">OFFSET(#REF!,#REF!,0,#REF!,1)</definedName>
    <definedName name="rdttaytauy">OFFSET(#REF!,#REF!,0,#REF!,1)</definedName>
    <definedName name="Reais_por_Hh" localSheetId="0">#REF!</definedName>
    <definedName name="Reais_por_Hh" localSheetId="1">#REF!</definedName>
    <definedName name="Reais_por_Hh">#REF!</definedName>
    <definedName name="Reais_por_Hh_1" localSheetId="0">#REF!</definedName>
    <definedName name="Reais_por_Hh_1" localSheetId="1">#REF!</definedName>
    <definedName name="Reais_por_Hh_1">#REF!</definedName>
    <definedName name="Reais_por_homem" localSheetId="0">#REF!</definedName>
    <definedName name="Reais_por_homem" localSheetId="1">#REF!</definedName>
    <definedName name="Reais_por_homem">#REF!</definedName>
    <definedName name="Reais_por_homem_1" localSheetId="0">#REF!</definedName>
    <definedName name="Reais_por_homem_1" localSheetId="1">#REF!</definedName>
    <definedName name="Reais_por_homem_1">#REF!</definedName>
    <definedName name="Reais_por_Kg" localSheetId="0">#REF!</definedName>
    <definedName name="Reais_por_Kg" localSheetId="1">#REF!</definedName>
    <definedName name="Reais_por_Kg">#REF!</definedName>
    <definedName name="Reais_por_Kg_1" localSheetId="0">#REF!</definedName>
    <definedName name="Reais_por_Kg_1" localSheetId="1">#REF!</definedName>
    <definedName name="Reais_por_Kg_1">#REF!</definedName>
    <definedName name="Reais_por_quilo" localSheetId="0">#REF!</definedName>
    <definedName name="Reais_por_quilo" localSheetId="1">#REF!</definedName>
    <definedName name="Reais_por_quilo">#REF!</definedName>
    <definedName name="Reais_por_quilo_1" localSheetId="0">#REF!</definedName>
    <definedName name="Reais_por_quilo_1" localSheetId="1">#REF!</definedName>
    <definedName name="Reais_por_quilo_1">#REF!</definedName>
    <definedName name="REALIZADO" localSheetId="0">OFFSET(#REF!,#REF!,3,#REF!,1)</definedName>
    <definedName name="REALIZADO" localSheetId="1">OFFSET(#REF!,#REF!,3,#REF!,1)</definedName>
    <definedName name="REALIZADO">OFFSET(#REF!,#REF!,3,#REF!,1)</definedName>
    <definedName name="receita" localSheetId="0">#REF!</definedName>
    <definedName name="receita" localSheetId="2">#REF!</definedName>
    <definedName name="receita" localSheetId="1">#REF!</definedName>
    <definedName name="receita">#REF!</definedName>
    <definedName name="reewewe" localSheetId="0">#REF!</definedName>
    <definedName name="reewewe" localSheetId="1">#REF!</definedName>
    <definedName name="reewewe">#REF!</definedName>
    <definedName name="remoções" localSheetId="0">#REF!</definedName>
    <definedName name="remoções" localSheetId="2">#REF!</definedName>
    <definedName name="remoções" localSheetId="1">#REF!</definedName>
    <definedName name="remoções">#REF!</definedName>
    <definedName name="Rendimento" localSheetId="0">#REF!</definedName>
    <definedName name="Rendimento" localSheetId="2">#REF!</definedName>
    <definedName name="Rendimento" localSheetId="1">#REF!</definedName>
    <definedName name="Rendimento">#REF!</definedName>
    <definedName name="rertrw" localSheetId="0">#REF!</definedName>
    <definedName name="rertrw" localSheetId="1">#REF!</definedName>
    <definedName name="rertrw">#REF!</definedName>
    <definedName name="Responsavel" localSheetId="0">#REF!</definedName>
    <definedName name="Responsavel" localSheetId="1">#REF!</definedName>
    <definedName name="Responsavel">#REF!</definedName>
    <definedName name="resultadorendimento" localSheetId="0">#REF!</definedName>
    <definedName name="resultadorendimento" localSheetId="1">#REF!</definedName>
    <definedName name="resultadorendimento">#REF!</definedName>
    <definedName name="retro" localSheetId="0">#REF!</definedName>
    <definedName name="retro" localSheetId="1">#REF!</definedName>
    <definedName name="retro">#REF!</definedName>
    <definedName name="REV." localSheetId="0">#REF!</definedName>
    <definedName name="REV." localSheetId="1">#REF!</definedName>
    <definedName name="REV.">#REF!</definedName>
    <definedName name="REWEWER" localSheetId="0">#REF!</definedName>
    <definedName name="REWEWER" localSheetId="1">#REF!</definedName>
    <definedName name="REWEWER">#REF!</definedName>
    <definedName name="rewqe" localSheetId="0">#REF!</definedName>
    <definedName name="rewqe" localSheetId="1">#REF!</definedName>
    <definedName name="rewqe">#REF!</definedName>
    <definedName name="REWREWE" localSheetId="0">#REF!</definedName>
    <definedName name="REWREWE" localSheetId="1">#REF!</definedName>
    <definedName name="REWREWE">#REF!</definedName>
    <definedName name="rewtqw" localSheetId="0">#REF!</definedName>
    <definedName name="rewtqw" localSheetId="1">#REF!</definedName>
    <definedName name="rewtqw">#REF!</definedName>
    <definedName name="REWYYTYYT" localSheetId="0">#REF!</definedName>
    <definedName name="REWYYTYYT" localSheetId="1">#REF!</definedName>
    <definedName name="REWYYTYYT">#REF!</definedName>
    <definedName name="RF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JMODELE" localSheetId="0">#REF!</definedName>
    <definedName name="RJMODELE" localSheetId="2">#REF!</definedName>
    <definedName name="RJMODELE" localSheetId="1">#REF!</definedName>
    <definedName name="RJMODELE">#REF!</definedName>
    <definedName name="RJMODMEC" localSheetId="0">#REF!</definedName>
    <definedName name="RJMODMEC" localSheetId="2">#REF!</definedName>
    <definedName name="RJMODMEC" localSheetId="1">#REF!</definedName>
    <definedName name="RJMODMEC">#REF!</definedName>
    <definedName name="RMOIENGELE" localSheetId="0">#REF!</definedName>
    <definedName name="RMOIENGELE" localSheetId="2">#REF!</definedName>
    <definedName name="RMOIENGELE" localSheetId="1">#REF!</definedName>
    <definedName name="RMOIENGELE">#REF!</definedName>
    <definedName name="RMOIENGMEC" localSheetId="0">#REF!</definedName>
    <definedName name="RMOIENGMEC" localSheetId="1">#REF!</definedName>
    <definedName name="RMOIENGMEC">#REF!</definedName>
    <definedName name="RMOIMONELE" localSheetId="0">#REF!</definedName>
    <definedName name="RMOIMONELE" localSheetId="1">#REF!</definedName>
    <definedName name="RMOIMONELE">#REF!</definedName>
    <definedName name="RMOIMONMEC" localSheetId="0">#REF!</definedName>
    <definedName name="RMOIMONMEC" localSheetId="1">#REF!</definedName>
    <definedName name="RMOIMONMEC">#REF!</definedName>
    <definedName name="RMOIPROELE" localSheetId="0">#REF!</definedName>
    <definedName name="RMOIPROELE" localSheetId="1">#REF!</definedName>
    <definedName name="RMOIPROELE">#REF!</definedName>
    <definedName name="RMOIPROMEC" localSheetId="0">#REF!</definedName>
    <definedName name="RMOIPROMEC" localSheetId="1">#REF!</definedName>
    <definedName name="RMOIPROMEC">#REF!</definedName>
    <definedName name="Roce" localSheetId="0">#REF!</definedName>
    <definedName name="Roce" localSheetId="1">#REF!</definedName>
    <definedName name="Roce">#REF!</definedName>
    <definedName name="ROLETETRIPLO">[31]COMP_ROLO!$A$5:$B$20</definedName>
    <definedName name="rrewtrwe" localSheetId="0">#REF!</definedName>
    <definedName name="rrewtrwe" localSheetId="1">#REF!</definedName>
    <definedName name="rrewtrwe">#REF!</definedName>
    <definedName name="rrrwewe" localSheetId="0">OFFSET(#REF!,#REF!,3,#REF!,1)</definedName>
    <definedName name="rrrwewe" localSheetId="1">OFFSET(#REF!,#REF!,3,#REF!,1)</definedName>
    <definedName name="rrrwewe">OFFSET(#REF!,#REF!,3,#REF!,1)</definedName>
    <definedName name="rrttt" localSheetId="0">#REF!</definedName>
    <definedName name="rrttt" localSheetId="1">#REF!</definedName>
    <definedName name="rrttt">#REF!</definedName>
    <definedName name="rteerrr" localSheetId="0">#REF!</definedName>
    <definedName name="rteerrr" localSheetId="1">#REF!</definedName>
    <definedName name="rteerrr">#REF!</definedName>
    <definedName name="rteteterw" localSheetId="0">#REF!</definedName>
    <definedName name="rteteterw" localSheetId="1">#REF!</definedName>
    <definedName name="rteteterw">#REF!</definedName>
    <definedName name="RTREYUU" localSheetId="0">#REF!</definedName>
    <definedName name="RTREYUU" localSheetId="1">#REF!</definedName>
    <definedName name="RTREYUU">#REF!</definedName>
    <definedName name="rtrtrtt" localSheetId="0">#REF!</definedName>
    <definedName name="rtrtrtt" localSheetId="1">#REF!</definedName>
    <definedName name="rtrtrtt">#REF!</definedName>
    <definedName name="rtteytr" localSheetId="0">#REF!</definedName>
    <definedName name="rtteytr" localSheetId="1">#REF!</definedName>
    <definedName name="rtteytr">#REF!</definedName>
    <definedName name="RTTRTRE" localSheetId="0">#REF!</definedName>
    <definedName name="RTTRTRE" localSheetId="1">#REF!</definedName>
    <definedName name="RTTRTRE">#REF!</definedName>
    <definedName name="rttytrt" localSheetId="0">#REF!</definedName>
    <definedName name="rttytrt" localSheetId="1">#REF!</definedName>
    <definedName name="rttytrt">#REF!</definedName>
    <definedName name="rweqqwe" localSheetId="0">#REF!</definedName>
    <definedName name="rweqqwe" localSheetId="1">#REF!</definedName>
    <definedName name="rweqqwe">#REF!</definedName>
    <definedName name="rwtrwesrw" localSheetId="0">#REF!</definedName>
    <definedName name="rwtrwesrw" localSheetId="1">#REF!</definedName>
    <definedName name="rwtrwesrw">#REF!</definedName>
    <definedName name="RYUTEI" localSheetId="0">#REF!</definedName>
    <definedName name="RYUTEI" localSheetId="1">#REF!</definedName>
    <definedName name="RYUTEI">#REF!</definedName>
    <definedName name="S" localSheetId="0">#REF!</definedName>
    <definedName name="S" localSheetId="1">#REF!</definedName>
    <definedName name="S">#REF!</definedName>
    <definedName name="SADASD" localSheetId="0">#REF!</definedName>
    <definedName name="SADASD" localSheetId="1">#REF!</definedName>
    <definedName name="SADASD">#REF!</definedName>
    <definedName name="Salaforno" localSheetId="0" hidden="1">{"'Plan1'!$B$10","'Plan1'!$A$1","'Plan1'!$C$2:$N$28"}</definedName>
    <definedName name="Salaforno" localSheetId="2" hidden="1">{"'Plan1'!$B$10","'Plan1'!$A$1","'Plan1'!$C$2:$N$28"}</definedName>
    <definedName name="Salaforno" localSheetId="1" hidden="1">{"'Plan1'!$B$10","'Plan1'!$A$1","'Plan1'!$C$2:$N$28"}</definedName>
    <definedName name="Salaforno" hidden="1">{"'Plan1'!$B$10","'Plan1'!$A$1","'Plan1'!$C$2:$N$28"}</definedName>
    <definedName name="SALARIO_BRUTO">[32]CD!#REF!</definedName>
    <definedName name="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rsweraswae" localSheetId="0">#REF!</definedName>
    <definedName name="sdrsweraswae" localSheetId="1">#REF!</definedName>
    <definedName name="sdrsweraswae">#REF!</definedName>
    <definedName name="SE" localSheetId="0">#REF!</definedName>
    <definedName name="SE" localSheetId="1">#REF!</definedName>
    <definedName name="SE">#REF!</definedName>
    <definedName name="semana" localSheetId="0">#REF!</definedName>
    <definedName name="semana" localSheetId="1">#REF!</definedName>
    <definedName name="semana">#REF!</definedName>
    <definedName name="sencount" hidden="1">1</definedName>
    <definedName name="serviçõs" localSheetId="0">#REF!</definedName>
    <definedName name="serviçõs" localSheetId="2">#REF!</definedName>
    <definedName name="serviçõs" localSheetId="1">#REF!</definedName>
    <definedName name="serviçõs">#REF!</definedName>
    <definedName name="Set" localSheetId="0">#REF!</definedName>
    <definedName name="Set" localSheetId="1">#REF!</definedName>
    <definedName name="Set">#REF!</definedName>
    <definedName name="sffrrew" localSheetId="0">#REF!</definedName>
    <definedName name="sffrrew" localSheetId="1">#REF!</definedName>
    <definedName name="sffrrew">#REF!</definedName>
    <definedName name="SFIN" localSheetId="0">#REF!</definedName>
    <definedName name="SFIN" localSheetId="1">#REF!</definedName>
    <definedName name="SFIN">#REF!</definedName>
    <definedName name="SGG" localSheetId="0">#REF!</definedName>
    <definedName name="SGG" localSheetId="1">#REF!</definedName>
    <definedName name="SGG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0">[19]FINAME!#REF!</definedName>
    <definedName name="SOMA" localSheetId="2">[19]FINAME!#REF!</definedName>
    <definedName name="SOMA" localSheetId="1">[19]FINAME!#REF!</definedName>
    <definedName name="SOMA">[19]FINAME!#REF!</definedName>
    <definedName name="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TATUS_FROTA" localSheetId="0">OFFSET(#REF!,1,0,COUNTA(#REF!)-1,1)</definedName>
    <definedName name="STATUS_FROTA" localSheetId="1">OFFSET(#REF!,1,0,COUNTA(#REF!)-1,1)</definedName>
    <definedName name="STATUS_FROTA">OFFSET(#REF!,1,0,COUNTA(#REF!)-1,1)</definedName>
    <definedName name="Subestação" localSheetId="0">#REF!</definedName>
    <definedName name="Subestação" localSheetId="2">#REF!</definedName>
    <definedName name="Subestação" localSheetId="1">#REF!</definedName>
    <definedName name="Subestação">#REF!</definedName>
    <definedName name="Subtotal_consumíveis" localSheetId="0">#REF!</definedName>
    <definedName name="Subtotal_consumíveis" localSheetId="1">#REF!</definedName>
    <definedName name="Subtotal_consumíveis">#REF!</definedName>
    <definedName name="Subtotal_consumíveis_1" localSheetId="0">#REF!</definedName>
    <definedName name="Subtotal_consumíveis_1" localSheetId="1">#REF!</definedName>
    <definedName name="Subtotal_consumíveis_1">#REF!</definedName>
    <definedName name="Subtotal_mão_de_obra" localSheetId="0">#REF!</definedName>
    <definedName name="Subtotal_mão_de_obra" localSheetId="1">#REF!</definedName>
    <definedName name="Subtotal_mão_de_obra">#REF!</definedName>
    <definedName name="Subtotal_mão_de_obra_1" localSheetId="0">#REF!</definedName>
    <definedName name="Subtotal_mão_de_obra_1" localSheetId="1">#REF!</definedName>
    <definedName name="Subtotal_mão_de_obra_1">#REF!</definedName>
    <definedName name="Subtotal_mão_de_obra_direta" localSheetId="0">#REF!</definedName>
    <definedName name="Subtotal_mão_de_obra_direta" localSheetId="1">#REF!</definedName>
    <definedName name="Subtotal_mão_de_obra_direta">#REF!</definedName>
    <definedName name="Subtotal_mão_de_obra_direta_1" localSheetId="0">#REF!</definedName>
    <definedName name="Subtotal_mão_de_obra_direta_1" localSheetId="1">#REF!</definedName>
    <definedName name="Subtotal_mão_de_obra_direta_1">#REF!</definedName>
    <definedName name="Subtotal_mão_de_obra_indireta" localSheetId="0">#REF!</definedName>
    <definedName name="Subtotal_mão_de_obra_indireta" localSheetId="1">#REF!</definedName>
    <definedName name="Subtotal_mão_de_obra_indireta">#REF!</definedName>
    <definedName name="Subtotal_mão_de_obra_indireta_1" localSheetId="0">#REF!</definedName>
    <definedName name="Subtotal_mão_de_obra_indireta_1" localSheetId="1">#REF!</definedName>
    <definedName name="Subtotal_mão_de_obra_indireta_1">#REF!</definedName>
    <definedName name="Subtotal_máquinas" localSheetId="0">#REF!</definedName>
    <definedName name="Subtotal_máquinas" localSheetId="1">#REF!</definedName>
    <definedName name="Subtotal_máquinas">#REF!</definedName>
    <definedName name="Subtotal_máquinas_1" localSheetId="0">#REF!</definedName>
    <definedName name="Subtotal_máquinas_1" localSheetId="1">#REF!</definedName>
    <definedName name="Subtotal_máquinas_1">#REF!</definedName>
    <definedName name="Subtotal_matéria_prima" localSheetId="0">#REF!</definedName>
    <definedName name="Subtotal_matéria_prima" localSheetId="1">#REF!</definedName>
    <definedName name="Subtotal_matéria_prima">#REF!</definedName>
    <definedName name="Subtotal_matéria_prima_1" localSheetId="0">#REF!</definedName>
    <definedName name="Subtotal_matéria_prima_1" localSheetId="1">#REF!</definedName>
    <definedName name="Subtotal_matéria_prima_1">#REF!</definedName>
    <definedName name="Subtotal_serviços_terceirizados" localSheetId="0">#REF!</definedName>
    <definedName name="Subtotal_serviços_terceirizados" localSheetId="1">#REF!</definedName>
    <definedName name="Subtotal_serviços_terceirizados">#REF!</definedName>
    <definedName name="Subtotal_serviços_terceirizados_1" localSheetId="0">#REF!</definedName>
    <definedName name="Subtotal_serviços_terceirizados_1" localSheetId="1">#REF!</definedName>
    <definedName name="Subtotal_serviços_terceirizados_1">#REF!</definedName>
    <definedName name="Subtotal_taue" localSheetId="0">#REF!</definedName>
    <definedName name="Subtotal_taue" localSheetId="1">#REF!</definedName>
    <definedName name="Subtotal_taue">#REF!</definedName>
    <definedName name="Subtotal_taue_1" localSheetId="0">#REF!</definedName>
    <definedName name="Subtotal_taue_1" localSheetId="1">#REF!</definedName>
    <definedName name="Subtotal_taue_1">#REF!</definedName>
    <definedName name="T" localSheetId="0">#REF!</definedName>
    <definedName name="T" localSheetId="2">#REF!</definedName>
    <definedName name="T" localSheetId="1">#REF!</definedName>
    <definedName name="T">#REF!</definedName>
    <definedName name="tab_mancal" localSheetId="0">#REF!</definedName>
    <definedName name="tab_mancal" localSheetId="2">#REF!</definedName>
    <definedName name="tab_mancal" localSheetId="1">#REF!</definedName>
    <definedName name="tab_mancal">#REF!</definedName>
    <definedName name="TABEFET" localSheetId="0">#REF!</definedName>
    <definedName name="TABEFET" localSheetId="1">#REF!</definedName>
    <definedName name="TABEFET">#REF!</definedName>
    <definedName name="TABELA" localSheetId="0">#REF!</definedName>
    <definedName name="TABELA" localSheetId="1">#REF!</definedName>
    <definedName name="TABELA">#REF!</definedName>
    <definedName name="TABELA01" localSheetId="0">#REF!</definedName>
    <definedName name="TABELA01" localSheetId="1">#REF!</definedName>
    <definedName name="TABELA01">#REF!</definedName>
    <definedName name="TABELA02" localSheetId="0">#REF!</definedName>
    <definedName name="TABELA02" localSheetId="1">#REF!</definedName>
    <definedName name="TABELA02">#REF!</definedName>
    <definedName name="tabela03" localSheetId="0">#REF!</definedName>
    <definedName name="tabela03" localSheetId="1">#REF!</definedName>
    <definedName name="tabela03">#REF!</definedName>
    <definedName name="tabela2" localSheetId="0">#REF!</definedName>
    <definedName name="tabela2" localSheetId="1">#REF!</definedName>
    <definedName name="tabela2">#REF!</definedName>
    <definedName name="tabelaDenominação" localSheetId="0">#REF!</definedName>
    <definedName name="tabelaDenominação" localSheetId="1">#REF!</definedName>
    <definedName name="tabelaDenominação">#REF!</definedName>
    <definedName name="TableName">"Dummy"</definedName>
    <definedName name="TABMAX" localSheetId="0">#REF!</definedName>
    <definedName name="TABMAX" localSheetId="2">#REF!</definedName>
    <definedName name="TABMAX" localSheetId="1">#REF!</definedName>
    <definedName name="TABMAX">#REF!</definedName>
    <definedName name="TABMIN" localSheetId="0">#REF!</definedName>
    <definedName name="TABMIN" localSheetId="2">#REF!</definedName>
    <definedName name="TABMIN" localSheetId="1">#REF!</definedName>
    <definedName name="TABMIN">#REF!</definedName>
    <definedName name="Tag_Carga" localSheetId="0">#REF!</definedName>
    <definedName name="Tag_Carga" localSheetId="2">#REF!</definedName>
    <definedName name="Tag_Carga" localSheetId="1">#REF!</definedName>
    <definedName name="Tag_Carga">#REF!</definedName>
    <definedName name="Tag_CCM" localSheetId="0">#REF!</definedName>
    <definedName name="Tag_CCM" localSheetId="1">#REF!</definedName>
    <definedName name="Tag_CCM">#REF!</definedName>
    <definedName name="TBF" localSheetId="0">#REF!</definedName>
    <definedName name="TBF" localSheetId="1">#REF!</definedName>
    <definedName name="TBF">#REF!</definedName>
    <definedName name="telaA" localSheetId="0">[8]!telaA</definedName>
    <definedName name="telaA" localSheetId="2">[8]!telaA</definedName>
    <definedName name="telaA" localSheetId="1">[8]!telaA</definedName>
    <definedName name="telaA">[8]!telaA</definedName>
    <definedName name="telaC" localSheetId="0">[8]!telaC</definedName>
    <definedName name="telaC" localSheetId="2">[8]!telaC</definedName>
    <definedName name="telaC" localSheetId="1">[8]!telaC</definedName>
    <definedName name="telaC">[8]!telaC</definedName>
    <definedName name="TEMPO" localSheetId="0">#REF!</definedName>
    <definedName name="TEMPO" localSheetId="2">#REF!</definedName>
    <definedName name="TEMPO" localSheetId="1">#REF!</definedName>
    <definedName name="TEMPO">#REF!</definedName>
    <definedName name="TE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>[33]Canteiro!$D$58*2*9/1.23</definedName>
    <definedName name="TESTE2" localSheetId="0">#REF!</definedName>
    <definedName name="TESTE2" localSheetId="2">#REF!</definedName>
    <definedName name="TESTE2" localSheetId="1">#REF!</definedName>
    <definedName name="TESTE2">#REF!</definedName>
    <definedName name="tfdsysauyas" localSheetId="0">#REF!</definedName>
    <definedName name="tfdsysauyas" localSheetId="1">#REF!</definedName>
    <definedName name="tfdsysauyas">#REF!</definedName>
    <definedName name="TF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htyyet" localSheetId="0">#REF!</definedName>
    <definedName name="thtyyet" localSheetId="1">#REF!</definedName>
    <definedName name="thtyyet">#REF!</definedName>
    <definedName name="Tipo" localSheetId="0">#REF!</definedName>
    <definedName name="Tipo" localSheetId="2">#REF!</definedName>
    <definedName name="Tipo" localSheetId="1">#REF!</definedName>
    <definedName name="Tipo">#REF!</definedName>
    <definedName name="TIPO_CUSTO" localSheetId="0">OFFSET(#REF!,0,0,COUNTA(#REF!),1)</definedName>
    <definedName name="TIPO_CUSTO" localSheetId="1">OFFSET(#REF!,0,0,COUNTA(#REF!),1)</definedName>
    <definedName name="TIPO_CUSTO">OFFSET(#REF!,0,0,COUNTA(#REF!),1)</definedName>
    <definedName name="tipo_tamb" localSheetId="0">#REF!</definedName>
    <definedName name="tipo_tamb" localSheetId="2">#REF!</definedName>
    <definedName name="tipo_tamb" localSheetId="1">#REF!</definedName>
    <definedName name="tipo_tamb">#REF!</definedName>
    <definedName name="TIR" localSheetId="0">#REF!</definedName>
    <definedName name="TIR" localSheetId="2">#REF!</definedName>
    <definedName name="TIR" localSheetId="1">#REF!</definedName>
    <definedName name="TIR">#REF!</definedName>
    <definedName name="_xlnm.Print_Titles" localSheetId="0">'RESUM. MAN. PREV. ABRIL'!$1:$5</definedName>
    <definedName name="_xlnm.Print_Titles" localSheetId="2">'RESUM. MAN. PREV. JUNHO'!$1:$5</definedName>
    <definedName name="_xlnm.Print_Titles" localSheetId="1">'RESUM. MAN. PREV. MAIO'!$1:$5</definedName>
    <definedName name="Títulos_impressão_IM" localSheetId="0">[34]MCBR!#REF!</definedName>
    <definedName name="Títulos_impressão_IM" localSheetId="2">[34]MCBR!#REF!</definedName>
    <definedName name="Títulos_impressão_IM" localSheetId="1">[34]MCBR!#REF!</definedName>
    <definedName name="Títulos_impressão_IM">[34]MCBR!#REF!</definedName>
    <definedName name="tiuiririopopf" localSheetId="0">#REF!</definedName>
    <definedName name="tiuiririopopf" localSheetId="1">#REF!</definedName>
    <definedName name="tiuiririopopf">#REF!</definedName>
    <definedName name="Total_Geral" localSheetId="0">#REF!</definedName>
    <definedName name="Total_Geral" localSheetId="1">#REF!</definedName>
    <definedName name="Total_Geral">#REF!</definedName>
    <definedName name="Total_Geral_1" localSheetId="0">#REF!</definedName>
    <definedName name="Total_Geral_1" localSheetId="1">#REF!</definedName>
    <definedName name="Total_Geral_1">#REF!</definedName>
    <definedName name="TR" localSheetId="0">#REF!</definedName>
    <definedName name="TR" localSheetId="2">#REF!</definedName>
    <definedName name="TR" localSheetId="1">#REF!</definedName>
    <definedName name="TR">#REF!</definedName>
    <definedName name="transp3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E" localSheetId="0">#REF!</definedName>
    <definedName name="TREE" localSheetId="1">#REF!</definedName>
    <definedName name="TREE">#REF!</definedName>
    <definedName name="trey" localSheetId="0">#REF!</definedName>
    <definedName name="trey" localSheetId="1">#REF!</definedName>
    <definedName name="trey">#REF!</definedName>
    <definedName name="trtr" localSheetId="0">#REF!</definedName>
    <definedName name="trtr" localSheetId="1">#REF!</definedName>
    <definedName name="trtr">#REF!</definedName>
    <definedName name="TRYREGFHF" localSheetId="0">#REF!</definedName>
    <definedName name="TRYREGFHF" localSheetId="1">#REF!</definedName>
    <definedName name="TRYREGFHF">#REF!</definedName>
    <definedName name="tryrwser" localSheetId="0">#REF!</definedName>
    <definedName name="tryrwser" localSheetId="1">#REF!</definedName>
    <definedName name="tryrwser">#REF!</definedName>
    <definedName name="TRYTRWWPL066" localSheetId="0">#REF!</definedName>
    <definedName name="TRYTRWWPL066" localSheetId="1">#REF!</definedName>
    <definedName name="TRYTRWWPL066">#REF!</definedName>
    <definedName name="tryuyuiyiuyg" localSheetId="0">#REF!</definedName>
    <definedName name="tryuyuiyiuyg" localSheetId="1">#REF!</definedName>
    <definedName name="tryuyuiyiuyg">#REF!</definedName>
    <definedName name="TRYYUR" localSheetId="0">#REF!</definedName>
    <definedName name="TRYYUR" localSheetId="1">#REF!</definedName>
    <definedName name="TRYYUR">#REF!</definedName>
    <definedName name="ttrret" localSheetId="0">#REF!</definedName>
    <definedName name="ttrret" localSheetId="1">#REF!</definedName>
    <definedName name="ttrret">#REF!</definedName>
    <definedName name="ttrrrrrr" localSheetId="0">#REF!</definedName>
    <definedName name="ttrrrrrr" localSheetId="1">#REF!</definedName>
    <definedName name="ttrrrrrr">#REF!</definedName>
    <definedName name="tttteryre" localSheetId="0">#REF!</definedName>
    <definedName name="tttteryre" localSheetId="1">#REF!</definedName>
    <definedName name="tttteryre">#REF!</definedName>
    <definedName name="ttttt" localSheetId="0">#REF!</definedName>
    <definedName name="ttttt" localSheetId="2">#REF!</definedName>
    <definedName name="ttttt" localSheetId="1">#REF!</definedName>
    <definedName name="ttttt">#REF!</definedName>
    <definedName name="ttyyttt" localSheetId="0">#REF!</definedName>
    <definedName name="ttyyttt" localSheetId="1">#REF!</definedName>
    <definedName name="ttyyttt">#REF!</definedName>
    <definedName name="TXREMATI" localSheetId="0">#REF!</definedName>
    <definedName name="TXREMATI" localSheetId="2">#REF!</definedName>
    <definedName name="TXREMATI" localSheetId="1">#REF!</definedName>
    <definedName name="TXREMATI">#REF!</definedName>
    <definedName name="tyriiofofp" localSheetId="0">#REF!</definedName>
    <definedName name="tyriiofofp" localSheetId="1">#REF!</definedName>
    <definedName name="tyriiofofp">#REF!</definedName>
    <definedName name="tyryruui" localSheetId="0">#REF!</definedName>
    <definedName name="tyryruui" localSheetId="1">#REF!</definedName>
    <definedName name="tyryruui">#REF!</definedName>
    <definedName name="tyryruuru" localSheetId="0">#REF!</definedName>
    <definedName name="tyryruuru" localSheetId="1">#REF!</definedName>
    <definedName name="tyryruuru">#REF!</definedName>
    <definedName name="tytttyt" localSheetId="0">#REF!</definedName>
    <definedName name="tytttyt" localSheetId="1">#REF!</definedName>
    <definedName name="tytttyt">#REF!</definedName>
    <definedName name="TYUTIRTEYTU" localSheetId="0">#REF!</definedName>
    <definedName name="TYUTIRTEYTU" localSheetId="1">#REF!</definedName>
    <definedName name="TYUTIRTEYTU">#REF!</definedName>
    <definedName name="tyytoiuiuoiuoiuh" localSheetId="0">#REF!</definedName>
    <definedName name="tyytoiuiuoiuoiuh" localSheetId="1">#REF!</definedName>
    <definedName name="tyytoiuiuoiuoiuh">#REF!</definedName>
    <definedName name="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IRERT" localSheetId="0">#REF!</definedName>
    <definedName name="UIRERT" localSheetId="1">#REF!</definedName>
    <definedName name="UIRERT">#REF!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A" localSheetId="0">#REF!</definedName>
    <definedName name="USA" localSheetId="2">#REF!</definedName>
    <definedName name="USA" localSheetId="1">#REF!</definedName>
    <definedName name="USA">#REF!</definedName>
    <definedName name="Utlidades2" localSheetId="0">#REF!</definedName>
    <definedName name="Utlidades2" localSheetId="2">#REF!</definedName>
    <definedName name="Utlidades2" localSheetId="1">#REF!</definedName>
    <definedName name="Utlidades2">#REF!</definedName>
    <definedName name="UUUU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yuewyuyruoierp" localSheetId="0">#REF!</definedName>
    <definedName name="uyuewyuyruoierp" localSheetId="1">#REF!</definedName>
    <definedName name="uyuewyuyruoierp">#REF!</definedName>
    <definedName name="uyuyituiyui" localSheetId="0">#REF!</definedName>
    <definedName name="uyuyituiyui" localSheetId="1">#REF!</definedName>
    <definedName name="uyuyituiyui">#REF!</definedName>
    <definedName name="uyyu" localSheetId="0">#REF!</definedName>
    <definedName name="uyyu" localSheetId="1">#REF!</definedName>
    <definedName name="uyyu">#REF!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alAcurl" localSheetId="0">#REF!</definedName>
    <definedName name="ValAcurl" localSheetId="2">#REF!</definedName>
    <definedName name="ValAcurl" localSheetId="1">#REF!</definedName>
    <definedName name="ValAcurl">#REF!</definedName>
    <definedName name="Valchvrl" localSheetId="0">#REF!</definedName>
    <definedName name="Valchvrl" localSheetId="2">#REF!</definedName>
    <definedName name="Valchvrl" localSheetId="1">#REF!</definedName>
    <definedName name="Valchvrl">#REF!</definedName>
    <definedName name="VALORCD" localSheetId="0">[19]FINAME!#REF!</definedName>
    <definedName name="VALORCD" localSheetId="2">[19]FINAME!#REF!</definedName>
    <definedName name="VALORCD" localSheetId="1">[19]FINAME!#REF!</definedName>
    <definedName name="VALORCD">[19]FINAME!#REF!</definedName>
    <definedName name="valorcomiof" localSheetId="0">[19]FINAME!#REF!</definedName>
    <definedName name="valorcomiof" localSheetId="2">[19]FINAME!#REF!</definedName>
    <definedName name="valorcomiof" localSheetId="1">[19]FINAME!#REF!</definedName>
    <definedName name="valorcomiof">[19]FINAME!#REF!</definedName>
    <definedName name="VALORES_VALORES_Listar" localSheetId="0">#REF!</definedName>
    <definedName name="VALORES_VALORES_Listar" localSheetId="1">#REF!</definedName>
    <definedName name="VALORES_VALORES_Listar">#REF!</definedName>
    <definedName name="VALORES_VALORES_Listar_1" localSheetId="0">#REF!</definedName>
    <definedName name="VALORES_VALORES_Listar_1" localSheetId="1">#REF!</definedName>
    <definedName name="VALORES_VALORES_Listar_1">#REF!</definedName>
    <definedName name="VB" localSheetId="0">#REF!</definedName>
    <definedName name="VB" localSheetId="1">#REF!</definedName>
    <definedName name="VB">#REF!</definedName>
    <definedName name="VCW" localSheetId="0">#REF!</definedName>
    <definedName name="VCW" localSheetId="1">#REF!</definedName>
    <definedName name="VCW">#REF!</definedName>
    <definedName name="VD" localSheetId="0">#REF!</definedName>
    <definedName name="VD" localSheetId="1">#REF!</definedName>
    <definedName name="VD">#REF!</definedName>
    <definedName name="VD_1" localSheetId="0">#REF!</definedName>
    <definedName name="VD_1" localSheetId="1">#REF!</definedName>
    <definedName name="VD_1">#REF!</definedName>
    <definedName name="VDSV" localSheetId="0">#REF!</definedName>
    <definedName name="VDSV" localSheetId="1">#REF!</definedName>
    <definedName name="VDSV">#REF!</definedName>
    <definedName name="Verba" localSheetId="0">#REF!</definedName>
    <definedName name="Verba" localSheetId="2">#REF!</definedName>
    <definedName name="Verba" localSheetId="1">#REF!</definedName>
    <definedName name="Verba">#REF!</definedName>
    <definedName name="VGVSVS" localSheetId="0">#REF!</definedName>
    <definedName name="VGVSVS" localSheetId="1">#REF!</definedName>
    <definedName name="VGVSVS">#REF!</definedName>
    <definedName name="V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oith4">[21]Voith!$A$1:$D$28</definedName>
    <definedName name="voith6">[21]Voith!$F$1:$I$28</definedName>
    <definedName name="VOL_ACUM" localSheetId="0">'[11]Fresagem de Pista Ago-98'!#REF!</definedName>
    <definedName name="VOL_ACUM" localSheetId="2">'[11]Fresagem de Pista Ago-98'!#REF!</definedName>
    <definedName name="VOL_ACUM" localSheetId="1">'[11]Fresagem de Pista Ago-98'!#REF!</definedName>
    <definedName name="VOL_ACUM">'[11]Fresagem de Pista Ago-98'!#REF!</definedName>
    <definedName name="VOLUME" localSheetId="0">'[11]Fresagem de Pista Ago-98'!#REF!</definedName>
    <definedName name="VOLUME" localSheetId="2">'[11]Fresagem de Pista Ago-98'!#REF!</definedName>
    <definedName name="VOLUME" localSheetId="1">'[11]Fresagem de Pista Ago-98'!#REF!</definedName>
    <definedName name="VOLUME">'[11]Fresagem de Pista Ago-98'!#REF!</definedName>
    <definedName name="VPI" localSheetId="0">#REF!</definedName>
    <definedName name="VPI" localSheetId="2">#REF!</definedName>
    <definedName name="VPI" localSheetId="1">#REF!</definedName>
    <definedName name="VPI">#REF!</definedName>
    <definedName name="VPL" localSheetId="0">#REF!</definedName>
    <definedName name="VPL" localSheetId="2">#REF!</definedName>
    <definedName name="VPL" localSheetId="1">#REF!</definedName>
    <definedName name="VPL">#REF!</definedName>
    <definedName name="VPLperp">'[14]VPL-FCA'!$F$18</definedName>
    <definedName name="Vutil" localSheetId="0">#REF!</definedName>
    <definedName name="Vutil" localSheetId="2">#REF!</definedName>
    <definedName name="Vutil" localSheetId="1">#REF!</definedName>
    <definedName name="Vutil">#REF!</definedName>
    <definedName name="vvv" localSheetId="0">#REF!</definedName>
    <definedName name="vvv" localSheetId="1">#REF!</definedName>
    <definedName name="vvv">#REF!</definedName>
    <definedName name="vvv_1" localSheetId="0">#REF!</definedName>
    <definedName name="vvv_1" localSheetId="1">#REF!</definedName>
    <definedName name="vvv_1">#REF!</definedName>
    <definedName name="VVV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cc1" localSheetId="0">#REF!</definedName>
    <definedName name="wacc1" localSheetId="2">#REF!</definedName>
    <definedName name="wacc1" localSheetId="1">#REF!</definedName>
    <definedName name="wacc1">#REF!</definedName>
    <definedName name="weeer" localSheetId="0">#REF!</definedName>
    <definedName name="weeer" localSheetId="1">#REF!</definedName>
    <definedName name="weeer">#REF!</definedName>
    <definedName name="weewwee" localSheetId="0">#REF!</definedName>
    <definedName name="weewwee" localSheetId="1">#REF!</definedName>
    <definedName name="weewwee">#REF!</definedName>
    <definedName name="WERREWQ" localSheetId="0">#REF!</definedName>
    <definedName name="WERREWQ" localSheetId="1">#REF!</definedName>
    <definedName name="WERREWQ">#REF!</definedName>
    <definedName name="WEWEERWE" localSheetId="0">#REF!</definedName>
    <definedName name="WEWEERWE" localSheetId="1">#REF!</definedName>
    <definedName name="WEWEERWE">#REF!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QEQWEEWE" localSheetId="0">#REF!</definedName>
    <definedName name="WQEQWEEWE" localSheetId="1">#REF!</definedName>
    <definedName name="WQEQWEEWE">#REF!</definedName>
    <definedName name="wrn.CUSTO._.DE._.PRODUÇÃO._.MINA._.DE._.MANGANES._.DO._.AZUL." localSheetId="0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localSheetId="2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localSheetId="1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localSheetId="1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l.custo._.xl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localSheetId="1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localSheetId="1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xl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localSheetId="1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PAC.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" localSheetId="0">#REF!</definedName>
    <definedName name="ww" localSheetId="1">#REF!</definedName>
    <definedName name="ww">#REF!</definedName>
    <definedName name="ww_1" localSheetId="0">#REF!</definedName>
    <definedName name="ww_1" localSheetId="1">#REF!</definedName>
    <definedName name="ww_1">#REF!</definedName>
    <definedName name="wwetwr" localSheetId="0">#REF!</definedName>
    <definedName name="wwetwr" localSheetId="1">#REF!</definedName>
    <definedName name="wwetwr">#REF!</definedName>
    <definedName name="wwwoioioiewowe" localSheetId="0">#REF!</definedName>
    <definedName name="wwwoioioiewowe" localSheetId="1">#REF!</definedName>
    <definedName name="wwwoioioiewowe">#REF!</definedName>
    <definedName name="wwww" localSheetId="0" hidden="1">#REF!</definedName>
    <definedName name="wwww" localSheetId="1" hidden="1">#REF!</definedName>
    <definedName name="wwww" hidden="1">#REF!</definedName>
    <definedName name="wwwwoiruiruioriwer" localSheetId="0">#REF!</definedName>
    <definedName name="wwwwoiruiruioriwer" localSheetId="1">#REF!</definedName>
    <definedName name="wwwwoiruiruioriwer">#REF!</definedName>
    <definedName name="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DSSD" localSheetId="0">#REF!</definedName>
    <definedName name="XDDSSD" localSheetId="1">#REF!</definedName>
    <definedName name="XDDSSD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" localSheetId="0" hidden="1">#REF!</definedName>
    <definedName name="XXXXXX" localSheetId="1" hidden="1">#REF!</definedName>
    <definedName name="XXXXXX" hidden="1">#REF!</definedName>
    <definedName name="X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rtytrru" localSheetId="0">#REF!</definedName>
    <definedName name="yrtytrru" localSheetId="1">#REF!</definedName>
    <definedName name="yrtytrru">#REF!</definedName>
    <definedName name="YTRRRRRRRRRRRRRRY" localSheetId="0">#REF!</definedName>
    <definedName name="YTRRRRRRRRRRRRRRY" localSheetId="1">#REF!</definedName>
    <definedName name="YTRRRRRRRRRRRRRRY">#REF!</definedName>
    <definedName name="YTRTYTREE" localSheetId="0">#REF!</definedName>
    <definedName name="YTRTYTREE" localSheetId="1">#REF!</definedName>
    <definedName name="YTRTYTREE">#REF!</definedName>
    <definedName name="YTTRWSWERETRTYE" localSheetId="0">#REF!</definedName>
    <definedName name="YTTRWSWERETRTYE" localSheetId="1">#REF!</definedName>
    <definedName name="YTTRWSWERETRTYE">#REF!</definedName>
    <definedName name="ytuty" localSheetId="0">#REF!</definedName>
    <definedName name="ytuty" localSheetId="1">#REF!</definedName>
    <definedName name="ytuty">#REF!</definedName>
    <definedName name="YTWSEYTTER" localSheetId="0">#REF!</definedName>
    <definedName name="YTWSEYTTER" localSheetId="1">#REF!</definedName>
    <definedName name="YTWSEYTTER">#REF!</definedName>
    <definedName name="YTYTWRWERERER" localSheetId="0">#REF!</definedName>
    <definedName name="YTYTWRWERERER" localSheetId="1">#REF!</definedName>
    <definedName name="YTYTWRWERERER">#REF!</definedName>
    <definedName name="YUEDUED" localSheetId="0">#REF!</definedName>
    <definedName name="YUEDUED" localSheetId="1">#REF!</definedName>
    <definedName name="YUEDUED">#REF!</definedName>
    <definedName name="YUEREWS" localSheetId="0">#REF!</definedName>
    <definedName name="YUEREWS" localSheetId="1">#REF!</definedName>
    <definedName name="YUEREWS">#REF!</definedName>
    <definedName name="YUTERESWS" localSheetId="0">#REF!</definedName>
    <definedName name="YUTERESWS" localSheetId="1">#REF!</definedName>
    <definedName name="YUTERESWS">#REF!</definedName>
    <definedName name="YUTTEIWSTR" localSheetId="0">#REF!</definedName>
    <definedName name="YUTTEIWSTR" localSheetId="1">#REF!</definedName>
    <definedName name="YUTTEIWSTR">#REF!</definedName>
    <definedName name="YUTUIUTIU" localSheetId="0">#REF!</definedName>
    <definedName name="YUTUIUTIU" localSheetId="1">#REF!</definedName>
    <definedName name="YUTUIUTIU">#REF!</definedName>
    <definedName name="YUYTUTUYE" localSheetId="0">#REF!</definedName>
    <definedName name="YUYTUTUYE" localSheetId="1">#REF!</definedName>
    <definedName name="YUYTUTUYE">#REF!</definedName>
    <definedName name="YWWRTYTR" localSheetId="0">#REF!</definedName>
    <definedName name="YWWRTYTR" localSheetId="1">#REF!</definedName>
    <definedName name="YWWRTYTR">#REF!</definedName>
    <definedName name="yy" localSheetId="0">#REF!</definedName>
    <definedName name="yy" localSheetId="2">#REF!</definedName>
    <definedName name="yy" localSheetId="1">#REF!</definedName>
    <definedName name="yy">#REF!</definedName>
    <definedName name="yytyr" localSheetId="0">#REF!</definedName>
    <definedName name="yytyr" localSheetId="1">#REF!</definedName>
    <definedName name="yytyr">#REF!</definedName>
    <definedName name="yyy" localSheetId="0">#REF!</definedName>
    <definedName name="yyy" localSheetId="2">#REF!</definedName>
    <definedName name="yyy" localSheetId="1">#REF!</definedName>
    <definedName name="yyy">#REF!</definedName>
    <definedName name="za" localSheetId="0">[35]invest.!#REF!</definedName>
    <definedName name="za" localSheetId="2">[35]invest.!#REF!</definedName>
    <definedName name="za" localSheetId="1">[35]invest.!#REF!</definedName>
    <definedName name="za">[35]invest.!#REF!</definedName>
    <definedName name="ZZZ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zzzzzzz" localSheetId="0">#REF!</definedName>
    <definedName name="zzzzzzzzzzzz" localSheetId="1">#REF!</definedName>
    <definedName name="z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" i="4" l="1"/>
  <c r="G38" i="4"/>
  <c r="F38" i="4"/>
  <c r="H37" i="4"/>
  <c r="G37" i="4"/>
  <c r="F37" i="4"/>
  <c r="H36" i="4"/>
  <c r="G36" i="4"/>
  <c r="F36" i="4"/>
  <c r="H35" i="4"/>
  <c r="H32" i="4" s="1"/>
  <c r="L32" i="4" s="1"/>
  <c r="G35" i="4"/>
  <c r="F35" i="4"/>
  <c r="I35" i="4" s="1"/>
  <c r="H34" i="4"/>
  <c r="G34" i="4"/>
  <c r="I34" i="4" s="1"/>
  <c r="F34" i="4"/>
  <c r="H33" i="4"/>
  <c r="G33" i="4"/>
  <c r="F33" i="4"/>
  <c r="H31" i="4"/>
  <c r="L31" i="4" s="1"/>
  <c r="G31" i="4"/>
  <c r="K31" i="4" s="1"/>
  <c r="F31" i="4"/>
  <c r="J31" i="4" s="1"/>
  <c r="H30" i="4"/>
  <c r="L30" i="4" s="1"/>
  <c r="G30" i="4"/>
  <c r="K30" i="4" s="1"/>
  <c r="F30" i="4"/>
  <c r="H29" i="4"/>
  <c r="L29" i="4" s="1"/>
  <c r="G29" i="4"/>
  <c r="K29" i="4" s="1"/>
  <c r="F29" i="4"/>
  <c r="H28" i="4"/>
  <c r="L28" i="4" s="1"/>
  <c r="G28" i="4"/>
  <c r="K28" i="4" s="1"/>
  <c r="F28" i="4"/>
  <c r="I28" i="4" s="1"/>
  <c r="M28" i="4" s="1"/>
  <c r="H27" i="4"/>
  <c r="L27" i="4" s="1"/>
  <c r="G27" i="4"/>
  <c r="K27" i="4" s="1"/>
  <c r="F27" i="4"/>
  <c r="L26" i="4"/>
  <c r="K26" i="4"/>
  <c r="H26" i="4"/>
  <c r="G26" i="4"/>
  <c r="F26" i="4"/>
  <c r="J26" i="4" s="1"/>
  <c r="H25" i="4"/>
  <c r="L25" i="4" s="1"/>
  <c r="G25" i="4"/>
  <c r="K25" i="4" s="1"/>
  <c r="F25" i="4"/>
  <c r="J25" i="4" s="1"/>
  <c r="L24" i="4"/>
  <c r="K24" i="4"/>
  <c r="J24" i="4"/>
  <c r="H24" i="4"/>
  <c r="G24" i="4"/>
  <c r="F24" i="4"/>
  <c r="H23" i="4"/>
  <c r="L23" i="4" s="1"/>
  <c r="G23" i="4"/>
  <c r="K23" i="4" s="1"/>
  <c r="F23" i="4"/>
  <c r="I23" i="4" s="1"/>
  <c r="M23" i="4" s="1"/>
  <c r="L22" i="4"/>
  <c r="K22" i="4"/>
  <c r="J22" i="4"/>
  <c r="H22" i="4"/>
  <c r="G22" i="4"/>
  <c r="F22" i="4"/>
  <c r="H21" i="4"/>
  <c r="L21" i="4" s="1"/>
  <c r="G21" i="4"/>
  <c r="K21" i="4" s="1"/>
  <c r="F21" i="4"/>
  <c r="I21" i="4" s="1"/>
  <c r="M21" i="4" s="1"/>
  <c r="L20" i="4"/>
  <c r="K20" i="4"/>
  <c r="H20" i="4"/>
  <c r="G20" i="4"/>
  <c r="F20" i="4"/>
  <c r="J20" i="4" s="1"/>
  <c r="H19" i="4"/>
  <c r="L19" i="4" s="1"/>
  <c r="G19" i="4"/>
  <c r="K19" i="4" s="1"/>
  <c r="F19" i="4"/>
  <c r="J19" i="4" s="1"/>
  <c r="K18" i="4"/>
  <c r="J18" i="4"/>
  <c r="H18" i="4"/>
  <c r="L18" i="4" s="1"/>
  <c r="G18" i="4"/>
  <c r="F18" i="4"/>
  <c r="H17" i="4"/>
  <c r="G17" i="4"/>
  <c r="K17" i="4" s="1"/>
  <c r="F17" i="4"/>
  <c r="J17" i="4" s="1"/>
  <c r="K16" i="4"/>
  <c r="J16" i="4"/>
  <c r="H16" i="4"/>
  <c r="L16" i="4" s="1"/>
  <c r="G16" i="4"/>
  <c r="F16" i="4"/>
  <c r="H15" i="4"/>
  <c r="L15" i="4" s="1"/>
  <c r="G15" i="4"/>
  <c r="K15" i="4" s="1"/>
  <c r="F15" i="4"/>
  <c r="J15" i="4" s="1"/>
  <c r="H14" i="4"/>
  <c r="G14" i="4"/>
  <c r="K14" i="4" s="1"/>
  <c r="F14" i="4"/>
  <c r="J14" i="4" s="1"/>
  <c r="J13" i="4"/>
  <c r="H13" i="4"/>
  <c r="L13" i="4" s="1"/>
  <c r="G13" i="4"/>
  <c r="K13" i="4" s="1"/>
  <c r="F13" i="4"/>
  <c r="H12" i="4"/>
  <c r="L12" i="4" s="1"/>
  <c r="G12" i="4"/>
  <c r="K12" i="4" s="1"/>
  <c r="F12" i="4"/>
  <c r="J12" i="4" s="1"/>
  <c r="H11" i="4"/>
  <c r="G11" i="4"/>
  <c r="F11" i="4"/>
  <c r="J11" i="4" s="1"/>
  <c r="H10" i="4"/>
  <c r="L10" i="4" s="1"/>
  <c r="G10" i="4"/>
  <c r="K10" i="4" s="1"/>
  <c r="F10" i="4"/>
  <c r="J10" i="4" s="1"/>
  <c r="G32" i="4" l="1"/>
  <c r="K32" i="4" s="1"/>
  <c r="I24" i="4"/>
  <c r="M24" i="4" s="1"/>
  <c r="J23" i="4"/>
  <c r="F32" i="4"/>
  <c r="I36" i="4"/>
  <c r="I20" i="4"/>
  <c r="M20" i="4" s="1"/>
  <c r="I30" i="4"/>
  <c r="M30" i="4" s="1"/>
  <c r="J21" i="4"/>
  <c r="J32" i="4"/>
  <c r="J33" i="4"/>
  <c r="I17" i="4"/>
  <c r="M17" i="4" s="1"/>
  <c r="I12" i="4"/>
  <c r="M12" i="4" s="1"/>
  <c r="I15" i="4"/>
  <c r="M15" i="4" s="1"/>
  <c r="I33" i="4"/>
  <c r="I10" i="4"/>
  <c r="M10" i="4" s="1"/>
  <c r="I27" i="4"/>
  <c r="M27" i="4" s="1"/>
  <c r="I25" i="4"/>
  <c r="M25" i="4" s="1"/>
  <c r="J29" i="4"/>
  <c r="J30" i="4"/>
  <c r="I19" i="4"/>
  <c r="M19" i="4" s="1"/>
  <c r="I13" i="4"/>
  <c r="M13" i="4" s="1"/>
  <c r="I31" i="4"/>
  <c r="M31" i="4" s="1"/>
  <c r="I29" i="4"/>
  <c r="M29" i="4" s="1"/>
  <c r="I26" i="4"/>
  <c r="M26" i="4" s="1"/>
  <c r="K11" i="4"/>
  <c r="K33" i="4" s="1"/>
  <c r="L17" i="4"/>
  <c r="L11" i="4"/>
  <c r="L14" i="4"/>
  <c r="J28" i="4"/>
  <c r="I37" i="4"/>
  <c r="I22" i="4"/>
  <c r="M22" i="4" s="1"/>
  <c r="J27" i="4"/>
  <c r="I16" i="4"/>
  <c r="M16" i="4" s="1"/>
  <c r="I18" i="4"/>
  <c r="M18" i="4" s="1"/>
  <c r="I14" i="4"/>
  <c r="M14" i="4" s="1"/>
  <c r="I11" i="4"/>
  <c r="M11" i="4" s="1"/>
  <c r="I38" i="4"/>
  <c r="I32" i="4" l="1"/>
  <c r="M32" i="4" s="1"/>
  <c r="L33" i="4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I34" i="3" s="1"/>
  <c r="H33" i="3"/>
  <c r="G33" i="3"/>
  <c r="F33" i="3"/>
  <c r="H31" i="3"/>
  <c r="L31" i="3" s="1"/>
  <c r="G31" i="3"/>
  <c r="K31" i="3" s="1"/>
  <c r="F31" i="3"/>
  <c r="J31" i="3" s="1"/>
  <c r="H30" i="3"/>
  <c r="L30" i="3" s="1"/>
  <c r="G30" i="3"/>
  <c r="K30" i="3" s="1"/>
  <c r="F30" i="3"/>
  <c r="I30" i="3" s="1"/>
  <c r="M30" i="3" s="1"/>
  <c r="H29" i="3"/>
  <c r="L29" i="3" s="1"/>
  <c r="G29" i="3"/>
  <c r="K29" i="3" s="1"/>
  <c r="F29" i="3"/>
  <c r="H28" i="3"/>
  <c r="L28" i="3" s="1"/>
  <c r="G28" i="3"/>
  <c r="K28" i="3" s="1"/>
  <c r="F28" i="3"/>
  <c r="H27" i="3"/>
  <c r="L27" i="3" s="1"/>
  <c r="G27" i="3"/>
  <c r="K27" i="3" s="1"/>
  <c r="F27" i="3"/>
  <c r="J27" i="3" s="1"/>
  <c r="H26" i="3"/>
  <c r="L26" i="3" s="1"/>
  <c r="G26" i="3"/>
  <c r="K26" i="3" s="1"/>
  <c r="F26" i="3"/>
  <c r="J26" i="3" s="1"/>
  <c r="J25" i="3"/>
  <c r="H25" i="3"/>
  <c r="L25" i="3" s="1"/>
  <c r="G25" i="3"/>
  <c r="K25" i="3" s="1"/>
  <c r="F25" i="3"/>
  <c r="H24" i="3"/>
  <c r="L24" i="3" s="1"/>
  <c r="G24" i="3"/>
  <c r="K24" i="3" s="1"/>
  <c r="F24" i="3"/>
  <c r="J24" i="3" s="1"/>
  <c r="J23" i="3"/>
  <c r="H23" i="3"/>
  <c r="L23" i="3" s="1"/>
  <c r="G23" i="3"/>
  <c r="K23" i="3" s="1"/>
  <c r="F23" i="3"/>
  <c r="H22" i="3"/>
  <c r="L22" i="3" s="1"/>
  <c r="G22" i="3"/>
  <c r="K22" i="3" s="1"/>
  <c r="F22" i="3"/>
  <c r="J22" i="3" s="1"/>
  <c r="J21" i="3"/>
  <c r="H21" i="3"/>
  <c r="L21" i="3" s="1"/>
  <c r="G21" i="3"/>
  <c r="K21" i="3" s="1"/>
  <c r="F21" i="3"/>
  <c r="H20" i="3"/>
  <c r="L20" i="3" s="1"/>
  <c r="G20" i="3"/>
  <c r="K20" i="3" s="1"/>
  <c r="F20" i="3"/>
  <c r="J20" i="3" s="1"/>
  <c r="J19" i="3"/>
  <c r="H19" i="3"/>
  <c r="L19" i="3" s="1"/>
  <c r="G19" i="3"/>
  <c r="K19" i="3" s="1"/>
  <c r="F19" i="3"/>
  <c r="H18" i="3"/>
  <c r="G18" i="3"/>
  <c r="K18" i="3" s="1"/>
  <c r="F18" i="3"/>
  <c r="J18" i="3" s="1"/>
  <c r="H17" i="3"/>
  <c r="G17" i="3"/>
  <c r="K17" i="3" s="1"/>
  <c r="F17" i="3"/>
  <c r="J17" i="3" s="1"/>
  <c r="K16" i="3"/>
  <c r="H16" i="3"/>
  <c r="G16" i="3"/>
  <c r="F16" i="3"/>
  <c r="J16" i="3" s="1"/>
  <c r="H15" i="3"/>
  <c r="G15" i="3"/>
  <c r="K15" i="3" s="1"/>
  <c r="F15" i="3"/>
  <c r="J15" i="3" s="1"/>
  <c r="H14" i="3"/>
  <c r="L14" i="3" s="1"/>
  <c r="G14" i="3"/>
  <c r="F14" i="3"/>
  <c r="J14" i="3" s="1"/>
  <c r="H13" i="3"/>
  <c r="G13" i="3"/>
  <c r="F13" i="3"/>
  <c r="J13" i="3" s="1"/>
  <c r="H12" i="3"/>
  <c r="L12" i="3" s="1"/>
  <c r="G12" i="3"/>
  <c r="F12" i="3"/>
  <c r="J12" i="3" s="1"/>
  <c r="H11" i="3"/>
  <c r="G11" i="3"/>
  <c r="F11" i="3"/>
  <c r="J11" i="3" s="1"/>
  <c r="H10" i="3"/>
  <c r="L10" i="3" s="1"/>
  <c r="G10" i="3"/>
  <c r="F10" i="3"/>
  <c r="I36" i="3" l="1"/>
  <c r="I20" i="3"/>
  <c r="M20" i="3" s="1"/>
  <c r="G32" i="3"/>
  <c r="K32" i="3" s="1"/>
  <c r="I10" i="3"/>
  <c r="M10" i="3" s="1"/>
  <c r="I16" i="3"/>
  <c r="M16" i="3" s="1"/>
  <c r="F32" i="3"/>
  <c r="I14" i="3"/>
  <c r="M14" i="3" s="1"/>
  <c r="I21" i="3"/>
  <c r="M21" i="3" s="1"/>
  <c r="J32" i="3"/>
  <c r="I19" i="3"/>
  <c r="M19" i="3" s="1"/>
  <c r="H32" i="3"/>
  <c r="L32" i="3" s="1"/>
  <c r="I13" i="3"/>
  <c r="M13" i="3" s="1"/>
  <c r="I33" i="3"/>
  <c r="I11" i="3"/>
  <c r="M11" i="3" s="1"/>
  <c r="I38" i="3"/>
  <c r="I28" i="3"/>
  <c r="M28" i="3" s="1"/>
  <c r="J10" i="3"/>
  <c r="K11" i="3"/>
  <c r="K12" i="3"/>
  <c r="K13" i="3"/>
  <c r="K14" i="3"/>
  <c r="L15" i="3"/>
  <c r="L16" i="3"/>
  <c r="L17" i="3"/>
  <c r="L18" i="3"/>
  <c r="I24" i="3"/>
  <c r="M24" i="3" s="1"/>
  <c r="I25" i="3"/>
  <c r="M25" i="3" s="1"/>
  <c r="J29" i="3"/>
  <c r="J30" i="3"/>
  <c r="I18" i="3"/>
  <c r="M18" i="3" s="1"/>
  <c r="I15" i="3"/>
  <c r="M15" i="3" s="1"/>
  <c r="I31" i="3"/>
  <c r="M31" i="3" s="1"/>
  <c r="I26" i="3"/>
  <c r="M26" i="3" s="1"/>
  <c r="K10" i="3"/>
  <c r="L11" i="3"/>
  <c r="L33" i="3" s="1"/>
  <c r="L13" i="3"/>
  <c r="I23" i="3"/>
  <c r="M23" i="3" s="1"/>
  <c r="J28" i="3"/>
  <c r="I37" i="3"/>
  <c r="I12" i="3"/>
  <c r="M12" i="3" s="1"/>
  <c r="I27" i="3"/>
  <c r="M27" i="3" s="1"/>
  <c r="I35" i="3"/>
  <c r="I22" i="3"/>
  <c r="M22" i="3" s="1"/>
  <c r="I17" i="3"/>
  <c r="M17" i="3" s="1"/>
  <c r="I29" i="3"/>
  <c r="M29" i="3" s="1"/>
  <c r="I32" i="3" l="1"/>
  <c r="M32" i="3" s="1"/>
  <c r="J33" i="3"/>
  <c r="K33" i="3"/>
  <c r="H38" i="2" l="1"/>
  <c r="G38" i="2"/>
  <c r="F38" i="2"/>
  <c r="I38" i="2" s="1"/>
  <c r="H37" i="2"/>
  <c r="G37" i="2"/>
  <c r="F37" i="2"/>
  <c r="H36" i="2"/>
  <c r="G36" i="2"/>
  <c r="F36" i="2"/>
  <c r="H35" i="2"/>
  <c r="G35" i="2"/>
  <c r="I35" i="2" s="1"/>
  <c r="F35" i="2"/>
  <c r="H34" i="2"/>
  <c r="G34" i="2"/>
  <c r="F34" i="2"/>
  <c r="I34" i="2" s="1"/>
  <c r="H33" i="2"/>
  <c r="G33" i="2"/>
  <c r="F33" i="2"/>
  <c r="J31" i="2"/>
  <c r="H31" i="2"/>
  <c r="L31" i="2" s="1"/>
  <c r="G31" i="2"/>
  <c r="K31" i="2" s="1"/>
  <c r="F31" i="2"/>
  <c r="L30" i="2"/>
  <c r="K30" i="2"/>
  <c r="H30" i="2"/>
  <c r="G30" i="2"/>
  <c r="F30" i="2"/>
  <c r="J30" i="2" s="1"/>
  <c r="J29" i="2"/>
  <c r="H29" i="2"/>
  <c r="L29" i="2" s="1"/>
  <c r="G29" i="2"/>
  <c r="K29" i="2" s="1"/>
  <c r="F29" i="2"/>
  <c r="L28" i="2"/>
  <c r="K28" i="2"/>
  <c r="H28" i="2"/>
  <c r="G28" i="2"/>
  <c r="F28" i="2"/>
  <c r="I28" i="2" s="1"/>
  <c r="M28" i="2" s="1"/>
  <c r="K27" i="2"/>
  <c r="J27" i="2"/>
  <c r="H27" i="2"/>
  <c r="L27" i="2" s="1"/>
  <c r="G27" i="2"/>
  <c r="F27" i="2"/>
  <c r="H26" i="2"/>
  <c r="L26" i="2" s="1"/>
  <c r="G26" i="2"/>
  <c r="K26" i="2" s="1"/>
  <c r="F26" i="2"/>
  <c r="J26" i="2" s="1"/>
  <c r="K25" i="2"/>
  <c r="J25" i="2"/>
  <c r="H25" i="2"/>
  <c r="I25" i="2" s="1"/>
  <c r="M25" i="2" s="1"/>
  <c r="G25" i="2"/>
  <c r="F25" i="2"/>
  <c r="K24" i="2"/>
  <c r="H24" i="2"/>
  <c r="L24" i="2" s="1"/>
  <c r="G24" i="2"/>
  <c r="F24" i="2"/>
  <c r="J24" i="2" s="1"/>
  <c r="H23" i="2"/>
  <c r="L23" i="2" s="1"/>
  <c r="G23" i="2"/>
  <c r="F23" i="2"/>
  <c r="J23" i="2" s="1"/>
  <c r="H22" i="2"/>
  <c r="L22" i="2" s="1"/>
  <c r="G22" i="2"/>
  <c r="F22" i="2"/>
  <c r="H21" i="2"/>
  <c r="L21" i="2" s="1"/>
  <c r="G21" i="2"/>
  <c r="K21" i="2" s="1"/>
  <c r="F21" i="2"/>
  <c r="I21" i="2" s="1"/>
  <c r="M21" i="2" s="1"/>
  <c r="H20" i="2"/>
  <c r="L20" i="2" s="1"/>
  <c r="G20" i="2"/>
  <c r="K20" i="2" s="1"/>
  <c r="F20" i="2"/>
  <c r="H19" i="2"/>
  <c r="L19" i="2" s="1"/>
  <c r="G19" i="2"/>
  <c r="K19" i="2" s="1"/>
  <c r="F19" i="2"/>
  <c r="J19" i="2" s="1"/>
  <c r="H18" i="2"/>
  <c r="L18" i="2" s="1"/>
  <c r="G18" i="2"/>
  <c r="K18" i="2" s="1"/>
  <c r="F18" i="2"/>
  <c r="J18" i="2" s="1"/>
  <c r="H17" i="2"/>
  <c r="L17" i="2" s="1"/>
  <c r="G17" i="2"/>
  <c r="K17" i="2" s="1"/>
  <c r="F17" i="2"/>
  <c r="J17" i="2" s="1"/>
  <c r="L16" i="2"/>
  <c r="K16" i="2"/>
  <c r="H16" i="2"/>
  <c r="G16" i="2"/>
  <c r="F16" i="2"/>
  <c r="J16" i="2" s="1"/>
  <c r="L15" i="2"/>
  <c r="H15" i="2"/>
  <c r="G15" i="2"/>
  <c r="K15" i="2" s="1"/>
  <c r="F15" i="2"/>
  <c r="J15" i="2" s="1"/>
  <c r="K14" i="2"/>
  <c r="J14" i="2"/>
  <c r="H14" i="2"/>
  <c r="L14" i="2" s="1"/>
  <c r="G14" i="2"/>
  <c r="F14" i="2"/>
  <c r="L13" i="2"/>
  <c r="H13" i="2"/>
  <c r="G13" i="2"/>
  <c r="K13" i="2" s="1"/>
  <c r="F13" i="2"/>
  <c r="J13" i="2" s="1"/>
  <c r="K12" i="2"/>
  <c r="J12" i="2"/>
  <c r="H12" i="2"/>
  <c r="L12" i="2" s="1"/>
  <c r="G12" i="2"/>
  <c r="F12" i="2"/>
  <c r="L11" i="2"/>
  <c r="H11" i="2"/>
  <c r="G11" i="2"/>
  <c r="K11" i="2" s="1"/>
  <c r="F11" i="2"/>
  <c r="J11" i="2" s="1"/>
  <c r="K10" i="2"/>
  <c r="J10" i="2"/>
  <c r="H10" i="2"/>
  <c r="L10" i="2" s="1"/>
  <c r="G10" i="2"/>
  <c r="F10" i="2"/>
  <c r="I23" i="2" l="1"/>
  <c r="M23" i="2" s="1"/>
  <c r="I26" i="2"/>
  <c r="M26" i="2" s="1"/>
  <c r="I27" i="2"/>
  <c r="M27" i="2" s="1"/>
  <c r="J28" i="2"/>
  <c r="G32" i="2"/>
  <c r="K32" i="2" s="1"/>
  <c r="I10" i="2"/>
  <c r="M10" i="2" s="1"/>
  <c r="I22" i="2"/>
  <c r="M22" i="2" s="1"/>
  <c r="I29" i="2"/>
  <c r="M29" i="2" s="1"/>
  <c r="I18" i="2"/>
  <c r="M18" i="2" s="1"/>
  <c r="I15" i="2"/>
  <c r="M15" i="2" s="1"/>
  <c r="K23" i="2"/>
  <c r="I11" i="2"/>
  <c r="M11" i="2" s="1"/>
  <c r="H32" i="2"/>
  <c r="L32" i="2" s="1"/>
  <c r="I37" i="2"/>
  <c r="I20" i="2"/>
  <c r="M20" i="2" s="1"/>
  <c r="I19" i="2"/>
  <c r="M19" i="2" s="1"/>
  <c r="F32" i="2"/>
  <c r="I12" i="2"/>
  <c r="M12" i="2" s="1"/>
  <c r="J21" i="2"/>
  <c r="J20" i="2"/>
  <c r="J33" i="2" s="1"/>
  <c r="I33" i="2"/>
  <c r="I36" i="2"/>
  <c r="I24" i="2"/>
  <c r="M24" i="2" s="1"/>
  <c r="I17" i="2"/>
  <c r="M17" i="2" s="1"/>
  <c r="I13" i="2"/>
  <c r="M13" i="2" s="1"/>
  <c r="J22" i="2"/>
  <c r="L25" i="2"/>
  <c r="L33" i="2" s="1"/>
  <c r="K22" i="2"/>
  <c r="I30" i="2"/>
  <c r="M30" i="2" s="1"/>
  <c r="I31" i="2"/>
  <c r="M31" i="2" s="1"/>
  <c r="I16" i="2"/>
  <c r="M16" i="2" s="1"/>
  <c r="I14" i="2"/>
  <c r="M14" i="2" s="1"/>
  <c r="K33" i="2" l="1"/>
  <c r="J32" i="2"/>
  <c r="I32" i="2"/>
  <c r="M32" i="2" s="1"/>
</calcChain>
</file>

<file path=xl/sharedStrings.xml><?xml version="1.0" encoding="utf-8"?>
<sst xmlns="http://schemas.openxmlformats.org/spreadsheetml/2006/main" count="375" uniqueCount="85">
  <si>
    <t>ENGECOM ENGENHARIA E COMÉRCIO LTDA</t>
  </si>
  <si>
    <r>
      <rPr>
        <b/>
        <sz val="11"/>
        <color theme="4" tint="-0.249977111117893"/>
        <rFont val="Arial"/>
        <family val="2"/>
      </rPr>
      <t>CLIENTE: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VALE S/A</t>
    </r>
  </si>
  <si>
    <t>MARABÁ</t>
  </si>
  <si>
    <t>PARAUAPEBAS</t>
  </si>
  <si>
    <t>CANAÃ</t>
  </si>
  <si>
    <r>
      <rPr>
        <b/>
        <sz val="11"/>
        <color theme="4" tint="-0.249977111117893"/>
        <rFont val="Arial"/>
        <family val="2"/>
      </rPr>
      <t>NÚMERO DO CONTRATO:</t>
    </r>
    <r>
      <rPr>
        <b/>
        <sz val="11"/>
        <color theme="1"/>
        <rFont val="Arial"/>
        <family val="2"/>
      </rPr>
      <t xml:space="preserve"> 5900124486</t>
    </r>
  </si>
  <si>
    <t>M/HORA POR SERVENTE</t>
  </si>
  <si>
    <r>
      <t xml:space="preserve">Objeto: </t>
    </r>
    <r>
      <rPr>
        <b/>
        <sz val="11"/>
        <rFont val="Arial"/>
        <family val="2"/>
      </rPr>
      <t>Contratação de Serviços de Manutenção de Infraestrutura da EFC - TRECHO REGIONAL 1, 2 e 3.</t>
    </r>
  </si>
  <si>
    <t>2.1.3</t>
  </si>
  <si>
    <t>2.1.7</t>
  </si>
  <si>
    <t>2.2.1</t>
  </si>
  <si>
    <t>2.2.7</t>
  </si>
  <si>
    <r>
      <rPr>
        <b/>
        <sz val="11"/>
        <color theme="4" tint="-0.249977111117893"/>
        <rFont val="Arial"/>
        <family val="2"/>
      </rPr>
      <t xml:space="preserve">LOCAL: </t>
    </r>
    <r>
      <rPr>
        <b/>
        <sz val="11"/>
        <color theme="1"/>
        <rFont val="Arial"/>
        <family val="2"/>
      </rPr>
      <t>Terminal Ferroviário Ponta da Madeira (São Luís), Bacabeira, Vitória do Mearim, Santa Inês, Alto Alegre do Pindaré, Nova Vida, Bom Jesus das Selvas, Açailândia e São Pedro da Água Branca.</t>
    </r>
  </si>
  <si>
    <t>SEM REGISTRO DE HIMP</t>
  </si>
  <si>
    <t>REGISTRO DE 1 DIA HIMP</t>
  </si>
  <si>
    <t>REGISTRO DE 2 DIAS HIMP</t>
  </si>
  <si>
    <t xml:space="preserve">PRODUÇÃO </t>
  </si>
  <si>
    <t>PRODUTIVIDADE</t>
  </si>
  <si>
    <t>ITEM</t>
  </si>
  <si>
    <t>ATIVIDADE</t>
  </si>
  <si>
    <t>UNID.</t>
  </si>
  <si>
    <t>MAB</t>
  </si>
  <si>
    <t>PBA</t>
  </si>
  <si>
    <t>RAMAL</t>
  </si>
  <si>
    <t>TOTAL</t>
  </si>
  <si>
    <t>2.1.2</t>
  </si>
  <si>
    <t>LIMPEZA DE BUEIROS</t>
  </si>
  <si>
    <t>M³</t>
  </si>
  <si>
    <t>LIMPEZA DE VALAS DE BUEIROS (MONTANTE E JUSANTE)</t>
  </si>
  <si>
    <t>LIMPEZA DE CANALETA EM CORTE E ATERRO ATÉ MEIA SEÇÃO (M)</t>
  </si>
  <si>
    <t>M</t>
  </si>
  <si>
    <t>2.1.4</t>
  </si>
  <si>
    <t>LIMPEZA DE CANALETA EM CORTE E ATERRO COM SEÇÃO PLENA</t>
  </si>
  <si>
    <t>2.1.5</t>
  </si>
  <si>
    <t>LIMPEZA DE VALETA, SARJETAS E MEIO FIOS</t>
  </si>
  <si>
    <t>RECUPERAÇÃO DE DRENAGEM TIPO CANALETA/VALETA EM TALUDES, LIMITANDO-SE A 100m DE EXTENSÃO(M)</t>
  </si>
  <si>
    <t>2.1.8</t>
  </si>
  <si>
    <t>RECUPERAÇÃO DE DRENAGEM TIPO SARJETA/MEIO-FIO EM PLATAFORMA, LIMITANDO- SE A 100m DE EXTENSÃO</t>
  </si>
  <si>
    <t>ROÇADA  (M²)</t>
  </si>
  <si>
    <t>M²</t>
  </si>
  <si>
    <t>2.2.5</t>
  </si>
  <si>
    <t>REMOÇÃO DE SOLO</t>
  </si>
  <si>
    <t>2.2.9</t>
  </si>
  <si>
    <t>CORTE DE ÁRVORES DE PEQUENO PORTE COM AUXILIO DE EQUIPAMENTOS DE GRANDE PORTE FORNECIDO PELA CONTRATADA</t>
  </si>
  <si>
    <t>UNID</t>
  </si>
  <si>
    <t>2.2.11</t>
  </si>
  <si>
    <t>CORTE DE ÁRVORES DE GRANDE PORTE COM AUXILIO DE EQUIPAMENTOS DE GRANDE PORTE FORNECIDO PELA CONTRATADA</t>
  </si>
  <si>
    <t>5.0</t>
  </si>
  <si>
    <t>HORAS IMPRODUTIVAS (HH)</t>
  </si>
  <si>
    <t>5.1</t>
  </si>
  <si>
    <t>ENCARREGADO</t>
  </si>
  <si>
    <t>HH</t>
  </si>
  <si>
    <t>5.2</t>
  </si>
  <si>
    <t>TÉCNICO DE SEGURANÇA DO TRABALHO</t>
  </si>
  <si>
    <t>5.3</t>
  </si>
  <si>
    <t>MOTORISTA</t>
  </si>
  <si>
    <t>5.4</t>
  </si>
  <si>
    <t>OFICIAL</t>
  </si>
  <si>
    <t>5.5</t>
  </si>
  <si>
    <t>OPERADOR DE MÁQUINA LEVE</t>
  </si>
  <si>
    <t>5.6</t>
  </si>
  <si>
    <t>VAN</t>
  </si>
  <si>
    <t>TOTAL GERAL</t>
  </si>
  <si>
    <t>2.1.6</t>
  </si>
  <si>
    <r>
      <t xml:space="preserve">REJUNTAMENTO DE BUEIRO - </t>
    </r>
    <r>
      <rPr>
        <b/>
        <u/>
        <sz val="14"/>
        <color rgb="FFFF0000"/>
        <rFont val="Arial"/>
        <family val="2"/>
      </rPr>
      <t>ESTIMAR 20% DA QUANTIDADE DE BUEIROS</t>
    </r>
  </si>
  <si>
    <t>2.2.2</t>
  </si>
  <si>
    <t>CAPINA</t>
  </si>
  <si>
    <t>2.2.3</t>
  </si>
  <si>
    <t>CAPINA QUÍMICA COM EQUIPAMENTO COSTAL OU APLICAÇÃO SIMILAR</t>
  </si>
  <si>
    <t>2.2.4</t>
  </si>
  <si>
    <t>CAPINA QUÍMICA COM USO DE DRONE</t>
  </si>
  <si>
    <t>2.2.6</t>
  </si>
  <si>
    <t>PODA DE ÁRVORES COM AUXILIO DE EQUIPAMENTOS DE GRANDE PORTE FORNECIDO PELA VALE, QUANDO NECESSÁRIO (plataformas elevatórias, caminhões SKY e outros)</t>
  </si>
  <si>
    <t>PODA DE ÁRVORES COM AUXILIO DE EQUIPAMENTOS DE GRANDE PORTE FORNECIDO PELA CONTRATADA (M²)</t>
  </si>
  <si>
    <t>2.2.8</t>
  </si>
  <si>
    <t>CORTE DE ÁRVORES DE PEQUENO PORTE COM AUXILIO DE EQUIPAMENTOS DE GRANDE PORTE FORNECIDO PELA VALE, QUANDO NECESSÁRIO (plataformas elevatórias, caminhões SKY e outros)</t>
  </si>
  <si>
    <t>2.2.10</t>
  </si>
  <si>
    <t>CORTE DE ÁRVORES DE GRANDE PORTE COM AUXILIO DE EQUIPAMENTOS DE GRANDE PORTE FORNECIDO PELA VALE, QUANDO NECESSÁRIO (plataformas elevatórias, caminhões SKY e outros)</t>
  </si>
  <si>
    <t>2.2.12</t>
  </si>
  <si>
    <t>MOMENTO EXTRAORDINÁRIO DE TRANSPORTE</t>
  </si>
  <si>
    <t>M³xKM</t>
  </si>
  <si>
    <t>2.3.1</t>
  </si>
  <si>
    <t>FORNECIMENTO E APLICAÇÃO DE SINALIZAÇÃO GRÁFICA VERTICAL COMPLETA (M²)</t>
  </si>
  <si>
    <t>2.3.2</t>
  </si>
  <si>
    <t>APLICAÇÃO DE TRILHO PARA CRUZ DE SANTO ANDRÉ (Trilho fornecimento VALE)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</si>
</sst>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24997711111789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2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6"/>
      <name val="Aptos Narrow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b/>
      <u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2" borderId="0" xfId="0" applyFill="1"/>
    <xf numFmtId="44" fontId="0" fillId="2" borderId="0" xfId="2" applyFont="1" applyFill="1"/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9" fillId="4" borderId="1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2" fontId="6" fillId="0" borderId="12" xfId="0" applyNumberFormat="1" applyFont="1" applyBorder="1" applyAlignment="1">
      <alignment horizontal="center" wrapText="1"/>
    </xf>
    <xf numFmtId="2" fontId="6" fillId="0" borderId="13" xfId="0" applyNumberFormat="1" applyFont="1" applyBorder="1" applyAlignment="1">
      <alignment horizontal="center" wrapText="1"/>
    </xf>
    <xf numFmtId="2" fontId="6" fillId="0" borderId="11" xfId="0" applyNumberFormat="1" applyFont="1" applyBorder="1" applyAlignment="1">
      <alignment horizontal="center" wrapText="1"/>
    </xf>
    <xf numFmtId="0" fontId="0" fillId="2" borderId="3" xfId="0" applyFill="1" applyBorder="1"/>
    <xf numFmtId="0" fontId="11" fillId="2" borderId="16" xfId="0" applyFont="1" applyFill="1" applyBorder="1"/>
    <xf numFmtId="0" fontId="12" fillId="2" borderId="0" xfId="0" applyFont="1" applyFill="1"/>
    <xf numFmtId="0" fontId="5" fillId="2" borderId="0" xfId="0" applyFont="1" applyFill="1" applyAlignment="1">
      <alignment horizontal="left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6" fillId="7" borderId="2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7" fillId="0" borderId="22" xfId="0" applyFont="1" applyBorder="1" applyAlignment="1">
      <alignment vertical="center"/>
    </xf>
    <xf numFmtId="0" fontId="17" fillId="2" borderId="23" xfId="0" applyFont="1" applyFill="1" applyBorder="1" applyAlignment="1">
      <alignment vertical="center" wrapText="1"/>
    </xf>
    <xf numFmtId="0" fontId="17" fillId="8" borderId="23" xfId="0" applyFont="1" applyFill="1" applyBorder="1" applyAlignment="1">
      <alignment horizontal="center" vertical="center"/>
    </xf>
    <xf numFmtId="43" fontId="18" fillId="0" borderId="23" xfId="1" applyFont="1" applyBorder="1" applyAlignment="1">
      <alignment horizontal="center" vertical="center"/>
    </xf>
    <xf numFmtId="43" fontId="16" fillId="9" borderId="23" xfId="1" applyFont="1" applyFill="1" applyBorder="1" applyAlignment="1">
      <alignment horizontal="center"/>
    </xf>
    <xf numFmtId="43" fontId="18" fillId="0" borderId="23" xfId="0" applyNumberFormat="1" applyFont="1" applyBorder="1"/>
    <xf numFmtId="0" fontId="18" fillId="0" borderId="23" xfId="0" applyFont="1" applyBorder="1" applyAlignment="1">
      <alignment horizontal="center" vertical="center"/>
    </xf>
    <xf numFmtId="0" fontId="17" fillId="10" borderId="22" xfId="0" applyFont="1" applyFill="1" applyBorder="1" applyAlignment="1">
      <alignment vertical="center"/>
    </xf>
    <xf numFmtId="0" fontId="17" fillId="10" borderId="23" xfId="0" applyFont="1" applyFill="1" applyBorder="1" applyAlignment="1">
      <alignment vertical="center" wrapText="1"/>
    </xf>
    <xf numFmtId="0" fontId="17" fillId="10" borderId="23" xfId="0" applyFont="1" applyFill="1" applyBorder="1" applyAlignment="1">
      <alignment horizontal="center" vertical="center"/>
    </xf>
    <xf numFmtId="43" fontId="18" fillId="10" borderId="23" xfId="1" applyFont="1" applyFill="1" applyBorder="1" applyAlignment="1">
      <alignment horizontal="center" vertical="center"/>
    </xf>
    <xf numFmtId="43" fontId="16" fillId="10" borderId="23" xfId="1" applyFont="1" applyFill="1" applyBorder="1" applyAlignment="1">
      <alignment horizontal="center"/>
    </xf>
    <xf numFmtId="43" fontId="18" fillId="10" borderId="23" xfId="0" applyNumberFormat="1" applyFont="1" applyFill="1" applyBorder="1"/>
    <xf numFmtId="0" fontId="17" fillId="2" borderId="22" xfId="0" applyFont="1" applyFill="1" applyBorder="1" applyAlignment="1">
      <alignment vertical="center"/>
    </xf>
    <xf numFmtId="0" fontId="17" fillId="0" borderId="23" xfId="0" applyFont="1" applyBorder="1" applyAlignment="1">
      <alignment vertical="center" wrapText="1"/>
    </xf>
    <xf numFmtId="0" fontId="17" fillId="0" borderId="23" xfId="0" applyFont="1" applyBorder="1" applyAlignment="1">
      <alignment horizontal="center" vertical="center"/>
    </xf>
    <xf numFmtId="43" fontId="16" fillId="0" borderId="23" xfId="1" applyFont="1" applyFill="1" applyBorder="1" applyAlignment="1">
      <alignment horizontal="center"/>
    </xf>
    <xf numFmtId="43" fontId="16" fillId="11" borderId="23" xfId="1" applyFont="1" applyFill="1" applyBorder="1" applyAlignment="1">
      <alignment horizontal="center"/>
    </xf>
    <xf numFmtId="0" fontId="19" fillId="0" borderId="22" xfId="0" applyFont="1" applyBorder="1" applyAlignment="1">
      <alignment vertical="center"/>
    </xf>
    <xf numFmtId="43" fontId="18" fillId="0" borderId="23" xfId="1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/>
    </xf>
    <xf numFmtId="0" fontId="20" fillId="7" borderId="22" xfId="0" applyFont="1" applyFill="1" applyBorder="1" applyAlignment="1">
      <alignment vertical="center"/>
    </xf>
    <xf numFmtId="0" fontId="20" fillId="7" borderId="23" xfId="0" applyFont="1" applyFill="1" applyBorder="1" applyAlignment="1">
      <alignment vertical="center" wrapText="1"/>
    </xf>
    <xf numFmtId="43" fontId="15" fillId="5" borderId="24" xfId="0" applyNumberFormat="1" applyFont="1" applyFill="1" applyBorder="1" applyAlignment="1">
      <alignment horizontal="center"/>
    </xf>
    <xf numFmtId="43" fontId="18" fillId="2" borderId="23" xfId="1" applyFont="1" applyFill="1" applyBorder="1" applyAlignment="1">
      <alignment horizontal="center"/>
    </xf>
    <xf numFmtId="43" fontId="0" fillId="0" borderId="0" xfId="0" applyNumberFormat="1"/>
    <xf numFmtId="0" fontId="4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0" applyFont="1" applyAlignment="1">
      <alignment wrapText="1"/>
    </xf>
    <xf numFmtId="0" fontId="17" fillId="0" borderId="29" xfId="0" applyFont="1" applyBorder="1" applyAlignment="1">
      <alignment vertical="center"/>
    </xf>
    <xf numFmtId="0" fontId="17" fillId="2" borderId="30" xfId="0" applyFont="1" applyFill="1" applyBorder="1" applyAlignment="1">
      <alignment vertical="center" wrapText="1"/>
    </xf>
    <xf numFmtId="0" fontId="17" fillId="8" borderId="30" xfId="0" applyFont="1" applyFill="1" applyBorder="1" applyAlignment="1">
      <alignment horizontal="center"/>
    </xf>
    <xf numFmtId="43" fontId="16" fillId="9" borderId="30" xfId="1" applyFont="1" applyFill="1" applyBorder="1" applyAlignment="1">
      <alignment horizontal="center"/>
    </xf>
    <xf numFmtId="0" fontId="17" fillId="11" borderId="23" xfId="0" applyFont="1" applyFill="1" applyBorder="1" applyAlignment="1">
      <alignment vertical="center" wrapText="1"/>
    </xf>
    <xf numFmtId="0" fontId="17" fillId="11" borderId="2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3" fillId="5" borderId="17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/>
    </xf>
    <xf numFmtId="0" fontId="13" fillId="5" borderId="19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wrapText="1"/>
    </xf>
    <xf numFmtId="0" fontId="20" fillId="8" borderId="25" xfId="0" applyFont="1" applyFill="1" applyBorder="1" applyAlignment="1">
      <alignment horizontal="right"/>
    </xf>
    <xf numFmtId="0" fontId="20" fillId="8" borderId="26" xfId="0" applyFont="1" applyFill="1" applyBorder="1" applyAlignment="1">
      <alignment horizontal="right"/>
    </xf>
    <xf numFmtId="0" fontId="20" fillId="9" borderId="27" xfId="0" applyFont="1" applyFill="1" applyBorder="1" applyAlignment="1">
      <alignment horizontal="right"/>
    </xf>
    <xf numFmtId="0" fontId="20" fillId="9" borderId="28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22167</xdr:rowOff>
    </xdr:from>
    <xdr:to>
      <xdr:col>12</xdr:col>
      <xdr:colOff>217379</xdr:colOff>
      <xdr:row>4</xdr:row>
      <xdr:rowOff>133925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4FDA12-E7E6-4566-A003-A02E6C597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25925" y="212667"/>
          <a:ext cx="2732504" cy="721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22167</xdr:rowOff>
    </xdr:from>
    <xdr:to>
      <xdr:col>12</xdr:col>
      <xdr:colOff>195691</xdr:colOff>
      <xdr:row>4</xdr:row>
      <xdr:rowOff>133925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3CFB5A-427C-473D-AB39-D2A6A8FC1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946905" y="212667"/>
          <a:ext cx="2708725" cy="7213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22167</xdr:rowOff>
    </xdr:from>
    <xdr:to>
      <xdr:col>12</xdr:col>
      <xdr:colOff>199568</xdr:colOff>
      <xdr:row>4</xdr:row>
      <xdr:rowOff>133925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16107E-F874-41DB-AF0F-9E2FD7A39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946905" y="212667"/>
          <a:ext cx="2708725" cy="7213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io\d\_ANALISES\An&#225;lise%20de%20Or&#231;amentos-D.%20Guanh&#227;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LA/Works/MATRIZ/EAP/Curva%201%20folh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WINDOWS\TEMP\~ME07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WINDOWS\TEMP\~ME0B7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Gasun\DOC_EXCE\ESTATIST\E_ac_01\Difn\E_ac_00\Difn\FRQDFN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CVRD\98PR2331\CALCULO\TAB-MO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m\doc%20or&#231;amento\CVRD-PM\Licita&#231;&#245;es\N1041\Or&#231;amento\Or&#231;amento%20CVRD1041%20Rev-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Itens%20Controle%202002%20(BH)\itens%20de%20controle\Ic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LICITA&#199;&#195;O%20-%2013.03.02\Acesso%20a%20Usina%20km%20174+330\Relat&#243;rios\CSTL\Altinopolis\DIVERSOS\Prod.%20de%20Fresa%20Ago.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8f11974b83adbe7/Arquivos/01_REALIZADOS/workana%20JSPP/Novo%20modelo%20BM%202025/BM%2014%20TERRAPLANAGEM%20RV02.xlsm" TargetMode="External"/><Relationship Id="rId1" Type="http://schemas.openxmlformats.org/officeDocument/2006/relationships/externalLinkPath" Target="https://d.docs.live.net/d8f11974b83adbe7/Arquivos/01_REALIZADOS/workana%20JSPP/Novo%20modelo%20BM%202025/BM%2014%20TERRAPLANAGEM%20RV02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ec\f\LICITA&#199;&#195;O%20-%2013.03.02\Acesso%20a%20Usina%20km%20174+330\Relat&#243;rios\CSTL\Altinopolis\DIVERSOS\Prod.%20de%20Fresa%20Ago.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USUARIO\Meus%20documentos\Nuno\CVRD\CVRDMen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temp\EXCEL\LICITAR\CN0499\CN04\LOTE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@RELATORIOS\recolhimento%20de%20trilhos%20na%20EFC\levantamento_trilho\VPL-Recolh-TRxDor-COM%20REPERFILAMENTO-Vxx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01483962/Desktop/Confiabilidade%20VP/CONTRATOS/Modelo%20Atual/CONVENCIONAL/Rev03/Anexo%20II%20-%20QQP%20-%20VP2%20-%20Nova%20Contrata&#231;&#227;o%20REV00%20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Contratacao\Padroes\Formularios%20Orcamento\PQ%20exemplo%20-%20Composica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CVRD\98PR2331\CALCULO\TAB-MOT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VRD-PM\Licita&#231;&#245;es\N1041\Or&#231;amento\Or&#231;amento%20CVRD1041%20Rev-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Meus%20documentos\CVRD_Projetos\Vale%20Transportadora\2_Informa&#231;&#245;es%20Auxiliares\Scania\Planilha%20de%20c&#225;lculos_CVRD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Itens%20Controle%202002%20(BH)\Ic9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CVRD\03pr5681\calculo\TAB-MOT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8f11974b83adbe7/Arquivos/01_REALIZADOS/workana%20JSPP/MAranh&#227;o%202025/BM%203%20INFRA%20III%20CUSTEIO%20MAR&#199;O%20Conf%5e.xlsm" TargetMode="External"/><Relationship Id="rId1" Type="http://schemas.openxmlformats.org/officeDocument/2006/relationships/externalLinkPath" Target="https://d.docs.live.net/d8f11974b83adbe7/Arquivos/01_REALIZADOS/workana%20JSPP/MAranh&#227;o%202025/BM%203%20INFRA%20III%20CUSTEIO%20MAR&#199;O%20Conf%5e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ANE\Downloads\BM%2019_INFRA_II_AGOSTO_REV1%20-%20IMPACTO%20PA.xlsx" TargetMode="External"/><Relationship Id="rId1" Type="http://schemas.openxmlformats.org/officeDocument/2006/relationships/externalLinkPath" Target="https://d.docs.live.net/Users/ROSANE/Downloads/BM%2019_INFRA_II_AGOSTO_REV1%20-%20IMPACTO%20P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enteandrade-my.sharepoint.com/Users/Planejamento%20Medi&#231;&#227;o/Downloads/BM-%2012%20%20AGOSTO%20-%20REVISAO%2004%20-reg%20II%20-%20SEM%20LINK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VIP\VIAPLAN\SUPEREST\CARACTV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VIP\VIAPLAN\SUPEREST\CARACT\DP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ropbox/ENGECOM/INFORMA&#199;&#213;ES%20DO%20CONTRATO/BM_ENGECON_590008640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A-EN-SERV-ARQ\USERS\Meus%20documentos\Excel\PLC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BSA00535\dyna01\ClaudioFerreira\Excel\OR96088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gefen\Estatistica\Estatistica2002\ANUAPLAN\Loco20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0003MBR\CALCULOS\TABELAS\ENCHIMT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ec\f\BDI%20-%20CUSTO%20DIRETO%20E%20INDIRETO%202002\MODELO%20BDI-2002-Vers&#227;o%207.2%20-%2002-02-26%20-%20conferi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&#199;AMENTO\DOCUME~1\Usuario1\CONFIG~1\Temp\PQ_9687%20Comparativo%20Cicl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CONTRATO\372-01\SIS\372-01-00-411-001-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globo.com/Estrategico/Neg&#243;cios/Diversos/Ultrasson/caminh&#245;es%20GAPUN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DUTIVIDADE%20SEMANAL/.MENSAIS/4.%20RELAT&#211;RIOS%20PRODUTIVIDADE%20ABRIL.xlsx" TargetMode="External"/><Relationship Id="rId2" Type="http://schemas.openxmlformats.org/officeDocument/2006/relationships/externalLinkPath" Target="file:///C:\Users\user\Desktop\MEDI&#199;&#195;O%20INFRA%20IV\PRODUTIVIDADE%20SEMANAL\.MENSAIS\4.%20RELAT&#211;RIOS%20PRODUTIVIDADE%20ABRIL.xlsx" TargetMode="External"/><Relationship Id="rId1" Type="http://schemas.openxmlformats.org/officeDocument/2006/relationships/externalLinkPath" Target="/Users/user/Desktop/MEDI&#199;&#195;O%20INFRA%20IV/PRODUTIVIDADE%20SEMANAL/.MENSAIS/4.%20RELAT&#211;RIOS%20PRODUTIVIDADE%20ABRIL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DUTIVIDADE%20SEMANAL/.MENSAIS/5.%20RELAT&#211;RIOS%20PRODUTIVIDADE%20MAIO.xlsx" TargetMode="External"/><Relationship Id="rId2" Type="http://schemas.openxmlformats.org/officeDocument/2006/relationships/externalLinkPath" Target="file:///C:\Users\user\Desktop\MEDI&#199;&#195;O%20INFRA%20IV\PRODUTIVIDADE%20SEMANAL\.MENSAIS\5.%20RELAT&#211;RIOS%20PRODUTIVIDADE%20MAIO.xlsx" TargetMode="External"/><Relationship Id="rId1" Type="http://schemas.openxmlformats.org/officeDocument/2006/relationships/externalLinkPath" Target="/Users/user/Desktop/MEDI&#199;&#195;O%20INFRA%20IV/PRODUTIVIDADE%20SEMANAL/.MENSAIS/5.%20RELAT&#211;RIOS%20PRODUTIVIDADE%20MAIO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DUTIVIDADE%20SEMANAL/.MENSAIS/6.%20RELAT&#211;RIOS%20EQUIPAMENTOS%20JUNHO.xlsx" TargetMode="External"/><Relationship Id="rId2" Type="http://schemas.openxmlformats.org/officeDocument/2006/relationships/externalLinkPath" Target="file:///C:\Users\user\Desktop\MEDI&#199;&#195;O%20INFRA%20IV\PRODUTIVIDADE%20SEMANAL\.MENSAIS\6.%20RELAT&#211;RIOS%20EQUIPAMENTOS%20JUNHO.xlsx" TargetMode="External"/><Relationship Id="rId1" Type="http://schemas.openxmlformats.org/officeDocument/2006/relationships/externalLinkPath" Target="/Users/user/Desktop/MEDI&#199;&#195;O%20INFRA%20IV/PRODUTIVIDADE%20SEMANAL/.MENSAIS/6.%20RELAT&#211;RIOS%20EQUIPAMENTOS%20JUN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-D.Guanhães"/>
      <sheetName val="D. Guanhães"/>
      <sheetName val="Orçamento"/>
      <sheetName val="D. Guanhães (2)"/>
      <sheetName val="Orçamento (rev01)"/>
      <sheetName val="D. Guanhães (3)"/>
      <sheetName val="BASIC_X-EDIT_X_ALT"/>
      <sheetName val="OT"/>
      <sheetName val="PLAN_POPIM"/>
      <sheetName val="OPE_D_Guanhães"/>
      <sheetName val="encarreagados"/>
      <sheetName val="Plan3"/>
      <sheetName val="QQP"/>
      <sheetName val="Salários"/>
      <sheetName val="Exames Médicos"/>
      <sheetName val="Mala Ferramentas"/>
      <sheetName val="EPIS - Seg Trab"/>
      <sheetName val="Validações"/>
      <sheetName val="filtros"/>
      <sheetName val="INCCTOT"/>
      <sheetName val="VD"/>
      <sheetName val="Tabela de Produção Fixa"/>
      <sheetName val="Apresent por Tipo CF_CV"/>
      <sheetName val="Análise de Orçamentos-D"/>
      <sheetName val="Histograma"/>
      <sheetName val="Listas"/>
      <sheetName val="OPE-D_Guanhães"/>
      <sheetName val="D__Guanhães"/>
      <sheetName val="D__Guanhães_(2)"/>
      <sheetName val="Orçamento_(rev01)"/>
      <sheetName val="D__Guanhães_(3)"/>
      <sheetName val="Exames_Médicos"/>
      <sheetName val="Mala_Ferramentas"/>
      <sheetName val="EPIS_-_Seg_Trab"/>
      <sheetName val="Areas"/>
      <sheetName val="Instruções"/>
      <sheetName val="GRÁFICO"/>
      <sheetName val="DADOS"/>
      <sheetName val="Tabela_de_Produção_Fixa"/>
      <sheetName val="산근"/>
      <sheetName val="EE-PROP"/>
      <sheetName val="ASSINATURAS"/>
      <sheetName val="TABELA"/>
      <sheetName val="Planilha2"/>
      <sheetName val="Carga Equipamentos e Horas"/>
      <sheetName val="Cen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HIST MO IND SEMANAS"/>
      <sheetName val="Curva 1 folha"/>
      <sheetName val="Compromissado"/>
      <sheetName val="025"/>
      <sheetName val="HISTOGRAMA-M.O"/>
      <sheetName val="Modelo Atual (2)"/>
      <sheetName val="orc_csdareal_eng"/>
      <sheetName val="HHdQTD"/>
      <sheetName val="A_comprometer"/>
      <sheetName val="Realizado"/>
      <sheetName val="Aportes"/>
      <sheetName val="Comprometido_a_Receber"/>
      <sheetName val="IMPROD RESUMO"/>
      <sheetName val="Orc_Pad_Edif_Analítico"/>
      <sheetName val="Orc_Compl_Analítico"/>
      <sheetName val="List"/>
      <sheetName val="BD2"/>
      <sheetName val="Resumo"/>
      <sheetName val="Equipment Attributes"/>
      <sheetName val="ProcessSheet"/>
      <sheetName val="Price Summary"/>
      <sheetName val="CNAExRAT"/>
      <sheetName val="Condulete AL - DIVERSOS"/>
      <sheetName val="은행"/>
      <sheetName val="VOLUME"/>
      <sheetName val="LISTS"/>
      <sheetName val="Par"/>
      <sheetName val="RG Depots"/>
      <sheetName val="안산기계장치"/>
      <sheetName val="Hoja 1"/>
      <sheetName val="Plants Address"/>
      <sheetName val="AR01"/>
      <sheetName val="Tablas"/>
      <sheetName val="CLASIFICACION DE AI"/>
      <sheetName val="Base da Datos"/>
      <sheetName val="Jun"/>
      <sheetName val="Tables"/>
      <sheetName val="Sheet2"/>
      <sheetName val="Painel"/>
      <sheetName val="Informações"/>
      <sheetName val="Qualidade"/>
      <sheetName val="Quantitativo"/>
      <sheetName val="Segurança"/>
      <sheetName val="Cronograma"/>
      <sheetName val="Pilling"/>
      <sheetName val="IEE"/>
      <sheetName val="Curva IEE - C"/>
      <sheetName val="Curva IEE - M"/>
      <sheetName val="Implatanção"/>
      <sheetName val="Inf. Complementares"/>
      <sheetName val="Curva"/>
      <sheetName val="Mapa Chuvas"/>
      <sheetName val="Críticos"/>
      <sheetName val="Rel. Fot."/>
      <sheetName val="Quantitativo Base"/>
      <sheetName val="Cronog Pessoal Civil"/>
      <sheetName val="Cronog Pessoal Montagem"/>
      <sheetName val="Input"/>
      <sheetName val="Area Livre"/>
      <sheetName val="EAP"/>
      <sheetName val="BD"/>
      <sheetName val="Area Deviation"/>
      <sheetName val="TAB SALÁRIO"/>
      <sheetName val="BQMPALOC"/>
      <sheetName val="VIZ4"/>
      <sheetName val="VIZ7"/>
      <sheetName val="UZ"/>
      <sheetName val="HIST_MO_IND_SEMANAS"/>
      <sheetName val="Curva_1_folha"/>
      <sheetName val="HISTOGRAMA-M_O"/>
      <sheetName val="Modelo_Atual_(2)"/>
      <sheetName val="B"/>
      <sheetName val="Plan1"/>
      <sheetName val="SFM input"/>
      <sheetName val="Look Ups"/>
      <sheetName val="Params"/>
      <sheetName val="Datos"/>
      <sheetName val="ATIVOS"/>
      <sheetName val="Principal"/>
      <sheetName val="APPLICATION 1"/>
      <sheetName val="ESTIMATE 1"/>
      <sheetName val="JOB COST SUMMARY"/>
      <sheetName val="Operational &amp; Dim Data 1"/>
      <sheetName val="SPARE PARTS"/>
      <sheetName val="Design Criteria 1"/>
      <sheetName val="Operational &amp; Dim Data 2"/>
      <sheetName val="Design Criteria 2"/>
      <sheetName val="Operational &amp; Dim Data 3"/>
      <sheetName val="Design Criteria 3"/>
      <sheetName val="Operational &amp; Dim Data 4"/>
      <sheetName val="Design Criteria 4"/>
      <sheetName val="Cost-Misc.Comp."/>
      <sheetName val="Cost-Fab &amp; Assm"/>
      <sheetName val="Shaft&amp;Brgs"/>
      <sheetName val="SCHEDULE"/>
      <sheetName val="DRAG CONV."/>
      <sheetName val="Elec. Costs"/>
      <sheetName val="Cost-TractorComp."/>
      <sheetName val="Cost-Pans"/>
      <sheetName val="Drop Downs"/>
      <sheetName val="Revision LOG"/>
      <sheetName val="APPLICATION_1"/>
      <sheetName val="ESTIMATE_1"/>
      <sheetName val="JOB_COST_SUMMARY"/>
      <sheetName val="Operational_&amp;_Dim_Data_1"/>
      <sheetName val="SPARE_PARTS"/>
      <sheetName val="Design_Criteria_1"/>
      <sheetName val="Operational_&amp;_Dim_Data_2"/>
      <sheetName val="Design_Criteria_2"/>
      <sheetName val="Operational_&amp;_Dim_Data_3"/>
      <sheetName val="Design_Criteria_3"/>
      <sheetName val="Operational_&amp;_Dim_Data_4"/>
      <sheetName val="Design_Criteria_4"/>
      <sheetName val="Cost-Misc_Comp_"/>
      <sheetName val="Cost-Fab_&amp;_Assm"/>
      <sheetName val="DRAG_CONV_"/>
      <sheetName val="Elec__Costs"/>
      <sheetName val="Cost-TractorComp_"/>
      <sheetName val="Drop_Downs"/>
      <sheetName val="Revision_LOG"/>
      <sheetName val="Curva_1_folha1"/>
      <sheetName val="APPLICATION_11"/>
      <sheetName val="ESTIMATE_11"/>
      <sheetName val="JOB_COST_SUMMARY1"/>
      <sheetName val="Operational_&amp;_Dim_Data_11"/>
      <sheetName val="SPARE_PARTS1"/>
      <sheetName val="Design_Criteria_11"/>
      <sheetName val="Operational_&amp;_Dim_Data_21"/>
      <sheetName val="Design_Criteria_21"/>
      <sheetName val="Operational_&amp;_Dim_Data_31"/>
      <sheetName val="Design_Criteria_31"/>
      <sheetName val="Operational_&amp;_Dim_Data_41"/>
      <sheetName val="Design_Criteria_41"/>
      <sheetName val="Cost-Misc_Comp_1"/>
      <sheetName val="Cost-Fab_&amp;_Assm1"/>
      <sheetName val="DRAG_CONV_1"/>
      <sheetName val="Elec__Costs1"/>
      <sheetName val="Cost-TractorComp_1"/>
      <sheetName val="Drop_Downs1"/>
      <sheetName val="Revision_LOG1"/>
      <sheetName val="HIST_MO_IND_SEMANAS1"/>
      <sheetName val="Modelo_Atual_(2)1"/>
      <sheetName val="HISTOGRAMA-M_O1"/>
      <sheetName val="DePara"/>
      <sheetName val="BANCO IP"/>
      <sheetName val="apoio"/>
      <sheetName val="RI"/>
      <sheetName val="BASE_GERAL"/>
      <sheetName val="Calendario"/>
      <sheetName val="Fig 4-14"/>
      <sheetName val="estgg"/>
      <sheetName val="Insumos"/>
      <sheetName val="Dados_02"/>
      <sheetName val="下拉框数据源"/>
      <sheetName val="分类标准"/>
      <sheetName val="Sheet1"/>
      <sheetName val="成本中心与部门的映射"/>
      <sheetName val="8.2 MD"/>
      <sheetName val="BASE"/>
      <sheetName val="Values"/>
      <sheetName val="Drop Down"/>
      <sheetName val="Data Validation"/>
      <sheetName val="Histograma 502"/>
      <sheetName val="input List"/>
      <sheetName val="lista"/>
      <sheetName val="Chave Restauração"/>
      <sheetName val="PG25_DIAGNOSTICO_FLORESTAL_3001"/>
      <sheetName val="PG25_DIAGNOSTICO_FLORESTAL_2901"/>
      <sheetName val="Plan2"/>
      <sheetName val="Planilha1"/>
      <sheetName val="TABELA"/>
      <sheetName val="1"/>
      <sheetName val="ANEXO XI"/>
      <sheetName val="Instruções de Preenchimento"/>
      <sheetName val="rsklibSimData"/>
      <sheetName val="EC_Capa"/>
      <sheetName val="EC_Descrição"/>
      <sheetName val="EC_Premissas"/>
      <sheetName val="EC_DFP"/>
      <sheetName val="RiskSerializationData"/>
      <sheetName val="Montagem Eletromecânica"/>
      <sheetName val="ANEXO I - Análise de Risco"/>
      <sheetName val="4- Cotação (Fornecedores)"/>
      <sheetName val="!Dessulfuração"/>
      <sheetName val="CURVA S"/>
      <sheetName val="CLASSE DO DESVIO "/>
      <sheetName val="GRAVIDADE"/>
      <sheetName val="ÁREA"/>
      <sheetName val="Listas Suspensas"/>
      <sheetName val="Listas"/>
      <sheetName val="EAIGESEN"/>
      <sheetName val="Macro1"/>
      <sheetName val="Anexos"/>
      <sheetName val="DADOS"/>
      <sheetName val="Curva S "/>
      <sheetName val="EAP-comissionamento"/>
      <sheetName val="Total para análise"/>
      <sheetName val="9.2 - CURVA"/>
      <sheetName val="Clientes - analítico"/>
      <sheetName val="BD_CURVA FABRIC"/>
      <sheetName val="CTL FABRIC."/>
      <sheetName val="PESO LAUDOS"/>
      <sheetName val="BD_ PAINEL"/>
      <sheetName val="INVENTÁRIO"/>
      <sheetName val="Projeção Gerencial"/>
      <sheetName val="Planilha3"/>
      <sheetName val="Planilha4"/>
      <sheetName val="QQP"/>
      <sheetName val="21.09.2022"/>
      <sheetName val="22.09.2022"/>
      <sheetName val="23.09.2022"/>
      <sheetName val="24.09.2022"/>
      <sheetName val="25.09.2022"/>
      <sheetName val="26.09.2022"/>
      <sheetName val="27.09.2022"/>
      <sheetName val="28.09.2022"/>
      <sheetName val="29.09.2022"/>
      <sheetName val="30.09.2022"/>
      <sheetName val="01.10.2022"/>
      <sheetName val="02.10.2022"/>
      <sheetName val="03.10.2022"/>
      <sheetName val="04.10.2022"/>
      <sheetName val="05.10.2022"/>
      <sheetName val="06.10.2022"/>
      <sheetName val="07.10.2022"/>
      <sheetName val="08.10.2022"/>
      <sheetName val="09.10.2022"/>
      <sheetName val="10.10.2022"/>
      <sheetName val="11.10.2022"/>
      <sheetName val="12.10.2022"/>
      <sheetName val="13.10.2022"/>
      <sheetName val="14.10.2022"/>
      <sheetName val="15.10.2022"/>
      <sheetName val="16.10.2022"/>
      <sheetName val="17.10.2022"/>
      <sheetName val="18.10.2022"/>
      <sheetName val="19.10.2022"/>
      <sheetName val="20.10.2022"/>
      <sheetName val="Historico"/>
      <sheetName val="QQP Rev.01 - TAC 01"/>
      <sheetName val="BM - 21"/>
      <sheetName val="Controle - Hora Extra (2)"/>
      <sheetName val="Controle - Hora Extra."/>
      <sheetName val="Controle - Hora Extra (Lupesse)"/>
      <sheetName val="Relação de SE-Iluminação"/>
      <sheetName val="Controle - Hora Extra. (2)"/>
      <sheetName val="Planilha2"/>
      <sheetName val="Mapemento de painel (2)"/>
      <sheetName val="Calend"/>
      <sheetName val="Controle de cabos"/>
      <sheetName val="Cadastros"/>
      <sheetName val="Painting"/>
      <sheetName val="MENSAL"/>
      <sheetName val="BD_HE"/>
      <sheetName val="BD_Distritos"/>
      <sheetName val="GDP"/>
      <sheetName val="Geral"/>
      <sheetName val="Curva-S FÍSICO CRONOGRAMA"/>
      <sheetName val="Cronograma (2)"/>
      <sheetName val="Planilha de Pesos"/>
      <sheetName val="Curva-S FÍSICO"/>
      <sheetName val="Curva-S Financeiro"/>
      <sheetName val="dados para curvas"/>
      <sheetName val="dados para cronograma"/>
      <sheetName val="dados para curva do cronograma"/>
      <sheetName val="IE IS Geral"/>
      <sheetName val="Materiais IE e IS"/>
      <sheetName val="Graf IE e IS"/>
      <sheetName val="Graf Equip e Instr"/>
      <sheetName val="15 FuM Indicador MA"/>
      <sheetName val="HIST_MO_IND_SEMANAS2"/>
      <sheetName val="Curva_1_folha2"/>
      <sheetName val="HISTOGRAMA-M_O2"/>
      <sheetName val="Modelo_Atual_(2)2"/>
      <sheetName val="Equipment_Attributes"/>
      <sheetName val="Price_Summary"/>
      <sheetName val="IMPROD_RESUMO"/>
      <sheetName val="RG_Depots"/>
      <sheetName val="Hoja_1"/>
      <sheetName val="Plants_Address"/>
      <sheetName val="CLASIFICACION_DE_AI"/>
      <sheetName val="Base_da_Datos"/>
      <sheetName val="Condulete_AL_-_DIVERSOS"/>
      <sheetName val="SFM_input"/>
      <sheetName val="Look_Ups"/>
      <sheetName val="TAB_SALÁRIO"/>
      <sheetName val="input_List"/>
      <sheetName val="BANCO_IP"/>
      <sheetName val="APPLICATION_12"/>
      <sheetName val="ESTIMATE_12"/>
      <sheetName val="JOB_COST_SUMMARY2"/>
      <sheetName val="Operational_&amp;_Dim_Data_12"/>
      <sheetName val="SPARE_PARTS2"/>
      <sheetName val="Design_Criteria_12"/>
      <sheetName val="Operational_&amp;_Dim_Data_22"/>
      <sheetName val="Design_Criteria_22"/>
      <sheetName val="Operational_&amp;_Dim_Data_32"/>
      <sheetName val="Design_Criteria_32"/>
      <sheetName val="Operational_&amp;_Dim_Data_42"/>
      <sheetName val="Design_Criteria_42"/>
      <sheetName val="Cost-Misc_Comp_2"/>
      <sheetName val="Cost-Fab_&amp;_Assm2"/>
      <sheetName val="DRAG_CONV_2"/>
      <sheetName val="Elec__Costs2"/>
      <sheetName val="Cost-TractorComp_2"/>
      <sheetName val="Drop_Downs2"/>
      <sheetName val="Revision_LOG2"/>
      <sheetName val="Curva_IEE_-_C"/>
      <sheetName val="Curva_IEE_-_M"/>
      <sheetName val="Inf__Complementares"/>
      <sheetName val="Mapa_Chuvas"/>
      <sheetName val="Rel__Fot_"/>
      <sheetName val="Quantitativo_Base"/>
      <sheetName val="Cronog_Pessoal_Civil"/>
      <sheetName val="Cronog_Pessoal_Montagem"/>
      <sheetName val="Area_Livre"/>
      <sheetName val="Area_Deviation"/>
      <sheetName val="Fig_4-14"/>
      <sheetName val="8_2_MD"/>
      <sheetName val="Drop_Down"/>
      <sheetName val="Data_Validation"/>
      <sheetName val="Histograma_502"/>
      <sheetName val="Chave_Restauração"/>
      <sheetName val="#REF"/>
      <sheetName val="FAIXA"/>
      <sheetName val="Check List- Gerrot"/>
      <sheetName val="Bunker"/>
      <sheetName val="VP1 Corinto"/>
      <sheetName val="Consol"/>
      <sheetName val="Vg. Inventariados-dados"/>
      <sheetName val="Distritos_2001"/>
      <sheetName val="MêsBase"/>
      <sheetName val="DadosOrc"/>
      <sheetName val="Grafico Geral Orçamento"/>
      <sheetName val="JUST NAT 52"/>
      <sheetName val="Just Nat 57 B"/>
      <sheetName val="sispecabr99"/>
      <sheetName val="Pessoal CVRD"/>
      <sheetName val="CEARA"/>
      <sheetName val="Plan2 (2)"/>
      <sheetName val="Empresas"/>
      <sheetName val="Check List"/>
      <sheetName val="Ano2001"/>
      <sheetName val="Sispec"/>
      <sheetName val="Sispec99"/>
      <sheetName val="SispecPSAP"/>
      <sheetName val="Tabelas"/>
      <sheetName val="TC IN"/>
      <sheetName val="consolidado preventivas"/>
      <sheetName val="GAVNG -EPI"/>
      <sheetName val="25 FuM Risco"/>
      <sheetName val="Banco de Dados"/>
      <sheetName val="Modelo_Atual_(2)3"/>
      <sheetName val="HISTOGRAMA-M_O3"/>
      <sheetName val="Curva_1_folha3"/>
      <sheetName val="HIST_MO_IND_SEMANAS3"/>
      <sheetName val="IMPROD_RESUMO1"/>
      <sheetName val="Equipment_Attributes1"/>
      <sheetName val="Price_Summary1"/>
      <sheetName val="TAB_SALÁRIO1"/>
      <sheetName val="Curva_IEE_-_C1"/>
      <sheetName val="Curva_IEE_-_M1"/>
      <sheetName val="Inf__Complementares1"/>
      <sheetName val="Mapa_Chuvas1"/>
      <sheetName val="Rel__Fot_1"/>
      <sheetName val="Quantitativo_Base1"/>
      <sheetName val="Cronog_Pessoal_Civil1"/>
      <sheetName val="Cronog_Pessoal_Montagem1"/>
      <sheetName val="Area_Livre1"/>
      <sheetName val="Area_Deviation1"/>
      <sheetName val="Condulete_AL_-_DIVERSOS1"/>
      <sheetName val="RG_Depots1"/>
      <sheetName val="Hoja_11"/>
      <sheetName val="Plants_Address1"/>
      <sheetName val="CLASIFICACION_DE_AI1"/>
      <sheetName val="Base_da_Datos1"/>
      <sheetName val="SFM_input1"/>
      <sheetName val="Look_Ups1"/>
      <sheetName val="input_List1"/>
      <sheetName val="APPLICATION_13"/>
      <sheetName val="ESTIMATE_13"/>
      <sheetName val="JOB_COST_SUMMARY3"/>
      <sheetName val="Operational_&amp;_Dim_Data_13"/>
      <sheetName val="SPARE_PARTS3"/>
      <sheetName val="Design_Criteria_13"/>
      <sheetName val="Operational_&amp;_Dim_Data_23"/>
      <sheetName val="Design_Criteria_23"/>
      <sheetName val="Operational_&amp;_Dim_Data_33"/>
      <sheetName val="Design_Criteria_33"/>
      <sheetName val="Operational_&amp;_Dim_Data_43"/>
      <sheetName val="Design_Criteria_43"/>
      <sheetName val="Cost-Misc_Comp_3"/>
      <sheetName val="Cost-Fab_&amp;_Assm3"/>
      <sheetName val="DRAG_CONV_3"/>
      <sheetName val="Elec__Costs3"/>
      <sheetName val="Cost-TractorComp_3"/>
      <sheetName val="Drop_Downs3"/>
      <sheetName val="Revision_LOG3"/>
      <sheetName val="Fig_4-141"/>
      <sheetName val="2 Pricing Summaries"/>
      <sheetName val="GF(Meta)"/>
      <sheetName val="Indexadores"/>
      <sheetName val="PQ -  PDE 1"/>
      <sheetName val="BANCO_IP1"/>
      <sheetName val="8_2_MD1"/>
      <sheetName val="Drop_Down1"/>
      <sheetName val="Data_Validation1"/>
      <sheetName val="Histograma_5021"/>
      <sheetName val="HIST_MO_IND_SEMANAS4"/>
      <sheetName val="HISTOGRAMA-M_O4"/>
      <sheetName val="Modelo_Atual_(2)4"/>
      <sheetName val="Curva_1_folha4"/>
      <sheetName val="IMPROD_RESUMO2"/>
      <sheetName val="Equipment_Attributes2"/>
      <sheetName val="Price_Summary2"/>
      <sheetName val="RG_Depots2"/>
      <sheetName val="Hoja_12"/>
      <sheetName val="Plants_Address2"/>
      <sheetName val="CLASIFICACION_DE_AI2"/>
      <sheetName val="Base_da_Datos2"/>
      <sheetName val="Condulete_AL_-_DIVERSOS2"/>
      <sheetName val="SFM_input2"/>
      <sheetName val="Look_Ups2"/>
      <sheetName val="TAB_SALÁRIO2"/>
      <sheetName val="input_List2"/>
      <sheetName val="BANCO_IP2"/>
      <sheetName val="APPLICATION_14"/>
      <sheetName val="ESTIMATE_14"/>
      <sheetName val="JOB_COST_SUMMARY4"/>
      <sheetName val="Operational_&amp;_Dim_Data_14"/>
      <sheetName val="SPARE_PARTS4"/>
      <sheetName val="Design_Criteria_14"/>
      <sheetName val="Operational_&amp;_Dim_Data_24"/>
      <sheetName val="Design_Criteria_24"/>
      <sheetName val="Operational_&amp;_Dim_Data_34"/>
      <sheetName val="Design_Criteria_34"/>
      <sheetName val="Operational_&amp;_Dim_Data_44"/>
      <sheetName val="Design_Criteria_44"/>
      <sheetName val="Cost-Misc_Comp_4"/>
      <sheetName val="Cost-Fab_&amp;_Assm4"/>
      <sheetName val="DRAG_CONV_4"/>
      <sheetName val="Elec__Costs4"/>
      <sheetName val="Cost-TractorComp_4"/>
      <sheetName val="Drop_Downs4"/>
      <sheetName val="Revision_LOG4"/>
      <sheetName val="Curva_IEE_-_C2"/>
      <sheetName val="Curva_IEE_-_M2"/>
      <sheetName val="Inf__Complementares2"/>
      <sheetName val="Mapa_Chuvas2"/>
      <sheetName val="Rel__Fot_2"/>
      <sheetName val="Quantitativo_Base2"/>
      <sheetName val="Cronog_Pessoal_Civil2"/>
      <sheetName val="Cronog_Pessoal_Montagem2"/>
      <sheetName val="Area_Livre2"/>
      <sheetName val="Area_Deviation2"/>
      <sheetName val="Fig_4-142"/>
      <sheetName val="8_2_MD2"/>
      <sheetName val="Drop_Down2"/>
      <sheetName val="Data_Validation2"/>
      <sheetName val="Histograma_5022"/>
      <sheetName val="Acionamento"/>
      <sheetName val="Step_0_Team_CALENDAR"/>
      <sheetName val="ANEXO_XI"/>
      <sheetName val="Instruções_de_Preenchimento"/>
      <sheetName val="Montagem_Eletromecânica"/>
      <sheetName val="ANEXO_I_-_Análise_de_Risco"/>
      <sheetName val="4-_Cotação_(Fornecedores)"/>
      <sheetName val="CURVA_S"/>
      <sheetName val="CLASSE_DO_DESVIO_"/>
      <sheetName val="Listas_Suspensas"/>
      <sheetName val="BD_CURVA_FABRIC"/>
      <sheetName val="CTL_FABRIC_"/>
      <sheetName val="PESO_LAUDOS"/>
      <sheetName val="BD__PAINEL"/>
      <sheetName val="Projeção_Gerencial"/>
      <sheetName val="21_09_2022"/>
      <sheetName val="22_09_2022"/>
      <sheetName val="23_09_2022"/>
      <sheetName val="24_09_2022"/>
      <sheetName val="25_09_2022"/>
      <sheetName val="26_09_2022"/>
      <sheetName val="27_09_2022"/>
      <sheetName val="28_09_2022"/>
      <sheetName val="29_09_2022"/>
      <sheetName val="30_09_2022"/>
      <sheetName val="01_10_2022"/>
      <sheetName val="02_10_2022"/>
      <sheetName val="03_10_2022"/>
      <sheetName val="04_10_2022"/>
      <sheetName val="05_10_2022"/>
      <sheetName val="06_10_2022"/>
      <sheetName val="07_10_2022"/>
      <sheetName val="08_10_2022"/>
      <sheetName val="09_10_2022"/>
      <sheetName val="10_10_2022"/>
      <sheetName val="11_10_2022"/>
      <sheetName val="12_10_2022"/>
      <sheetName val="13_10_2022"/>
      <sheetName val="14_10_2022"/>
      <sheetName val="15_10_2022"/>
      <sheetName val="16_10_2022"/>
      <sheetName val="17_10_2022"/>
      <sheetName val="18_10_2022"/>
      <sheetName val="19_10_2022"/>
      <sheetName val="20_10_2022"/>
      <sheetName val="QQP_Rev_01_-_TAC_01"/>
      <sheetName val="BM_-_21"/>
      <sheetName val="Controle_-_Hora_Extra_(2)"/>
      <sheetName val="Controle_-_Hora_Extra_"/>
      <sheetName val="Controle_-_Hora_Extra_(Lupesse)"/>
      <sheetName val="Relação_de_SE-Iluminação"/>
      <sheetName val="Controle_-_Hora_Extra__(2)"/>
      <sheetName val="Mapemento_de_painel_(2)"/>
      <sheetName val="Controle_de_cabos"/>
      <sheetName val="Curva-S_FÍSICO_CRONOGRAMA"/>
      <sheetName val="Cronograma_(2)"/>
      <sheetName val="Planilha_de_Pesos"/>
      <sheetName val="Curva-S_FÍSICO"/>
      <sheetName val="Curva-S_Financeiro"/>
      <sheetName val="dados_para_curvas"/>
      <sheetName val="dados_para_cronograma"/>
      <sheetName val="dados_para_curva_do_cronograma"/>
      <sheetName val="IE_IS_Geral"/>
      <sheetName val="Materiais_IE_e_IS"/>
      <sheetName val="Graf_IE_e_IS"/>
      <sheetName val="Graf_Equip_e_Instr"/>
      <sheetName val="15_FuM_Indicador_MA"/>
      <sheetName val="9_2_-_CURVA"/>
      <sheetName val="Clientes_-_analítico"/>
      <sheetName val="Curva_S_"/>
      <sheetName val="Total_para_análise"/>
      <sheetName val="Chave_Restauração1"/>
      <sheetName val="ANEXO_XI1"/>
      <sheetName val="Instruções_de_Preenchimento1"/>
      <sheetName val="Montagem_Eletromecânica1"/>
      <sheetName val="ANEXO_I_-_Análise_de_Risco1"/>
      <sheetName val="4-_Cotação_(Fornecedores)1"/>
      <sheetName val="CURVA_S1"/>
      <sheetName val="CLASSE_DO_DESVIO_1"/>
      <sheetName val="Listas_Suspensas1"/>
      <sheetName val="BD_CURVA_FABRIC1"/>
      <sheetName val="CTL_FABRIC_1"/>
      <sheetName val="PESO_LAUDOS1"/>
      <sheetName val="BD__PAINEL1"/>
      <sheetName val="Projeção_Gerencial1"/>
      <sheetName val="21_09_20221"/>
      <sheetName val="22_09_20221"/>
      <sheetName val="23_09_20221"/>
      <sheetName val="24_09_20221"/>
      <sheetName val="25_09_20221"/>
      <sheetName val="26_09_20221"/>
      <sheetName val="27_09_20221"/>
      <sheetName val="28_09_20221"/>
      <sheetName val="29_09_20221"/>
      <sheetName val="30_09_20221"/>
      <sheetName val="01_10_20221"/>
      <sheetName val="02_10_20221"/>
      <sheetName val="03_10_20221"/>
      <sheetName val="04_10_20221"/>
      <sheetName val="05_10_20221"/>
      <sheetName val="06_10_20221"/>
      <sheetName val="07_10_20221"/>
      <sheetName val="08_10_20221"/>
      <sheetName val="09_10_20221"/>
      <sheetName val="10_10_20221"/>
      <sheetName val="11_10_20221"/>
      <sheetName val="12_10_20221"/>
      <sheetName val="13_10_20221"/>
      <sheetName val="14_10_20221"/>
      <sheetName val="15_10_20221"/>
      <sheetName val="16_10_20221"/>
      <sheetName val="17_10_20221"/>
      <sheetName val="18_10_20221"/>
      <sheetName val="19_10_20221"/>
      <sheetName val="20_10_20221"/>
      <sheetName val="QQP_Rev_01_-_TAC_011"/>
      <sheetName val="BM_-_211"/>
      <sheetName val="Controle_-_Hora_Extra_(2)1"/>
      <sheetName val="Controle_-_Hora_Extra_1"/>
      <sheetName val="Controle_-_Hora_Extra_(Lupesse1"/>
      <sheetName val="Relação_de_SE-Iluminação1"/>
      <sheetName val="Controle_-_Hora_Extra__(2)1"/>
      <sheetName val="Mapemento_de_painel_(2)1"/>
      <sheetName val="Controle_de_cabos1"/>
      <sheetName val="Curva-S_FÍSICO_CRONOGRAMA1"/>
      <sheetName val="Cronograma_(2)1"/>
      <sheetName val="Planilha_de_Pesos1"/>
      <sheetName val="Curva-S_FÍSICO1"/>
      <sheetName val="Curva-S_Financeiro1"/>
      <sheetName val="dados_para_curvas1"/>
      <sheetName val="dados_para_cronograma1"/>
      <sheetName val="dados_para_curva_do_cronograma1"/>
      <sheetName val="IE_IS_Geral1"/>
      <sheetName val="Materiais_IE_e_IS1"/>
      <sheetName val="Graf_IE_e_IS1"/>
      <sheetName val="Graf_Equip_e_Instr1"/>
      <sheetName val="15_FuM_Indicador_MA1"/>
      <sheetName val="9_2_-_CURVA1"/>
      <sheetName val="Clientes_-_analítico1"/>
      <sheetName val="Curva_S_1"/>
      <sheetName val="Total_para_análise1"/>
    </sheetNames>
    <sheetDataSet>
      <sheetData sheetId="0" refreshError="1">
        <row r="11">
          <cell r="F11">
            <v>1</v>
          </cell>
          <cell r="G11">
            <v>2</v>
          </cell>
          <cell r="H11">
            <v>3</v>
          </cell>
          <cell r="I11">
            <v>4</v>
          </cell>
          <cell r="J11">
            <v>5</v>
          </cell>
          <cell r="K11">
            <v>6</v>
          </cell>
          <cell r="L11">
            <v>7</v>
          </cell>
          <cell r="M11">
            <v>8</v>
          </cell>
          <cell r="N11">
            <v>9</v>
          </cell>
          <cell r="O11">
            <v>10</v>
          </cell>
          <cell r="P11">
            <v>11</v>
          </cell>
          <cell r="Q11">
            <v>12</v>
          </cell>
          <cell r="R11">
            <v>13</v>
          </cell>
          <cell r="S11">
            <v>14</v>
          </cell>
          <cell r="T11">
            <v>15</v>
          </cell>
          <cell r="U11">
            <v>16</v>
          </cell>
          <cell r="V11">
            <v>17</v>
          </cell>
          <cell r="W11">
            <v>18</v>
          </cell>
          <cell r="X11">
            <v>19</v>
          </cell>
          <cell r="Y11">
            <v>20</v>
          </cell>
          <cell r="Z11">
            <v>21</v>
          </cell>
          <cell r="AA11">
            <v>22</v>
          </cell>
          <cell r="AB11">
            <v>23</v>
          </cell>
          <cell r="AC11">
            <v>24</v>
          </cell>
          <cell r="AD11">
            <v>25</v>
          </cell>
          <cell r="AE11">
            <v>26</v>
          </cell>
          <cell r="AF11">
            <v>27</v>
          </cell>
          <cell r="AG11">
            <v>28</v>
          </cell>
        </row>
        <row r="58">
          <cell r="AG58" t="e">
            <v>#DIV/0!</v>
          </cell>
        </row>
        <row r="60">
          <cell r="AE60" t="e">
            <v>#DIV/0!</v>
          </cell>
          <cell r="AF60" t="e">
            <v>#DIV/0!</v>
          </cell>
          <cell r="AG60" t="e">
            <v>#DIV/0!</v>
          </cell>
        </row>
        <row r="62">
          <cell r="AE62" t="e">
            <v>#DIV/0!</v>
          </cell>
          <cell r="AF62" t="e">
            <v>#DIV/0!</v>
          </cell>
          <cell r="AG62" t="e">
            <v>#DIV/0!</v>
          </cell>
        </row>
        <row r="64">
          <cell r="AE64" t="e">
            <v>#DIV/0!</v>
          </cell>
          <cell r="AF64" t="e">
            <v>#DIV/0!</v>
          </cell>
          <cell r="AG64" t="e">
            <v>#DIV/0!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1">
          <cell r="F11">
            <v>0</v>
          </cell>
        </row>
      </sheetData>
      <sheetData sheetId="40">
        <row r="11">
          <cell r="F11">
            <v>1</v>
          </cell>
        </row>
      </sheetData>
      <sheetData sheetId="41">
        <row r="11">
          <cell r="F11">
            <v>1</v>
          </cell>
        </row>
      </sheetData>
      <sheetData sheetId="42">
        <row r="11">
          <cell r="F11">
            <v>1</v>
          </cell>
        </row>
      </sheetData>
      <sheetData sheetId="43">
        <row r="11">
          <cell r="F11">
            <v>1</v>
          </cell>
        </row>
      </sheetData>
      <sheetData sheetId="44">
        <row r="11">
          <cell r="F11">
            <v>1</v>
          </cell>
        </row>
      </sheetData>
      <sheetData sheetId="45">
        <row r="11">
          <cell r="F11">
            <v>1</v>
          </cell>
        </row>
      </sheetData>
      <sheetData sheetId="46">
        <row r="11">
          <cell r="F11">
            <v>1</v>
          </cell>
        </row>
      </sheetData>
      <sheetData sheetId="47">
        <row r="11">
          <cell r="F11">
            <v>1</v>
          </cell>
        </row>
      </sheetData>
      <sheetData sheetId="48">
        <row r="11">
          <cell r="F11">
            <v>1</v>
          </cell>
        </row>
      </sheetData>
      <sheetData sheetId="49">
        <row r="11">
          <cell r="F11">
            <v>1</v>
          </cell>
        </row>
      </sheetData>
      <sheetData sheetId="50">
        <row r="11">
          <cell r="F11">
            <v>1</v>
          </cell>
        </row>
      </sheetData>
      <sheetData sheetId="51">
        <row r="11">
          <cell r="F11">
            <v>1</v>
          </cell>
        </row>
      </sheetData>
      <sheetData sheetId="52">
        <row r="11">
          <cell r="F11">
            <v>1</v>
          </cell>
        </row>
      </sheetData>
      <sheetData sheetId="53">
        <row r="11">
          <cell r="F11">
            <v>0</v>
          </cell>
        </row>
      </sheetData>
      <sheetData sheetId="54">
        <row r="11">
          <cell r="F11">
            <v>0</v>
          </cell>
        </row>
      </sheetData>
      <sheetData sheetId="55">
        <row r="11">
          <cell r="F11">
            <v>0</v>
          </cell>
        </row>
      </sheetData>
      <sheetData sheetId="56">
        <row r="11">
          <cell r="F11">
            <v>0</v>
          </cell>
        </row>
      </sheetData>
      <sheetData sheetId="57">
        <row r="11">
          <cell r="F11">
            <v>0</v>
          </cell>
        </row>
      </sheetData>
      <sheetData sheetId="58">
        <row r="11">
          <cell r="F11">
            <v>0</v>
          </cell>
        </row>
      </sheetData>
      <sheetData sheetId="59">
        <row r="11">
          <cell r="F11">
            <v>0</v>
          </cell>
        </row>
      </sheetData>
      <sheetData sheetId="60">
        <row r="11">
          <cell r="F11">
            <v>0</v>
          </cell>
        </row>
      </sheetData>
      <sheetData sheetId="61">
        <row r="11">
          <cell r="F11">
            <v>0</v>
          </cell>
        </row>
      </sheetData>
      <sheetData sheetId="62">
        <row r="11">
          <cell r="F11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11">
          <cell r="F11">
            <v>1</v>
          </cell>
        </row>
      </sheetData>
      <sheetData sheetId="81">
        <row r="11">
          <cell r="F11">
            <v>1</v>
          </cell>
        </row>
      </sheetData>
      <sheetData sheetId="82">
        <row r="11">
          <cell r="F11">
            <v>1</v>
          </cell>
        </row>
      </sheetData>
      <sheetData sheetId="83">
        <row r="11">
          <cell r="F11">
            <v>1</v>
          </cell>
        </row>
      </sheetData>
      <sheetData sheetId="84">
        <row r="11">
          <cell r="F11">
            <v>1</v>
          </cell>
        </row>
      </sheetData>
      <sheetData sheetId="85">
        <row r="11">
          <cell r="F11">
            <v>1</v>
          </cell>
        </row>
      </sheetData>
      <sheetData sheetId="86">
        <row r="11">
          <cell r="F11">
            <v>1</v>
          </cell>
        </row>
      </sheetData>
      <sheetData sheetId="87">
        <row r="11">
          <cell r="F11">
            <v>1</v>
          </cell>
        </row>
      </sheetData>
      <sheetData sheetId="88">
        <row r="11">
          <cell r="F11">
            <v>1</v>
          </cell>
        </row>
      </sheetData>
      <sheetData sheetId="89">
        <row r="11">
          <cell r="F11">
            <v>1</v>
          </cell>
        </row>
      </sheetData>
      <sheetData sheetId="90">
        <row r="11">
          <cell r="F11">
            <v>1</v>
          </cell>
        </row>
      </sheetData>
      <sheetData sheetId="91">
        <row r="11">
          <cell r="F11">
            <v>0</v>
          </cell>
        </row>
      </sheetData>
      <sheetData sheetId="92">
        <row r="11">
          <cell r="F11">
            <v>1</v>
          </cell>
        </row>
      </sheetData>
      <sheetData sheetId="93">
        <row r="11">
          <cell r="F11">
            <v>1</v>
          </cell>
        </row>
      </sheetData>
      <sheetData sheetId="94">
        <row r="11">
          <cell r="F11">
            <v>1</v>
          </cell>
        </row>
      </sheetData>
      <sheetData sheetId="95">
        <row r="11">
          <cell r="F11">
            <v>1</v>
          </cell>
        </row>
      </sheetData>
      <sheetData sheetId="96">
        <row r="11">
          <cell r="F11">
            <v>1</v>
          </cell>
        </row>
      </sheetData>
      <sheetData sheetId="97">
        <row r="11">
          <cell r="F11">
            <v>1</v>
          </cell>
        </row>
      </sheetData>
      <sheetData sheetId="98">
        <row r="11">
          <cell r="F11">
            <v>1</v>
          </cell>
        </row>
      </sheetData>
      <sheetData sheetId="99">
        <row r="11">
          <cell r="F11">
            <v>1</v>
          </cell>
        </row>
      </sheetData>
      <sheetData sheetId="100">
        <row r="11">
          <cell r="F11">
            <v>1</v>
          </cell>
        </row>
      </sheetData>
      <sheetData sheetId="101">
        <row r="11">
          <cell r="F11">
            <v>1</v>
          </cell>
        </row>
      </sheetData>
      <sheetData sheetId="102">
        <row r="11">
          <cell r="F11">
            <v>1</v>
          </cell>
        </row>
      </sheetData>
      <sheetData sheetId="103">
        <row r="11">
          <cell r="F11">
            <v>1</v>
          </cell>
        </row>
      </sheetData>
      <sheetData sheetId="104">
        <row r="11">
          <cell r="F11">
            <v>1</v>
          </cell>
        </row>
      </sheetData>
      <sheetData sheetId="105">
        <row r="11">
          <cell r="F11">
            <v>1</v>
          </cell>
        </row>
      </sheetData>
      <sheetData sheetId="106">
        <row r="11">
          <cell r="F11">
            <v>1</v>
          </cell>
        </row>
      </sheetData>
      <sheetData sheetId="107">
        <row r="11">
          <cell r="F11">
            <v>1</v>
          </cell>
        </row>
      </sheetData>
      <sheetData sheetId="108">
        <row r="11">
          <cell r="F11">
            <v>1</v>
          </cell>
        </row>
      </sheetData>
      <sheetData sheetId="109">
        <row r="11">
          <cell r="F11">
            <v>1</v>
          </cell>
        </row>
      </sheetData>
      <sheetData sheetId="110">
        <row r="11">
          <cell r="F11">
            <v>1</v>
          </cell>
        </row>
      </sheetData>
      <sheetData sheetId="111">
        <row r="11">
          <cell r="F11">
            <v>1</v>
          </cell>
        </row>
      </sheetData>
      <sheetData sheetId="112">
        <row r="11">
          <cell r="F11">
            <v>1</v>
          </cell>
        </row>
      </sheetData>
      <sheetData sheetId="113">
        <row r="11">
          <cell r="F11">
            <v>1</v>
          </cell>
        </row>
      </sheetData>
      <sheetData sheetId="114">
        <row r="11">
          <cell r="F11">
            <v>1</v>
          </cell>
        </row>
      </sheetData>
      <sheetData sheetId="115">
        <row r="11">
          <cell r="F11">
            <v>1</v>
          </cell>
        </row>
      </sheetData>
      <sheetData sheetId="116">
        <row r="11">
          <cell r="F11">
            <v>1</v>
          </cell>
        </row>
      </sheetData>
      <sheetData sheetId="117">
        <row r="11">
          <cell r="F11">
            <v>1</v>
          </cell>
        </row>
      </sheetData>
      <sheetData sheetId="118">
        <row r="11">
          <cell r="F11">
            <v>1</v>
          </cell>
        </row>
      </sheetData>
      <sheetData sheetId="119">
        <row r="11">
          <cell r="F11">
            <v>1</v>
          </cell>
        </row>
      </sheetData>
      <sheetData sheetId="120">
        <row r="11">
          <cell r="F11">
            <v>1</v>
          </cell>
        </row>
      </sheetData>
      <sheetData sheetId="121">
        <row r="11">
          <cell r="F11">
            <v>1</v>
          </cell>
        </row>
      </sheetData>
      <sheetData sheetId="122">
        <row r="11">
          <cell r="F11">
            <v>1</v>
          </cell>
        </row>
      </sheetData>
      <sheetData sheetId="123">
        <row r="11">
          <cell r="F11">
            <v>1</v>
          </cell>
        </row>
      </sheetData>
      <sheetData sheetId="124">
        <row r="11">
          <cell r="F11">
            <v>1</v>
          </cell>
        </row>
      </sheetData>
      <sheetData sheetId="125">
        <row r="11">
          <cell r="F11">
            <v>1</v>
          </cell>
        </row>
      </sheetData>
      <sheetData sheetId="126">
        <row r="11">
          <cell r="F11">
            <v>1</v>
          </cell>
        </row>
      </sheetData>
      <sheetData sheetId="127">
        <row r="11">
          <cell r="F11">
            <v>1</v>
          </cell>
        </row>
      </sheetData>
      <sheetData sheetId="128">
        <row r="11">
          <cell r="F11">
            <v>1</v>
          </cell>
        </row>
      </sheetData>
      <sheetData sheetId="129">
        <row r="11">
          <cell r="F11">
            <v>1</v>
          </cell>
        </row>
      </sheetData>
      <sheetData sheetId="130">
        <row r="11">
          <cell r="F11">
            <v>1</v>
          </cell>
        </row>
      </sheetData>
      <sheetData sheetId="131">
        <row r="11">
          <cell r="F11">
            <v>1</v>
          </cell>
        </row>
      </sheetData>
      <sheetData sheetId="132">
        <row r="11">
          <cell r="F11">
            <v>1</v>
          </cell>
        </row>
      </sheetData>
      <sheetData sheetId="133">
        <row r="11">
          <cell r="F11">
            <v>0</v>
          </cell>
        </row>
      </sheetData>
      <sheetData sheetId="134">
        <row r="11">
          <cell r="F11">
            <v>0</v>
          </cell>
        </row>
      </sheetData>
      <sheetData sheetId="135">
        <row r="11">
          <cell r="F11">
            <v>0</v>
          </cell>
        </row>
      </sheetData>
      <sheetData sheetId="136">
        <row r="11">
          <cell r="F11">
            <v>0</v>
          </cell>
        </row>
      </sheetData>
      <sheetData sheetId="137">
        <row r="11">
          <cell r="F11">
            <v>0</v>
          </cell>
        </row>
      </sheetData>
      <sheetData sheetId="138">
        <row r="11">
          <cell r="F11">
            <v>0</v>
          </cell>
        </row>
      </sheetData>
      <sheetData sheetId="139">
        <row r="11">
          <cell r="F11">
            <v>0</v>
          </cell>
        </row>
      </sheetData>
      <sheetData sheetId="140">
        <row r="11">
          <cell r="F11">
            <v>0</v>
          </cell>
        </row>
      </sheetData>
      <sheetData sheetId="141">
        <row r="11">
          <cell r="F11">
            <v>0</v>
          </cell>
        </row>
      </sheetData>
      <sheetData sheetId="142">
        <row r="11">
          <cell r="F11">
            <v>0</v>
          </cell>
        </row>
      </sheetData>
      <sheetData sheetId="143">
        <row r="11">
          <cell r="F11">
            <v>0</v>
          </cell>
        </row>
      </sheetData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1">
          <cell r="F11" t="str">
            <v xml:space="preserve">Plantio Total </v>
          </cell>
        </row>
      </sheetData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>
        <row r="59">
          <cell r="F59"/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11">
          <cell r="F11">
            <v>1</v>
          </cell>
        </row>
      </sheetData>
      <sheetData sheetId="290">
        <row r="11">
          <cell r="F11">
            <v>1</v>
          </cell>
        </row>
      </sheetData>
      <sheetData sheetId="291">
        <row r="11">
          <cell r="F11">
            <v>1</v>
          </cell>
        </row>
      </sheetData>
      <sheetData sheetId="292">
        <row r="11">
          <cell r="F11">
            <v>1</v>
          </cell>
        </row>
      </sheetData>
      <sheetData sheetId="293">
        <row r="11">
          <cell r="F11">
            <v>1</v>
          </cell>
        </row>
      </sheetData>
      <sheetData sheetId="294">
        <row r="11">
          <cell r="F11">
            <v>1</v>
          </cell>
        </row>
      </sheetData>
      <sheetData sheetId="295">
        <row r="11">
          <cell r="F11">
            <v>1</v>
          </cell>
        </row>
      </sheetData>
      <sheetData sheetId="296">
        <row r="11">
          <cell r="F11">
            <v>1</v>
          </cell>
        </row>
      </sheetData>
      <sheetData sheetId="297">
        <row r="11">
          <cell r="F11">
            <v>1</v>
          </cell>
        </row>
      </sheetData>
      <sheetData sheetId="298">
        <row r="11">
          <cell r="F11">
            <v>1</v>
          </cell>
        </row>
      </sheetData>
      <sheetData sheetId="299">
        <row r="11">
          <cell r="F11">
            <v>1</v>
          </cell>
        </row>
      </sheetData>
      <sheetData sheetId="300"/>
      <sheetData sheetId="301"/>
      <sheetData sheetId="302"/>
      <sheetData sheetId="303">
        <row r="11">
          <cell r="F11">
            <v>1</v>
          </cell>
        </row>
      </sheetData>
      <sheetData sheetId="304">
        <row r="11">
          <cell r="F11">
            <v>1</v>
          </cell>
        </row>
      </sheetData>
      <sheetData sheetId="305">
        <row r="11">
          <cell r="F11">
            <v>1</v>
          </cell>
        </row>
      </sheetData>
      <sheetData sheetId="306">
        <row r="11">
          <cell r="F11">
            <v>1</v>
          </cell>
        </row>
      </sheetData>
      <sheetData sheetId="307">
        <row r="11">
          <cell r="F11">
            <v>1</v>
          </cell>
        </row>
      </sheetData>
      <sheetData sheetId="308">
        <row r="11">
          <cell r="F11">
            <v>1</v>
          </cell>
        </row>
      </sheetData>
      <sheetData sheetId="309">
        <row r="11">
          <cell r="F11">
            <v>1</v>
          </cell>
        </row>
      </sheetData>
      <sheetData sheetId="310">
        <row r="11">
          <cell r="F11">
            <v>1</v>
          </cell>
        </row>
      </sheetData>
      <sheetData sheetId="311">
        <row r="11">
          <cell r="F11">
            <v>1</v>
          </cell>
        </row>
      </sheetData>
      <sheetData sheetId="312"/>
      <sheetData sheetId="313">
        <row r="11">
          <cell r="F11">
            <v>0</v>
          </cell>
        </row>
      </sheetData>
      <sheetData sheetId="314">
        <row r="11">
          <cell r="F11">
            <v>0</v>
          </cell>
        </row>
      </sheetData>
      <sheetData sheetId="315">
        <row r="11">
          <cell r="F11">
            <v>0</v>
          </cell>
        </row>
      </sheetData>
      <sheetData sheetId="316">
        <row r="11">
          <cell r="F11">
            <v>0</v>
          </cell>
        </row>
      </sheetData>
      <sheetData sheetId="317">
        <row r="11">
          <cell r="F11">
            <v>0</v>
          </cell>
        </row>
      </sheetData>
      <sheetData sheetId="318"/>
      <sheetData sheetId="319"/>
      <sheetData sheetId="320"/>
      <sheetData sheetId="321"/>
      <sheetData sheetId="322"/>
      <sheetData sheetId="323">
        <row r="11">
          <cell r="F11" t="str">
            <v xml:space="preserve">Plantio Total 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1">
          <cell r="F11">
            <v>1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>
        <row r="11">
          <cell r="F11">
            <v>1</v>
          </cell>
        </row>
      </sheetData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."/>
      <sheetName val="RAECCT01"/>
      <sheetName val="GEMIN"/>
      <sheetName val="TFTG"/>
      <sheetName val="JAN"/>
      <sheetName val="MAN"/>
      <sheetName val="MEN"/>
      <sheetName val="MIN"/>
      <sheetName val="MON"/>
      <sheetName val="MUN"/>
      <sheetName val="S_Leste"/>
      <sheetName val="E_S_Leste"/>
      <sheetName val="Trajeto"/>
      <sheetName val="Contr_"/>
      <sheetName val="CAD-_LINHAS"/>
      <sheetName val="Validações"/>
      <sheetName val="BD"/>
      <sheetName val="Principal"/>
      <sheetName val="COD"/>
      <sheetName val="Base_"/>
      <sheetName val="CC_RESP"/>
      <sheetName val="MêsBase"/>
      <sheetName val="Relatório"/>
      <sheetName val="SET95"/>
      <sheetName val="Bdgastos"/>
      <sheetName val="Plan1"/>
      <sheetName val="#REF"/>
      <sheetName val="HISTORICO"/>
      <sheetName val="PROJ_2004"/>
      <sheetName val="Empresas"/>
      <sheetName val="Sispec"/>
      <sheetName val="Sispec99"/>
      <sheetName val="SispecPSAP"/>
      <sheetName val="Tabelas"/>
      <sheetName val="Base"/>
      <sheetName val="CONTA"/>
      <sheetName val="CC"/>
      <sheetName val="TIPIFICAÇÃO"/>
      <sheetName val="APOIO"/>
      <sheetName val="Contr_1"/>
      <sheetName val="EAIGESEN"/>
      <sheetName val="estgg"/>
      <sheetName val="execuções"/>
      <sheetName val="HABITAÇÃO"/>
      <sheetName val="CALENDÁRIO"/>
      <sheetName val="Ocultar"/>
      <sheetName val="AÇÕES "/>
      <sheetName val="SEMA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ECCT01"/>
      <sheetName val="Emp Contr."/>
      <sheetName val="GEMIN"/>
      <sheetName val="TFTG"/>
      <sheetName val="GABINETE"/>
      <sheetName val="GAJAN"/>
      <sheetName val="GAMAN"/>
      <sheetName val="GAMEN"/>
      <sheetName val="GAMIN"/>
      <sheetName val="GAMUN"/>
      <sheetName val="GAMON"/>
      <sheetName val="Emp_Contr_"/>
      <sheetName val="EAIGESEN"/>
      <sheetName val="Emp_Contr_1"/>
      <sheetName val="Acionamento"/>
      <sheetName val="estg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HORA"/>
      <sheetName val="DIA"/>
      <sheetName val="DIA SEMANA"/>
      <sheetName val="MÊS"/>
      <sheetName val="ATIVIDADE"/>
      <sheetName val="GER.GERAL"/>
      <sheetName val="GER.ÁREA"/>
      <sheetName val="."/>
      <sheetName val="TIPO"/>
      <sheetName val="IDADE"/>
      <sheetName val="LESÕES"/>
      <sheetName val="GRAVIDADE"/>
      <sheetName val="TEMPO"/>
      <sheetName val="HORAS T"/>
      <sheetName val="JORNADA"/>
      <sheetName val="DIA_SEMANA"/>
      <sheetName val="GER_GERAL"/>
      <sheetName val="GER_ÁREA"/>
      <sheetName val="_"/>
      <sheetName val="HORAS_T"/>
      <sheetName val="DEPTO"/>
      <sheetName val="GERÊNCIA"/>
      <sheetName val="EAIGESEN"/>
      <sheetName val="Anexo II - Calculadora"/>
      <sheetName val="Plan1"/>
      <sheetName val="Gráfico Esteril"/>
      <sheetName val="FRQDFN99"/>
      <sheetName val="HORAS_T2"/>
      <sheetName val="DIA_SEMANA2"/>
      <sheetName val="GER_GERAL2"/>
      <sheetName val="GER_ÁREA2"/>
      <sheetName val="_2"/>
      <sheetName val="Gráfico_Esteril2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Acionamento"/>
      <sheetName val="DETALHADO"/>
      <sheetName val="EXEC"/>
      <sheetName val="Dados"/>
      <sheetName val="Base "/>
      <sheetName val="DBM Mensal"/>
      <sheetName val="PLANO DE AÇÃO"/>
      <sheetName val="LCGRAPH"/>
      <sheetName val="MEX95IB"/>
      <sheetName val="Princip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GEMIN"/>
      <sheetName val="DIA_SEMANA3"/>
      <sheetName val="GER_GERAL3"/>
      <sheetName val="GER_ÁREA3"/>
      <sheetName val="_3"/>
      <sheetName val="HORAS_T3"/>
      <sheetName val="Gráfico_Esteril3"/>
      <sheetName val="DIA_SEMANA4"/>
      <sheetName val="GER_GERAL4"/>
      <sheetName val="GER_ÁREA4"/>
      <sheetName val="_4"/>
      <sheetName val="HORAS_T4"/>
      <sheetName val="Gráfico_Esteril4"/>
      <sheetName val="BMM"/>
      <sheetName val="MC 408"/>
      <sheetName val="MC 419"/>
      <sheetName val="MC 586"/>
      <sheetName val="Planilha1"/>
      <sheetName val="MC 606"/>
      <sheetName val="MC 607"/>
      <sheetName val="MC 618"/>
      <sheetName val="TAB-DIN-HH"/>
      <sheetName val="MC 619"/>
      <sheetName val="MC 621"/>
      <sheetName val="MC 623"/>
      <sheetName val="MC 637"/>
      <sheetName val="PeriodoMED"/>
      <sheetName val="Divisória SS"/>
      <sheetName val="Portifólio"/>
      <sheetName val="Turmas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3.1 Av. Financ EAP"/>
      <sheetName val="3.2 Av. Econ EAP"/>
      <sheetName val="Graf Av. Financ"/>
      <sheetName val="Tabelas"/>
      <sheetName val="Arrendamento_2005"/>
      <sheetName val="Gerrot"/>
      <sheetName val="CUSTMETQ"/>
      <sheetName val="EXEMPLO"/>
      <sheetName val="FCD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Feriados"/>
      <sheetName val="Anual"/>
      <sheetName val="AUX_Padrão"/>
      <sheetName val="RFP002"/>
      <sheetName val="VALIDAÇÃO"/>
      <sheetName val="Comparativo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IOI"/>
      <sheetName val="RESUMO IOI"/>
      <sheetName val="Taxas"/>
      <sheetName val="Programa"/>
      <sheetName val="RPP tabelas"/>
      <sheetName val="RPP tabelas S11D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INCCTOT"/>
      <sheetName val="Farol"/>
      <sheetName val="Encarregados"/>
      <sheetName val="DADOS RAQA"/>
      <sheetName val="DADOS TST"/>
      <sheetName val="AUX"/>
      <sheetName val="db_cubag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Infra"/>
      <sheetName val="2004 US$ NAO CONS EST. CAPIT."/>
      <sheetName val="Jan-20"/>
      <sheetName val="Fev-20"/>
      <sheetName val="Mar-20"/>
      <sheetName val="Relatório"/>
      <sheetName val="SAP"/>
      <sheetName val="APICS"/>
      <sheetName val="SERTU"/>
      <sheetName val="Reduction Projection"/>
      <sheetName val="2020 Orçamento"/>
      <sheetName val="2020 Forecast"/>
      <sheetName val="Filtro"/>
      <sheetName val="Relatorio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Anexo_II_-_Calculadora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Plan2"/>
      <sheetName val="Qualidade Expedição SN"/>
      <sheetName val="Qualidade Expedição SS"/>
      <sheetName val="Qualidade Produção SN+SL+SS"/>
      <sheetName val="Qualidade Expedição SN+SL+SS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enharia"/>
      <sheetName val="Acionamento"/>
      <sheetName val="Motores"/>
      <sheetName val="Voith"/>
      <sheetName val="Fluidrive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TABELA ACIONAMENTO"/>
      <sheetName val="henfel"/>
      <sheetName val="ACOPL ENG"/>
      <sheetName val="GEMIN"/>
      <sheetName val="Inicial"/>
      <sheetName val="1-Encargos Sociais Diretos"/>
      <sheetName val="2-Encargos Sociais Indiretos"/>
      <sheetName val="3-Detalhamento EPI"/>
      <sheetName val="4-FERRAMENTAL Uso Individual"/>
      <sheetName val="5-FERRAMENTAL Uso Coletivo"/>
      <sheetName val="6-TREINAMENTOS RAC"/>
      <sheetName val="7-Exames médicos"/>
      <sheetName val="8-VEICULOS DE APOIO"/>
      <sheetName val="9-Detalham ALOJAMENTO"/>
      <sheetName val="10-Quadro Geral de Horas MO"/>
      <sheetName val="11-Custos com Mao de Obra"/>
      <sheetName val="Plan1"/>
      <sheetName val="12-Resumo Custo MO"/>
      <sheetName val="13-Composição EQUIPAMENTOS"/>
      <sheetName val="14-MATERIAIS"/>
      <sheetName val="15-ADM. Local"/>
      <sheetName val="16-Desp Indireta, Marg e Impost"/>
      <sheetName val="17-Calculo do BDI e Tribu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der"/>
      <sheetName val="Indice do Orçamento"/>
      <sheetName val="dados"/>
      <sheetName val="A.2- RESUMO"/>
      <sheetName val="1-MOD"/>
      <sheetName val="13-MAT-FERR"/>
      <sheetName val="14-MAT.SEG "/>
      <sheetName val="15-DIVERSOS"/>
      <sheetName val="16-EQUIP."/>
      <sheetName val="16-Custo"/>
      <sheetName val="17-MOI"/>
      <sheetName val="18-CANTEIRO"/>
      <sheetName val="19-TRANSP.PESSOAL"/>
      <sheetName val="20-MOB-DESMOB "/>
      <sheetName val="21-REFEICAO"/>
      <sheetName val="22-VARIOS"/>
      <sheetName val="23-TERCEIROS"/>
      <sheetName val="anexo 1 cro"/>
      <sheetName val="anexo 2 hhd"/>
      <sheetName val="anexo 3 mod"/>
      <sheetName val="anexo 4 moi"/>
      <sheetName val="anexo 5 mod"/>
      <sheetName val="anexo 5 moi"/>
      <sheetName val="anexo 7 eq"/>
      <sheetName val="anexo 6 org"/>
      <sheetName val="anexo 7.1"/>
      <sheetName val="anexo 10 Matriz Resp"/>
      <sheetName val="A- coef definido Serviços"/>
      <sheetName val="A1-coef definido  Terceiros"/>
      <sheetName val="A1-coef defin. Resumo(Ser+Terc)"/>
      <sheetName val="A1-venda definida"/>
      <sheetName val="A.3 - CASH_FLOW"/>
      <sheetName val="A.3 GRAF-CASH-FLOW"/>
      <sheetName val="CURVA-S"/>
      <sheetName val="GRÁF-RESUMO"/>
      <sheetName val="DADOS (2)"/>
      <sheetName val="BDI"/>
      <sheetName val="BDI1"/>
      <sheetName val="BDI2"/>
      <sheetName val="A_2_ RESUMO"/>
      <sheetName val="16_EQUIP_"/>
      <sheetName val="17_MOI"/>
      <sheetName val="Indice_do_Orçamento"/>
      <sheetName val="A_2-_RESUMO"/>
      <sheetName val="14-MAT_SEG_"/>
      <sheetName val="16-EQUIP_"/>
      <sheetName val="19-TRANSP_PESSOAL"/>
      <sheetName val="20-MOB-DESMOB_"/>
      <sheetName val="anexo_1_cro"/>
      <sheetName val="anexo_2_hhd"/>
      <sheetName val="anexo_3_mod"/>
      <sheetName val="anexo_4_moi"/>
      <sheetName val="anexo_5_mod"/>
      <sheetName val="anexo_5_moi"/>
      <sheetName val="anexo_7_eq"/>
      <sheetName val="anexo_6_org"/>
      <sheetName val="anexo_7_1"/>
      <sheetName val="anexo_10_Matriz_Resp"/>
      <sheetName val="A-_coef_definido_Serviços"/>
      <sheetName val="A1-coef_definido__Terceiros"/>
      <sheetName val="A1-coef_defin__Resumo(Ser+Terc)"/>
      <sheetName val="A1-venda_definida"/>
      <sheetName val="A_3_-_CASH_FLOW"/>
      <sheetName val="A_3_GRAF-CASH-FLOW"/>
      <sheetName val="DADOS_(2)"/>
      <sheetName val="A_2__RESUMO"/>
      <sheetName val="TD. Auxiliar"/>
      <sheetName val="Completa"/>
      <sheetName val="encarreagados"/>
      <sheetName val="Plan3"/>
      <sheetName val="Preços_BSTC"/>
      <sheetName val="Tabela"/>
      <sheetName val="BD_HE"/>
      <sheetName val="BD_Distri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Postos"/>
      <sheetName val="Resumo"/>
      <sheetName val="Ic97"/>
      <sheetName val="#REF"/>
      <sheetName val="Principal"/>
    </sheetNames>
    <definedNames>
      <definedName name="_xlbgnm.pA5"/>
      <definedName name="_xlbgnm.pA6"/>
      <definedName name="_xlbgnm.pC5"/>
      <definedName name="telaA"/>
      <definedName name="telaC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estgg"/>
      <sheetName val="Acionamento"/>
      <sheetName val="AvaliaçãoI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ario"/>
      <sheetName val="BD_Distritos"/>
      <sheetName val="BD_HE"/>
      <sheetName val="BM-GERAL CC"/>
      <sheetName val="DIFERENÇAS "/>
      <sheetName val="BM_GERAL"/>
      <sheetName val="BM- CKS1"/>
      <sheetName val="BM- CAAN1"/>
      <sheetName val="BM- ITA1"/>
      <sheetName val="BM- MAB1"/>
      <sheetName val="Equi. Hab. Event"/>
      <sheetName val="HE_Fonte"/>
      <sheetName val="Equip. Comodato"/>
      <sheetName val="Consolidado Terraplanagem"/>
      <sheetName val="RDE TODOS"/>
      <sheetName val="RDO- Indiretos Revisado"/>
      <sheetName val="CONFERENCIA HORAS"/>
      <sheetName val="CORRETIVA_MC"/>
      <sheetName val="OS"/>
      <sheetName val="Performance_OM"/>
      <sheetName val="Manut_BD"/>
      <sheetName val="Operaçoes"/>
      <sheetName val="Oper_BD"/>
      <sheetName val="Gráficos de DF"/>
      <sheetName val="Forn_BD"/>
      <sheetName val="EQPTO"/>
      <sheetName val="DF horas"/>
      <sheetName val="DF "/>
      <sheetName val="Graficos II"/>
      <sheetName val="QQP_Man_Equip_MPPS"/>
      <sheetName val="PLSE"/>
      <sheetName val="Price_List_Material nova"/>
      <sheetName val="Mov_Pont"/>
      <sheetName val="SLA"/>
      <sheetName val="Performance_CORRETIVA"/>
      <sheetName val="ATA REUNIÃO "/>
      <sheetName val="resumo TFPM"/>
      <sheetName val="EQP"/>
      <sheetName val="BM_TFPM"/>
      <sheetName val="EQUIP_TFPM"/>
      <sheetName val="EQUIP_TFPM_EXTRA"/>
      <sheetName val="LOG_TFPM"/>
      <sheetName val="LOG_TFPM_EXTRA"/>
      <sheetName val="WC_TFPM"/>
      <sheetName val="MPP_TFPM"/>
      <sheetName val="BM_CPV11_PAV01"/>
      <sheetName val="MANUT_CPV11_PAV01"/>
      <sheetName val="EQPTO_CPV11_PAV01"/>
      <sheetName val="BM_MANUT_SLS"/>
      <sheetName val="MANUT_SLS"/>
      <sheetName val="EQPTO_SLS"/>
      <sheetName val="BM 14 TERRAPLANAGEM RV02"/>
    </sheetNames>
    <sheetDataSet>
      <sheetData sheetId="0"/>
      <sheetData sheetId="1"/>
      <sheetData sheetId="2"/>
      <sheetData sheetId="3"/>
      <sheetData sheetId="4"/>
      <sheetData sheetId="5">
        <row r="27">
          <cell r="G27">
            <v>700000</v>
          </cell>
        </row>
      </sheetData>
      <sheetData sheetId="6"/>
      <sheetData sheetId="7"/>
      <sheetData sheetId="8"/>
      <sheetData sheetId="9"/>
      <sheetData sheetId="10">
        <row r="3">
          <cell r="T3" t="str">
            <v>DE PARA (RDE TODOS)</v>
          </cell>
        </row>
      </sheetData>
      <sheetData sheetId="11"/>
      <sheetData sheetId="12">
        <row r="3">
          <cell r="T3" t="str">
            <v>DE PARA (RDE TODOS)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Fresagem de Pista Ago_98"/>
      <sheetName val="A.2- RESUMO"/>
      <sheetName val="MEM_CALC"/>
      <sheetName val="CEQ"/>
      <sheetName val="CMOI"/>
      <sheetName val="CMOD"/>
      <sheetName val="CFE"/>
      <sheetName val="Hh"/>
      <sheetName val="LEVANT "/>
      <sheetName val="preço tub."/>
      <sheetName val="corte asfalto"/>
      <sheetName val="ppu-fechamento"/>
      <sheetName val="CFE -pro"/>
      <sheetName val="CMOD-pro"/>
      <sheetName val="CMOI-pro"/>
      <sheetName val="CEQ - pro"/>
      <sheetName val="ANEXO 01 - SEGURANÇA"/>
      <sheetName val="ORG_PRO"/>
      <sheetName val="MCBR"/>
      <sheetName val="#RE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ontrole De Inpeções"/>
      <sheetName val="Controle De Inpeções (2)"/>
      <sheetName val="Controle De Inpeções (3)"/>
      <sheetName val="_REF"/>
      <sheetName val="Imob_frota GAVAG "/>
      <sheetName val="Imob_hojeXOntem"/>
      <sheetName val="grafico-CARGA GERAL"/>
      <sheetName val="grafico-GDE"/>
      <sheetName val="dados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Check List- Gerrot"/>
      <sheetName val="Tabela1"/>
      <sheetName val="EAIGESEN"/>
      <sheetName val="SispecPSAP"/>
      <sheetName val="Relatório"/>
      <sheetName val="Tabelas"/>
      <sheetName val="Grupo x Justif"/>
      <sheetName val="Plan1"/>
      <sheetName val="Cronograma"/>
      <sheetName val="Real_sem01"/>
      <sheetName val="TRANS"/>
      <sheetName val="Empresas"/>
      <sheetName val="Disp 2005 FCA"/>
      <sheetName val="Resumo EFVM"/>
      <sheetName val="EXEMPLO"/>
      <sheetName val="thp 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Resume-Balance"/>
      <sheetName val="consolidado preventivas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Correlação"/>
      <sheetName val="GEESR_EFC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MODELO"/>
      <sheetName val="Vg. Inventariados-dados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_ação_3G UT"/>
      <sheetName val="p_ação_3G UT (2)"/>
      <sheetName val="DadosOrc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OR DIRETORIA"/>
      <sheetName val="ComentariosCusteio"/>
      <sheetName val="ROS VV"/>
      <sheetName val="Cronograma de Reuniões LICL"/>
      <sheetName val="Cronograma de Reuniões LEFEL"/>
      <sheetName val="Pauta C Geral_Ferrovia"/>
      <sheetName val="Agenda Logistica 2012"/>
      <sheetName val="Cashflow (na)"/>
      <sheetName val="Milestone"/>
      <sheetName val="Premissa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Análise Certificação "/>
      <sheetName val="bdados 2005"/>
      <sheetName val="AR Signature Page"/>
      <sheetName val="Check List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Listas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_POT"/>
      <sheetName val="Lists"/>
      <sheetName val="Simulador"/>
      <sheetName val="Oc_Ambientais"/>
      <sheetName val="monthly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CVRDMenu.xl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RDPE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Usiminas "/>
      <sheetName val="CA 5409"/>
      <sheetName val="Simulador OEE sem 911_Nov Dez"/>
      <sheetName val="Apresentação"/>
      <sheetName val="Copia"/>
      <sheetName val="Apoio"/>
      <sheetName val="FAIXA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PSPOS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SUPORTE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Produção 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219"/>
      <sheetName val="Avanço %"/>
      <sheetName val="02"/>
      <sheetName val="07"/>
      <sheetName val="13"/>
      <sheetName val="24"/>
      <sheetName val="39"/>
      <sheetName val="01 (2)"/>
      <sheetName val="Check_Farol"/>
      <sheetName val="BASE DE DADOS"/>
      <sheetName val="Parâmetros Caso Base"/>
      <sheetName val="Planos de ação"/>
      <sheetName val="Projeção Falhas"/>
      <sheetName val="Projeção Falhas (2)"/>
      <sheetName val="entrega duplic. (2)"/>
      <sheetName val="BASE DE ATIVOS (2)"/>
      <sheetName val="2015 C11.14 (2)"/>
      <sheetName val="2016 C11.14 (2)"/>
      <sheetName val="2017 C11.14 (2)"/>
      <sheetName val="2018 C11.14 (2)"/>
      <sheetName val="2019 C11.14 (2)"/>
      <sheetName val="FROTA LOCOS 2014 (2)"/>
      <sheetName val="Bordo Veíc. Aux (2)"/>
      <sheetName val="Conversão para Ativos (2)"/>
      <sheetName val="MAN. CORRETIVA"/>
      <sheetName val="Demanda Manutenção"/>
      <sheetName val="2014 C11.14 (2)"/>
      <sheetName val="2015 C11.14"/>
      <sheetName val="2016 C11.14"/>
      <sheetName val="2017 C11.14"/>
      <sheetName val="2018 C11.14"/>
      <sheetName val="2019 C11.14"/>
      <sheetName val="EQUIP_INSTALADO EM LOCOMOTIVA"/>
      <sheetName val="BORDO LOCOS 2012"/>
      <sheetName val="FROTA LOCOS 2014"/>
      <sheetName val="BORDO AS e MGP 2014"/>
      <sheetName val="V. Auxiliar"/>
      <sheetName val="Bordo Veíc. Aux"/>
      <sheetName val="13C11Novo"/>
      <sheetName val="14C11Novo"/>
      <sheetName val="15C11Novo"/>
      <sheetName val="16C11Novo"/>
      <sheetName val="17C11Novo"/>
      <sheetName val="2014C11Novo"/>
      <sheetName val="2014C11ANTIGO"/>
      <sheetName val="2015C11Novo"/>
      <sheetName val="2016C11Novo"/>
      <sheetName val="2017C11Novo"/>
      <sheetName val="2014 C11.14"/>
      <sheetName val="2015 C11.13"/>
      <sheetName val="2016 C11.13"/>
      <sheetName val="2017 C11.13"/>
      <sheetName val="2018 C11.13"/>
      <sheetName val="2018C11Novo"/>
      <sheetName val="2019 C11.13"/>
      <sheetName val="18C11Novo"/>
      <sheetName val="Itens_de_controle"/>
      <sheetName val="Pessoal_CVRD"/>
      <sheetName val="Composição_2011_Máx__Rev_2"/>
      <sheetName val="Demanda_de_inspeção"/>
      <sheetName val="Composição_2011_Máx__Rev_3"/>
      <sheetName val="JAN_P22"/>
      <sheetName val="JAN_P21"/>
      <sheetName val="MELHORIAS_E_OPÇÕES"/>
      <sheetName val="CVRDMenu_xls"/>
      <sheetName val="Situação_Aspecto"/>
      <sheetName val="PAE"/>
      <sheetName val="Falso"/>
      <sheetName val="Padrão Auditado"/>
      <sheetName val="GRÁFICO"/>
      <sheetName val="Conhecendo a composição M1"/>
      <sheetName val="AnaliseFenomeno - LRX (2)"/>
      <sheetName val="Diagrama de Causa e Efeito"/>
      <sheetName val="Causa e Medida"/>
      <sheetName val="Plano de Ação"/>
      <sheetName val="xxx"/>
      <sheetName val="NovoModelo"/>
      <sheetName val="Controle_De_Inpeções29"/>
      <sheetName val="Controle_De_Inpeções_(2)29"/>
      <sheetName val="Controle_De_Inpeções_(3)29"/>
      <sheetName val="Imob_frota_GAVAG_29"/>
      <sheetName val="grafico-CARGA_GERAL29"/>
      <sheetName val="Restrições_de_Velocidade29"/>
      <sheetName val="Ultra_som_-_200729"/>
      <sheetName val="Trem_Hora_Parado29"/>
      <sheetName val="Ocorrências_Ferroviárias29"/>
      <sheetName val="Aprovisionamento_de_Materiais29"/>
      <sheetName val="Grafico_Geral_Orçamento29"/>
      <sheetName val="Check_List-_Gerrot29"/>
      <sheetName val="EAP_rev_0026"/>
      <sheetName val="CC_42426"/>
      <sheetName val="NÃO_CRÍTICOS26"/>
      <sheetName val="CONSOLIDADO_GAENY26"/>
      <sheetName val="ORÇADO_-_CONF__GIC26"/>
      <sheetName val="ALEXANDRE_-_NÃO_CRÍTICOS26"/>
      <sheetName val="LEONARDO__-_CRÍTICOS26"/>
      <sheetName val="LEONARDO__-_NÃO_CRÍTICOS26"/>
      <sheetName val="PAULO_-_CRÍTICOS26"/>
      <sheetName val="PAULO_-_NÃO_CRÍTICOS26"/>
      <sheetName val="Gestão_Econômica26"/>
      <sheetName val="INFO_26"/>
      <sheetName val="Evolução_Etapas_Cal_Mag25"/>
      <sheetName val="Evolução_Etapas_Cromo25"/>
      <sheetName val="Grupo_x_Justif25"/>
      <sheetName val="Disp_2005_FCA25"/>
      <sheetName val="Resumo_EFVM25"/>
      <sheetName val="thp_25"/>
      <sheetName val="Consolida_Investimento25"/>
      <sheetName val="consolidado_preventivas25"/>
      <sheetName val="Vg__Inventariados-dados25"/>
      <sheetName val="p_ação_3G_UT24"/>
      <sheetName val="p_ação_3G_UT_(2)24"/>
      <sheetName val="Painel_de_controle24"/>
      <sheetName val="MKBF_MI24"/>
      <sheetName val="MKBF_CG24"/>
      <sheetName val="Nº_de_Falhas_MI24"/>
      <sheetName val="Nº_de_Falhas_CG24"/>
      <sheetName val="Nº_de_Falhas_PA24"/>
      <sheetName val="Falhas_sup_Freio24"/>
      <sheetName val="Falhas_MI-sist_Freio24"/>
      <sheetName val="Falhas_CG-sist_Freio24"/>
      <sheetName val="Falhas_sup_Vagão24"/>
      <sheetName val="Falhas_MI-sist_Sup24"/>
      <sheetName val="Falhas_CG_-sist_Sup24"/>
      <sheetName val="Falhas_sup_CG24"/>
      <sheetName val="Falhas_sup_Rodeiro-MI_CG_PA24"/>
      <sheetName val="Falhas_CG-sist_Rodeiro24"/>
      <sheetName val="Falhas_MI-sist_Rodeiro24"/>
      <sheetName val="Falhas_PA-sist_Rodeiro24"/>
      <sheetName val="Falhas_sup_T&amp;T24"/>
      <sheetName val="Falhas_TT-MI24"/>
      <sheetName val="Falhas_TT-CG24"/>
      <sheetName val="Falhas_MI-sist_Truque24"/>
      <sheetName val="Falhas_CG-sist_Truque24"/>
      <sheetName val="Falhas_MI-sist_Tração24"/>
      <sheetName val="Falhas_CG-sist_Tração24"/>
      <sheetName val="POR_DIRETORIA24"/>
      <sheetName val="ROS_VV24"/>
      <sheetName val="Cronograma_de_Reuniões_LICL24"/>
      <sheetName val="Cronograma_de_Reuniões_LEFEL24"/>
      <sheetName val="Pauta_C_Geral_Ferrovia24"/>
      <sheetName val="Agenda_Logistica_201224"/>
      <sheetName val="Cashflow_(na)24"/>
      <sheetName val="Análise_Certificação_24"/>
      <sheetName val="bdados_200524"/>
      <sheetName val="HISTORICO_DEF_X_REB24"/>
      <sheetName val="PAINEL_DE_FALHAS24"/>
      <sheetName val="AR_Signature_Page24"/>
      <sheetName val="_INDICADORES_FINANCEIROS24"/>
      <sheetName val="RECEITA_BRUTA24"/>
      <sheetName val="_COMPOSIÇÃO_DO_CPV_24"/>
      <sheetName val="_INDICADORES_DE_ENDIVIDAMENTO24"/>
      <sheetName val="MINERAIS_FERROSOS24"/>
      <sheetName val="BULK_MATERIALS24"/>
      <sheetName val="MINERAIS_NÃO_FERROSOS24"/>
      <sheetName val="DEMONSTRAÇÃO_DE_RESULTADO24"/>
      <sheetName val="_DESPESAS_FINANCEIRAS24"/>
      <sheetName val="_RESULTADO_DE_P__SOCIETÁRIAS24"/>
      <sheetName val="_BALANÇO_PATRIMONIAL24"/>
      <sheetName val="_FLUXO_DE_CAIXA24"/>
      <sheetName val="_VOLUME_outros24"/>
      <sheetName val="PRECOS_MEDIOS24"/>
      <sheetName val="Margens_Operacionais24"/>
      <sheetName val="Check_List24"/>
      <sheetName val="Itens_de_controle24"/>
      <sheetName val="Check_Farol24"/>
      <sheetName val="Pessoal_CVRD24"/>
      <sheetName val="Composição_2011_Máx__Rev_224"/>
      <sheetName val="Demanda_de_inspeção24"/>
      <sheetName val="Composição_2011_Máx__Rev_324"/>
      <sheetName val="JAN_P2224"/>
      <sheetName val="JAN_P2124"/>
      <sheetName val="MELHORIAS_E_OPÇÕES24"/>
      <sheetName val="CVRDMenu_xls24"/>
      <sheetName val="Desenvolvimento_Ferroviário24"/>
      <sheetName val="Eng__Via_Permanente24"/>
      <sheetName val="Eng__Material_Rodante24"/>
      <sheetName val="Eng__Eletro_e_Operações24"/>
      <sheetName val="Resumo_Desenvolvimento24"/>
      <sheetName val="Resumo_VP24"/>
      <sheetName val="Resumo_Mat_Rodante24"/>
      <sheetName val="Resumo_Eletro24"/>
      <sheetName val="Usiminas_24"/>
      <sheetName val="Simulador_OEE_sem_911_Nov_Dez24"/>
      <sheetName val="CA_540924"/>
      <sheetName val="Plano_de_Ação_OMR_(2)22"/>
      <sheetName val="Plano_de_Ação_OMTT_(2)22"/>
      <sheetName val="O_indicador22"/>
      <sheetName val="Matriz_de_priorização_GUT22"/>
      <sheetName val="1_-_Resultados22"/>
      <sheetName val="MCS_FEV22"/>
      <sheetName val="MCS_AGO22"/>
      <sheetName val="BUILD_UP_-_Jan22"/>
      <sheetName val="PA_Est__Minimo22"/>
      <sheetName val="Identificação_do_Problema22"/>
      <sheetName val="Observação_do_Problema22"/>
      <sheetName val="Diagrama_de_Causa_e_Efeito_Ro22"/>
      <sheetName val="Técnica_dos_Por_Ques_Rode22"/>
      <sheetName val="Diagrama_de_Causa_e_Efeito_Tr34"/>
      <sheetName val="Diagrama_de_Causa_e_Efeito_Tr35"/>
      <sheetName val="Teste_porquês_truq_22"/>
      <sheetName val="Teste_porquês_Rod22"/>
      <sheetName val="Teste_porquês_Traç22"/>
      <sheetName val="Observação_do_Problema_(2)22"/>
      <sheetName val="Diagrama_de_Causa_e_Efeito__(31"/>
      <sheetName val="BUILD_UP_COMP_22"/>
      <sheetName val="2_-_BUILD_UP_-_Maio22"/>
      <sheetName val="MCS_MAR22"/>
      <sheetName val="MCS_ABRIL22"/>
      <sheetName val="MCS_ACUMULADO22"/>
      <sheetName val="MCS_MAIO22"/>
      <sheetName val="Plano_de_Ação_OMR22"/>
      <sheetName val="BD_Grafico22"/>
      <sheetName val="Produção_de_Março_-_OMR22"/>
      <sheetName val="Fila_de_Rodeiros22"/>
      <sheetName val="Usinados_Montagem22"/>
      <sheetName val="Perfil_de_Entrada_de_rodeiros22"/>
      <sheetName val="Análise_Extra22"/>
      <sheetName val="Plano_de_Ação_OMTT22"/>
      <sheetName val="3_-_PARETOS22"/>
      <sheetName val="MCS_JUNHO22"/>
      <sheetName val="2_-_BUILD_UP_-_Abr_(2)22"/>
      <sheetName val="Planos_de_ação"/>
      <sheetName val="Build-up_US$_(2010)22"/>
      <sheetName val="Curva_22"/>
      <sheetName val="Painel_Engenharia_R$22"/>
      <sheetName val="Resumo_do_Painel22"/>
      <sheetName val="Resumo_IOI22"/>
      <sheetName val="Quadro_IOI_201422"/>
      <sheetName val="Curva_Baseline_201422"/>
      <sheetName val="Capex_Eco22"/>
      <sheetName val="Capex_Fin22"/>
      <sheetName val="Curva_Eco_Investimento22"/>
      <sheetName val="Curva_Fin_Investimento22"/>
      <sheetName val="Curva_Despesa22"/>
      <sheetName val="Ferrovia_Análise_Tendência22"/>
      <sheetName val="Dinâm_IOI_fabio22"/>
      <sheetName val="CONTRATOS_EEFC22"/>
      <sheetName val="ANALISE_EXC__MÊS22"/>
      <sheetName val="RESUMO_DESAFIO22"/>
      <sheetName val="2011_Curvas_Fin22"/>
      <sheetName val="Saldos_PA's22"/>
      <sheetName val="2012_Curvas_Fin_(R$)22"/>
      <sheetName val="Ramal_(temp)22"/>
      <sheetName val="Ramal_-_Pacotes22"/>
      <sheetName val="Linhas__Ramais22"/>
      <sheetName val="Owner_Costs22"/>
      <sheetName val="Desembolso_R$22"/>
      <sheetName val="Controle_Pagamentos22"/>
      <sheetName val="CONTRATOS_TFPM22"/>
      <sheetName val="2_-_BUILD_UP_-_Julho"/>
      <sheetName val="MCS_JULHO"/>
      <sheetName val="Produção_"/>
      <sheetName val="Rateio_Eco_-_Fin_-_Fis"/>
      <sheetName val="EST__CAPEX_eco_fin"/>
      <sheetName val="Cálculo_Reajuste"/>
      <sheetName val="Estrutura_SAP"/>
      <sheetName val="Principais_Contratos"/>
      <sheetName val="PA_e_TAREFA"/>
      <sheetName val="Avanço_%"/>
      <sheetName val="01_(2)"/>
      <sheetName val="BASE_DE_DADOS"/>
      <sheetName val="Parâmetros_Caso_Base"/>
      <sheetName val="Desenvolvimento_Ferroviário"/>
      <sheetName val="Eng__Via_Permanente"/>
      <sheetName val="Eng__Material_Rodante"/>
      <sheetName val="Eng__Eletro_e_Operações"/>
      <sheetName val="Resumo_Desenvolvimento"/>
      <sheetName val="Resumo_VP"/>
      <sheetName val="Resumo_Mat_Rodante"/>
      <sheetName val="Resumo_Eletro"/>
      <sheetName val="CA_5409"/>
      <sheetName val="Simulador_OEE_sem_911_Nov_Dez"/>
      <sheetName val="Usiminas_"/>
      <sheetName val="Controle_De_Inpeções6"/>
      <sheetName val="Controle_De_Inpeções_(2)6"/>
      <sheetName val="Controle_De_Inpeções_(3)6"/>
      <sheetName val="Imob_frota_GAVAG_6"/>
      <sheetName val="grafico-CARGA_GERAL6"/>
      <sheetName val="Restrições_de_Velocidade6"/>
      <sheetName val="Ultra_som_-_20076"/>
      <sheetName val="Trem_Hora_Parado6"/>
      <sheetName val="Ocorrências_Ferroviárias6"/>
      <sheetName val="Aprovisionamento_de_Materiais6"/>
      <sheetName val="Grafico_Geral_Orçamento6"/>
      <sheetName val="Check_List-_Gerrot6"/>
      <sheetName val="EAP_rev_003"/>
      <sheetName val="CC_4243"/>
      <sheetName val="NÃO_CRÍTICOS3"/>
      <sheetName val="CONSOLIDADO_GAENY3"/>
      <sheetName val="ORÇADO_-_CONF__GIC3"/>
      <sheetName val="ALEXANDRE_-_NÃO_CRÍTICOS3"/>
      <sheetName val="LEONARDO__-_CRÍTICOS3"/>
      <sheetName val="LEONARDO__-_NÃO_CRÍTICOS3"/>
      <sheetName val="PAULO_-_CRÍTICOS3"/>
      <sheetName val="PAULO_-_NÃO_CRÍTICOS3"/>
      <sheetName val="Gestão_Econômica3"/>
      <sheetName val="INFO_3"/>
      <sheetName val="Evolução_Etapas_Cal_Mag2"/>
      <sheetName val="Evolução_Etapas_Cromo2"/>
      <sheetName val="Grupo_x_Justif2"/>
      <sheetName val="Disp_2005_FCA2"/>
      <sheetName val="Resumo_EFVM2"/>
      <sheetName val="thp_2"/>
      <sheetName val="Consolida_Investimento2"/>
      <sheetName val="consolidado_preventivas2"/>
      <sheetName val="Vg__Inventariados-dados2"/>
      <sheetName val="p_ação_3G_UT1"/>
      <sheetName val="p_ação_3G_UT_(2)1"/>
      <sheetName val="Painel_de_controle1"/>
      <sheetName val="MKBF_MI1"/>
      <sheetName val="MKBF_CG1"/>
      <sheetName val="Nº_de_Falhas_MI1"/>
      <sheetName val="Nº_de_Falhas_CG1"/>
      <sheetName val="Nº_de_Falhas_PA1"/>
      <sheetName val="Falhas_sup_Freio1"/>
      <sheetName val="Falhas_MI-sist_Freio1"/>
      <sheetName val="Falhas_CG-sist_Freio1"/>
      <sheetName val="Falhas_sup_Vagão1"/>
      <sheetName val="Falhas_MI-sist_Sup1"/>
      <sheetName val="Falhas_CG_-sist_Sup1"/>
      <sheetName val="Falhas_sup_CG1"/>
      <sheetName val="Falhas_sup_Rodeiro-MI_CG_PA1"/>
      <sheetName val="Falhas_CG-sist_Rodeiro1"/>
      <sheetName val="Falhas_MI-sist_Rodeiro1"/>
      <sheetName val="Falhas_PA-sist_Rodeiro1"/>
      <sheetName val="Falhas_sup_T&amp;T1"/>
      <sheetName val="Falhas_TT-MI1"/>
      <sheetName val="Falhas_TT-CG1"/>
      <sheetName val="Falhas_MI-sist_Truque1"/>
      <sheetName val="Falhas_CG-sist_Truque1"/>
      <sheetName val="Falhas_MI-sist_Tração1"/>
      <sheetName val="Falhas_CG-sist_Tração1"/>
      <sheetName val="POR_DIRETORIA1"/>
      <sheetName val="ROS_VV1"/>
      <sheetName val="Cronograma_de_Reuniões_LICL1"/>
      <sheetName val="Cronograma_de_Reuniões_LEFEL1"/>
      <sheetName val="Pauta_C_Geral_Ferrovia1"/>
      <sheetName val="Agenda_Logistica_20121"/>
      <sheetName val="Cashflow_(na)1"/>
      <sheetName val="Análise_Certificação_1"/>
      <sheetName val="bdados_20051"/>
      <sheetName val="HISTORICO_DEF_X_REB1"/>
      <sheetName val="PAINEL_DE_FALHAS1"/>
      <sheetName val="AR_Signature_Page1"/>
      <sheetName val="_INDICADORES_FINANCEIROS1"/>
      <sheetName val="RECEITA_BRUTA1"/>
      <sheetName val="_COMPOSIÇÃO_DO_CPV_1"/>
      <sheetName val="_INDICADORES_DE_ENDIVIDAMENTO1"/>
      <sheetName val="MINERAIS_FERROSOS1"/>
      <sheetName val="BULK_MATERIALS1"/>
      <sheetName val="MINERAIS_NÃO_FERROSOS1"/>
      <sheetName val="DEMONSTRAÇÃO_DE_RESULTADO1"/>
      <sheetName val="_DESPESAS_FINANCEIRAS1"/>
      <sheetName val="_RESULTADO_DE_P__SOCIETÁRIAS1"/>
      <sheetName val="_BALANÇO_PATRIMONIAL1"/>
      <sheetName val="_FLUXO_DE_CAIXA1"/>
      <sheetName val="_VOLUME_outros1"/>
      <sheetName val="PRECOS_MEDIOS1"/>
      <sheetName val="Margens_Operacionais1"/>
      <sheetName val="Check_List1"/>
      <sheetName val="Itens_de_controle1"/>
      <sheetName val="Check_Farol1"/>
      <sheetName val="Pessoal_CVRD1"/>
      <sheetName val="Composição_2011_Máx__Rev_21"/>
      <sheetName val="Demanda_de_inspeção1"/>
      <sheetName val="Composição_2011_Máx__Rev_31"/>
      <sheetName val="JAN_P221"/>
      <sheetName val="JAN_P211"/>
      <sheetName val="MELHORIAS_E_OPÇÕES1"/>
      <sheetName val="CVRDMenu_xls1"/>
      <sheetName val="Desenvolvimento_Ferroviário1"/>
      <sheetName val="Eng__Via_Permanente1"/>
      <sheetName val="Eng__Material_Rodante1"/>
      <sheetName val="Eng__Eletro_e_Operações1"/>
      <sheetName val="Resumo_Desenvolvimento1"/>
      <sheetName val="Resumo_VP1"/>
      <sheetName val="Resumo_Mat_Rodante1"/>
      <sheetName val="Resumo_Eletro1"/>
      <sheetName val="CA_54091"/>
      <sheetName val="Simulador_OEE_sem_911_Nov_Dez1"/>
      <sheetName val="Usiminas_1"/>
      <sheetName val="Controle_De_Inpeções7"/>
      <sheetName val="Controle_De_Inpeções_(2)7"/>
      <sheetName val="Controle_De_Inpeções_(3)7"/>
      <sheetName val="Imob_frota_GAVAG_7"/>
      <sheetName val="grafico-CARGA_GERAL7"/>
      <sheetName val="Restrições_de_Velocidade7"/>
      <sheetName val="Ultra_som_-_20077"/>
      <sheetName val="Trem_Hora_Parado7"/>
      <sheetName val="Ocorrências_Ferroviárias7"/>
      <sheetName val="Aprovisionamento_de_Materiais7"/>
      <sheetName val="Grafico_Geral_Orçamento7"/>
      <sheetName val="Check_List-_Gerrot7"/>
      <sheetName val="EAP_rev_004"/>
      <sheetName val="CC_4244"/>
      <sheetName val="NÃO_CRÍTICOS4"/>
      <sheetName val="CONSOLIDADO_GAENY4"/>
      <sheetName val="ORÇADO_-_CONF__GIC4"/>
      <sheetName val="ALEXANDRE_-_NÃO_CRÍTICOS4"/>
      <sheetName val="LEONARDO__-_CRÍTICOS4"/>
      <sheetName val="LEONARDO__-_NÃO_CRÍTICOS4"/>
      <sheetName val="PAULO_-_CRÍTICOS4"/>
      <sheetName val="PAULO_-_NÃO_CRÍTICOS4"/>
      <sheetName val="Gestão_Econômica4"/>
      <sheetName val="INFO_4"/>
      <sheetName val="Evolução_Etapas_Cal_Mag3"/>
      <sheetName val="Evolução_Etapas_Cromo3"/>
      <sheetName val="Grupo_x_Justif3"/>
      <sheetName val="Disp_2005_FCA3"/>
      <sheetName val="Resumo_EFVM3"/>
      <sheetName val="thp_3"/>
      <sheetName val="Consolida_Investimento3"/>
      <sheetName val="consolidado_preventivas3"/>
      <sheetName val="Vg__Inventariados-dados3"/>
      <sheetName val="Painel_de_controle2"/>
      <sheetName val="MKBF_MI2"/>
      <sheetName val="MKBF_CG2"/>
      <sheetName val="Nº_de_Falhas_MI2"/>
      <sheetName val="Nº_de_Falhas_CG2"/>
      <sheetName val="Nº_de_Falhas_PA2"/>
      <sheetName val="Falhas_sup_Freio2"/>
      <sheetName val="Falhas_MI-sist_Freio2"/>
      <sheetName val="Falhas_CG-sist_Freio2"/>
      <sheetName val="Falhas_sup_Vagão2"/>
      <sheetName val="Falhas_MI-sist_Sup2"/>
      <sheetName val="Falhas_CG_-sist_Sup2"/>
      <sheetName val="Falhas_sup_CG2"/>
      <sheetName val="Falhas_sup_Rodeiro-MI_CG_PA2"/>
      <sheetName val="Falhas_CG-sist_Rodeiro2"/>
      <sheetName val="Falhas_MI-sist_Rodeiro2"/>
      <sheetName val="Falhas_PA-sist_Rodeiro2"/>
      <sheetName val="Falhas_sup_T&amp;T2"/>
      <sheetName val="Falhas_TT-MI2"/>
      <sheetName val="Falhas_TT-CG2"/>
      <sheetName val="Falhas_MI-sist_Truque2"/>
      <sheetName val="Falhas_CG-sist_Truque2"/>
      <sheetName val="Falhas_MI-sist_Tração2"/>
      <sheetName val="Falhas_CG-sist_Tração2"/>
      <sheetName val="p_ação_3G_UT2"/>
      <sheetName val="p_ação_3G_UT_(2)2"/>
      <sheetName val="bdados_20052"/>
      <sheetName val="POR_DIRETORIA2"/>
      <sheetName val="ROS_VV2"/>
      <sheetName val="Cronograma_de_Reuniões_LICL2"/>
      <sheetName val="Cronograma_de_Reuniões_LEFEL2"/>
      <sheetName val="Pauta_C_Geral_Ferrovia2"/>
      <sheetName val="Agenda_Logistica_20122"/>
      <sheetName val="Cashflow_(na)2"/>
      <sheetName val="Análise_Certificação_2"/>
      <sheetName val="HISTORICO_DEF_X_REB2"/>
      <sheetName val="PAINEL_DE_FALHAS2"/>
      <sheetName val="AR_Signature_Page2"/>
      <sheetName val="_INDICADORES_FINANCEIROS2"/>
      <sheetName val="RECEITA_BRUTA2"/>
      <sheetName val="_COMPOSIÇÃO_DO_CPV_2"/>
      <sheetName val="_INDICADORES_DE_ENDIVIDAMENTO2"/>
      <sheetName val="MINERAIS_FERROSOS2"/>
      <sheetName val="BULK_MATERIALS2"/>
      <sheetName val="MINERAIS_NÃO_FERROSOS2"/>
      <sheetName val="DEMONSTRAÇÃO_DE_RESULTADO2"/>
      <sheetName val="_DESPESAS_FINANCEIRAS2"/>
      <sheetName val="_RESULTADO_DE_P__SOCIETÁRIAS2"/>
      <sheetName val="_BALANÇO_PATRIMONIAL2"/>
      <sheetName val="_FLUXO_DE_CAIXA2"/>
      <sheetName val="_VOLUME_outros2"/>
      <sheetName val="PRECOS_MEDIOS2"/>
      <sheetName val="Margens_Operacionais2"/>
      <sheetName val="Check_List2"/>
      <sheetName val="Itens_de_controle2"/>
      <sheetName val="Check_Farol2"/>
      <sheetName val="Pessoal_CVRD2"/>
      <sheetName val="Composição_2011_Máx__Rev_22"/>
      <sheetName val="Demanda_de_inspeção2"/>
      <sheetName val="Composição_2011_Máx__Rev_32"/>
      <sheetName val="JAN_P222"/>
      <sheetName val="JAN_P212"/>
      <sheetName val="MELHORIAS_E_OPÇÕES2"/>
      <sheetName val="CVRDMenu_xls2"/>
      <sheetName val="Desenvolvimento_Ferroviário2"/>
      <sheetName val="Eng__Via_Permanente2"/>
      <sheetName val="Eng__Material_Rodante2"/>
      <sheetName val="Eng__Eletro_e_Operações2"/>
      <sheetName val="Resumo_Desenvolvimento2"/>
      <sheetName val="Resumo_VP2"/>
      <sheetName val="Resumo_Mat_Rodante2"/>
      <sheetName val="Resumo_Eletro2"/>
      <sheetName val="CA_54092"/>
      <sheetName val="Simulador_OEE_sem_911_Nov_Dez2"/>
      <sheetName val="Usiminas_2"/>
      <sheetName val="Build-up_US$_(2010)"/>
      <sheetName val="Curva_"/>
      <sheetName val="Painel_Engenharia_R$"/>
      <sheetName val="Resumo_do_Painel"/>
      <sheetName val="Resumo_IOI"/>
      <sheetName val="Quadro_IOI_2014"/>
      <sheetName val="Curva_Baseline_2014"/>
      <sheetName val="Capex_Eco"/>
      <sheetName val="Capex_Fin"/>
      <sheetName val="Curva_Eco_Investimento"/>
      <sheetName val="Curva_Fin_Investimento"/>
      <sheetName val="Curva_Despesa"/>
      <sheetName val="Ferrovia_Análise_Tendência"/>
      <sheetName val="Dinâm_IOI_fabio"/>
      <sheetName val="CONTRATOS_EEFC"/>
      <sheetName val="ANALISE_EXC__MÊS"/>
      <sheetName val="RESUMO_DESAFIO"/>
      <sheetName val="2011_Curvas_Fin"/>
      <sheetName val="Saldos_PA's"/>
      <sheetName val="2012_Curvas_Fin_(R$)"/>
      <sheetName val="Ramal_(temp)"/>
      <sheetName val="Ramal_-_Pacotes"/>
      <sheetName val="Linhas__Ramais"/>
      <sheetName val="Owner_Costs"/>
      <sheetName val="Desembolso_R$"/>
      <sheetName val="Controle_Pagamentos"/>
      <sheetName val="CONTRATOS_TFPM"/>
      <sheetName val="Plano_de_Ação_OMR_(2)"/>
      <sheetName val="Plano_de_Ação_OMTT_(2)"/>
      <sheetName val="O_indicador"/>
      <sheetName val="Matriz_de_priorização_GUT"/>
      <sheetName val="1_-_Resultados"/>
      <sheetName val="MCS_FEV"/>
      <sheetName val="MCS_AGO"/>
      <sheetName val="BUILD_UP_-_Jan"/>
      <sheetName val="PA_Est__Minimo"/>
      <sheetName val="Identificação_do_Problema"/>
      <sheetName val="Observação_do_Problema"/>
      <sheetName val="Diagrama_de_Causa_e_Efeito_Rode"/>
      <sheetName val="Técnica_dos_Por_Ques_Rode"/>
      <sheetName val="Diagrama_de_Causa_e_Efeito_Trac"/>
      <sheetName val="Diagrama_de_Causa_e_Efeito_Truq"/>
      <sheetName val="Teste_porquês_truq_"/>
      <sheetName val="Teste_porquês_Rod"/>
      <sheetName val="Teste_porquês_Traç"/>
      <sheetName val="Observação_do_Problema_(2)"/>
      <sheetName val="Diagrama_de_Causa_e_Efeito__(2"/>
      <sheetName val="BUILD_UP_COMP_"/>
      <sheetName val="2_-_BUILD_UP_-_Maio"/>
      <sheetName val="MCS_MAR"/>
      <sheetName val="MCS_ABRIL"/>
      <sheetName val="MCS_ACUMULADO"/>
      <sheetName val="MCS_MAIO"/>
      <sheetName val="Plano_de_Ação_OMR"/>
      <sheetName val="BD_Grafico"/>
      <sheetName val="Produção_de_Março_-_OMR"/>
      <sheetName val="Fila_de_Rodeiros"/>
      <sheetName val="Usinados_Montagem"/>
      <sheetName val="Perfil_de_Entrada_de_rodeiros"/>
      <sheetName val="Análise_Extra"/>
      <sheetName val="Plano_de_Ação_OMTT"/>
      <sheetName val="3_-_PARETOS"/>
      <sheetName val="MCS_JUNHO"/>
      <sheetName val="2_-_BUILD_UP_-_Abr_(2)"/>
      <sheetName val="Controle_De_Inpeções8"/>
      <sheetName val="Controle_De_Inpeções_(2)8"/>
      <sheetName val="Controle_De_Inpeções_(3)8"/>
      <sheetName val="Imob_frota_GAVAG_8"/>
      <sheetName val="grafico-CARGA_GERAL8"/>
      <sheetName val="Restrições_de_Velocidade8"/>
      <sheetName val="Ultra_som_-_20078"/>
      <sheetName val="Trem_Hora_Parado8"/>
      <sheetName val="Ocorrências_Ferroviárias8"/>
      <sheetName val="Aprovisionamento_de_Materiais8"/>
      <sheetName val="Grafico_Geral_Orçamento8"/>
      <sheetName val="Check_List-_Gerrot8"/>
      <sheetName val="EAP_rev_005"/>
      <sheetName val="CC_4245"/>
      <sheetName val="NÃO_CRÍTICOS5"/>
      <sheetName val="CONSOLIDADO_GAENY5"/>
      <sheetName val="ORÇADO_-_CONF__GIC5"/>
      <sheetName val="ALEXANDRE_-_NÃO_CRÍTICOS5"/>
      <sheetName val="LEONARDO__-_CRÍTICOS5"/>
      <sheetName val="LEONARDO__-_NÃO_CRÍTICOS5"/>
      <sheetName val="PAULO_-_CRÍTICOS5"/>
      <sheetName val="PAULO_-_NÃO_CRÍTICOS5"/>
      <sheetName val="Gestão_Econômica5"/>
      <sheetName val="INFO_5"/>
      <sheetName val="Evolução_Etapas_Cal_Mag4"/>
      <sheetName val="Evolução_Etapas_Cromo4"/>
      <sheetName val="Grupo_x_Justif4"/>
      <sheetName val="Disp_2005_FCA4"/>
      <sheetName val="Resumo_EFVM4"/>
      <sheetName val="thp_4"/>
      <sheetName val="Consolida_Investimento4"/>
      <sheetName val="consolidado_preventivas4"/>
      <sheetName val="Vg__Inventariados-dados4"/>
      <sheetName val="Painel_de_controle3"/>
      <sheetName val="MKBF_MI3"/>
      <sheetName val="MKBF_CG3"/>
      <sheetName val="Nº_de_Falhas_MI3"/>
      <sheetName val="Nº_de_Falhas_CG3"/>
      <sheetName val="Nº_de_Falhas_PA3"/>
      <sheetName val="Falhas_sup_Freio3"/>
      <sheetName val="Falhas_MI-sist_Freio3"/>
      <sheetName val="Falhas_CG-sist_Freio3"/>
      <sheetName val="Falhas_sup_Vagão3"/>
      <sheetName val="Falhas_MI-sist_Sup3"/>
      <sheetName val="Falhas_CG_-sist_Sup3"/>
      <sheetName val="Falhas_sup_CG3"/>
      <sheetName val="Falhas_sup_Rodeiro-MI_CG_PA3"/>
      <sheetName val="Falhas_CG-sist_Rodeiro3"/>
      <sheetName val="Falhas_MI-sist_Rodeiro3"/>
      <sheetName val="Falhas_PA-sist_Rodeiro3"/>
      <sheetName val="Falhas_sup_T&amp;T3"/>
      <sheetName val="Falhas_TT-MI3"/>
      <sheetName val="Falhas_TT-CG3"/>
      <sheetName val="Falhas_MI-sist_Truque3"/>
      <sheetName val="Falhas_CG-sist_Truque3"/>
      <sheetName val="Falhas_MI-sist_Tração3"/>
      <sheetName val="Falhas_CG-sist_Tração3"/>
      <sheetName val="p_ação_3G_UT3"/>
      <sheetName val="p_ação_3G_UT_(2)3"/>
      <sheetName val="bdados_20053"/>
      <sheetName val="POR_DIRETORIA3"/>
      <sheetName val="ROS_VV3"/>
      <sheetName val="Cronograma_de_Reuniões_LICL3"/>
      <sheetName val="Cronograma_de_Reuniões_LEFEL3"/>
      <sheetName val="Pauta_C_Geral_Ferrovia3"/>
      <sheetName val="Agenda_Logistica_20123"/>
      <sheetName val="Cashflow_(na)3"/>
      <sheetName val="Análise_Certificação_3"/>
      <sheetName val="HISTORICO_DEF_X_REB3"/>
      <sheetName val="PAINEL_DE_FALHAS3"/>
      <sheetName val="AR_Signature_Page3"/>
      <sheetName val="_INDICADORES_FINANCEIROS3"/>
      <sheetName val="RECEITA_BRUTA3"/>
      <sheetName val="_COMPOSIÇÃO_DO_CPV_3"/>
      <sheetName val="_INDICADORES_DE_ENDIVIDAMENTO3"/>
      <sheetName val="MINERAIS_FERROSOS3"/>
      <sheetName val="BULK_MATERIALS3"/>
      <sheetName val="MINERAIS_NÃO_FERROSOS3"/>
      <sheetName val="DEMONSTRAÇÃO_DE_RESULTADO3"/>
      <sheetName val="_DESPESAS_FINANCEIRAS3"/>
      <sheetName val="_RESULTADO_DE_P__SOCIETÁRIAS3"/>
      <sheetName val="_BALANÇO_PATRIMONIAL3"/>
      <sheetName val="_FLUXO_DE_CAIXA3"/>
      <sheetName val="_VOLUME_outros3"/>
      <sheetName val="PRECOS_MEDIOS3"/>
      <sheetName val="Margens_Operacionais3"/>
      <sheetName val="Check_List3"/>
      <sheetName val="Itens_de_controle3"/>
      <sheetName val="Check_Farol3"/>
      <sheetName val="Pessoal_CVRD3"/>
      <sheetName val="Composição_2011_Máx__Rev_23"/>
      <sheetName val="Demanda_de_inspeção3"/>
      <sheetName val="Composição_2011_Máx__Rev_33"/>
      <sheetName val="JAN_P223"/>
      <sheetName val="JAN_P213"/>
      <sheetName val="MELHORIAS_E_OPÇÕES3"/>
      <sheetName val="CVRDMenu_xls3"/>
      <sheetName val="Desenvolvimento_Ferroviário3"/>
      <sheetName val="Eng__Via_Permanente3"/>
      <sheetName val="Eng__Material_Rodante3"/>
      <sheetName val="Eng__Eletro_e_Operações3"/>
      <sheetName val="Resumo_Desenvolvimento3"/>
      <sheetName val="Resumo_VP3"/>
      <sheetName val="Resumo_Mat_Rodante3"/>
      <sheetName val="Resumo_Eletro3"/>
      <sheetName val="CA_54093"/>
      <sheetName val="Simulador_OEE_sem_911_Nov_Dez3"/>
      <sheetName val="Usiminas_3"/>
      <sheetName val="Build-up_US$_(2010)1"/>
      <sheetName val="Curva_1"/>
      <sheetName val="Painel_Engenharia_R$1"/>
      <sheetName val="Resumo_do_Painel1"/>
      <sheetName val="Resumo_IOI1"/>
      <sheetName val="Quadro_IOI_20141"/>
      <sheetName val="Curva_Baseline_20141"/>
      <sheetName val="Capex_Eco1"/>
      <sheetName val="Capex_Fin1"/>
      <sheetName val="Curva_Eco_Investimento1"/>
      <sheetName val="Curva_Fin_Investimento1"/>
      <sheetName val="Curva_Despesa1"/>
      <sheetName val="Ferrovia_Análise_Tendência1"/>
      <sheetName val="Dinâm_IOI_fabio1"/>
      <sheetName val="CONTRATOS_EEFC1"/>
      <sheetName val="ANALISE_EXC__MÊS1"/>
      <sheetName val="RESUMO_DESAFIO1"/>
      <sheetName val="2011_Curvas_Fin1"/>
      <sheetName val="Saldos_PA's1"/>
      <sheetName val="2012_Curvas_Fin_(R$)1"/>
      <sheetName val="Ramal_(temp)1"/>
      <sheetName val="Ramal_-_Pacotes1"/>
      <sheetName val="Linhas__Ramais1"/>
      <sheetName val="Owner_Costs1"/>
      <sheetName val="Desembolso_R$1"/>
      <sheetName val="Controle_Pagamentos1"/>
      <sheetName val="CONTRATOS_TFPM1"/>
      <sheetName val="Plano_de_Ação_OMR_(2)1"/>
      <sheetName val="Plano_de_Ação_OMTT_(2)1"/>
      <sheetName val="O_indicador1"/>
      <sheetName val="Matriz_de_priorização_GUT1"/>
      <sheetName val="1_-_Resultados1"/>
      <sheetName val="MCS_FEV1"/>
      <sheetName val="MCS_AGO1"/>
      <sheetName val="BUILD_UP_-_Jan1"/>
      <sheetName val="PA_Est__Minimo1"/>
      <sheetName val="Identificação_do_Problema1"/>
      <sheetName val="Observação_do_Problema1"/>
      <sheetName val="Diagrama_de_Causa_e_Efeito_Rod1"/>
      <sheetName val="Técnica_dos_Por_Ques_Rode1"/>
      <sheetName val="Diagrama_de_Causa_e_Efeito_Tra1"/>
      <sheetName val="Diagrama_de_Causa_e_Efeito_Tru1"/>
      <sheetName val="Teste_porquês_truq_1"/>
      <sheetName val="Teste_porquês_Rod1"/>
      <sheetName val="Teste_porquês_Traç1"/>
      <sheetName val="Observação_do_Problema_(2)1"/>
      <sheetName val="Diagrama_de_Causa_e_Efeito__(21"/>
      <sheetName val="BUILD_UP_COMP_1"/>
      <sheetName val="2_-_BUILD_UP_-_Maio1"/>
      <sheetName val="MCS_MAR1"/>
      <sheetName val="MCS_ABRIL1"/>
      <sheetName val="MCS_ACUMULADO1"/>
      <sheetName val="MCS_MAIO1"/>
      <sheetName val="Plano_de_Ação_OMR1"/>
      <sheetName val="BD_Grafico1"/>
      <sheetName val="Produção_de_Março_-_OMR1"/>
      <sheetName val="Fila_de_Rodeiros1"/>
      <sheetName val="Usinados_Montagem1"/>
      <sheetName val="Perfil_de_Entrada_de_rodeiros1"/>
      <sheetName val="Análise_Extra1"/>
      <sheetName val="Plano_de_Ação_OMTT1"/>
      <sheetName val="3_-_PARETOS1"/>
      <sheetName val="MCS_JUNHO1"/>
      <sheetName val="2_-_BUILD_UP_-_Abr_(2)1"/>
      <sheetName val="Controle_De_Inpeções9"/>
      <sheetName val="Controle_De_Inpeções_(2)9"/>
      <sheetName val="Controle_De_Inpeções_(3)9"/>
      <sheetName val="Imob_frota_GAVAG_9"/>
      <sheetName val="grafico-CARGA_GERAL9"/>
      <sheetName val="Restrições_de_Velocidade9"/>
      <sheetName val="Ultra_som_-_20079"/>
      <sheetName val="Trem_Hora_Parado9"/>
      <sheetName val="Ocorrências_Ferroviárias9"/>
      <sheetName val="Aprovisionamento_de_Materiais9"/>
      <sheetName val="Grafico_Geral_Orçamento9"/>
      <sheetName val="Check_List-_Gerrot9"/>
      <sheetName val="EAP_rev_006"/>
      <sheetName val="CC_4246"/>
      <sheetName val="NÃO_CRÍTICOS6"/>
      <sheetName val="CONSOLIDADO_GAENY6"/>
      <sheetName val="ORÇADO_-_CONF__GIC6"/>
      <sheetName val="ALEXANDRE_-_NÃO_CRÍTICOS6"/>
      <sheetName val="LEONARDO__-_CRÍTICOS6"/>
      <sheetName val="LEONARDO__-_NÃO_CRÍTICOS6"/>
      <sheetName val="PAULO_-_CRÍTICOS6"/>
      <sheetName val="PAULO_-_NÃO_CRÍTICOS6"/>
      <sheetName val="Gestão_Econômica6"/>
      <sheetName val="INFO_6"/>
      <sheetName val="Evolução_Etapas_Cal_Mag5"/>
      <sheetName val="Evolução_Etapas_Cromo5"/>
      <sheetName val="Grupo_x_Justif5"/>
      <sheetName val="Disp_2005_FCA5"/>
      <sheetName val="Resumo_EFVM5"/>
      <sheetName val="thp_5"/>
      <sheetName val="Consolida_Investimento5"/>
      <sheetName val="consolidado_preventivas5"/>
      <sheetName val="Vg__Inventariados-dados5"/>
      <sheetName val="Painel_de_controle4"/>
      <sheetName val="MKBF_MI4"/>
      <sheetName val="MKBF_CG4"/>
      <sheetName val="Nº_de_Falhas_MI4"/>
      <sheetName val="Nº_de_Falhas_CG4"/>
      <sheetName val="Nº_de_Falhas_PA4"/>
      <sheetName val="Falhas_sup_Freio4"/>
      <sheetName val="Falhas_MI-sist_Freio4"/>
      <sheetName val="Falhas_CG-sist_Freio4"/>
      <sheetName val="Falhas_sup_Vagão4"/>
      <sheetName val="Falhas_MI-sist_Sup4"/>
      <sheetName val="Falhas_CG_-sist_Sup4"/>
      <sheetName val="Falhas_sup_CG4"/>
      <sheetName val="Falhas_sup_Rodeiro-MI_CG_PA4"/>
      <sheetName val="Falhas_CG-sist_Rodeiro4"/>
      <sheetName val="Falhas_MI-sist_Rodeiro4"/>
      <sheetName val="Falhas_PA-sist_Rodeiro4"/>
      <sheetName val="Falhas_sup_T&amp;T4"/>
      <sheetName val="Falhas_TT-MI4"/>
      <sheetName val="Falhas_TT-CG4"/>
      <sheetName val="Falhas_MI-sist_Truque4"/>
      <sheetName val="Falhas_CG-sist_Truque4"/>
      <sheetName val="Falhas_MI-sist_Tração4"/>
      <sheetName val="Falhas_CG-sist_Tração4"/>
      <sheetName val="p_ação_3G_UT4"/>
      <sheetName val="p_ação_3G_UT_(2)4"/>
      <sheetName val="bdados_20054"/>
      <sheetName val="POR_DIRETORIA4"/>
      <sheetName val="ROS_VV4"/>
      <sheetName val="Cronograma_de_Reuniões_LICL4"/>
      <sheetName val="Cronograma_de_Reuniões_LEFEL4"/>
      <sheetName val="Pauta_C_Geral_Ferrovia4"/>
      <sheetName val="Agenda_Logistica_20124"/>
      <sheetName val="Cashflow_(na)4"/>
      <sheetName val="Análise_Certificação_4"/>
      <sheetName val="HISTORICO_DEF_X_REB4"/>
      <sheetName val="PAINEL_DE_FALHAS4"/>
      <sheetName val="AR_Signature_Page4"/>
      <sheetName val="_INDICADORES_FINANCEIROS4"/>
      <sheetName val="RECEITA_BRUTA4"/>
      <sheetName val="_COMPOSIÇÃO_DO_CPV_4"/>
      <sheetName val="_INDICADORES_DE_ENDIVIDAMENTO4"/>
      <sheetName val="MINERAIS_FERROSOS4"/>
      <sheetName val="BULK_MATERIALS4"/>
      <sheetName val="MINERAIS_NÃO_FERROSOS4"/>
      <sheetName val="DEMONSTRAÇÃO_DE_RESULTADO4"/>
      <sheetName val="_DESPESAS_FINANCEIRAS4"/>
      <sheetName val="_RESULTADO_DE_P__SOCIETÁRIAS4"/>
      <sheetName val="_BALANÇO_PATRIMONIAL4"/>
      <sheetName val="_FLUXO_DE_CAIXA4"/>
      <sheetName val="_VOLUME_outros4"/>
      <sheetName val="PRECOS_MEDIOS4"/>
      <sheetName val="Margens_Operacionais4"/>
      <sheetName val="Check_List4"/>
      <sheetName val="Itens_de_controle4"/>
      <sheetName val="Check_Farol4"/>
      <sheetName val="Pessoal_CVRD4"/>
      <sheetName val="Composição_2011_Máx__Rev_24"/>
      <sheetName val="Demanda_de_inspeção4"/>
      <sheetName val="Composição_2011_Máx__Rev_34"/>
      <sheetName val="JAN_P224"/>
      <sheetName val="JAN_P214"/>
      <sheetName val="MELHORIAS_E_OPÇÕES4"/>
      <sheetName val="CVRDMenu_xls4"/>
      <sheetName val="Desenvolvimento_Ferroviário4"/>
      <sheetName val="Eng__Via_Permanente4"/>
      <sheetName val="Eng__Material_Rodante4"/>
      <sheetName val="Eng__Eletro_e_Operações4"/>
      <sheetName val="Resumo_Desenvolvimento4"/>
      <sheetName val="Resumo_VP4"/>
      <sheetName val="Resumo_Mat_Rodante4"/>
      <sheetName val="Resumo_Eletro4"/>
      <sheetName val="CA_54094"/>
      <sheetName val="Simulador_OEE_sem_911_Nov_Dez4"/>
      <sheetName val="Usiminas_4"/>
      <sheetName val="Build-up_US$_(2010)2"/>
      <sheetName val="Curva_2"/>
      <sheetName val="Painel_Engenharia_R$2"/>
      <sheetName val="Resumo_do_Painel2"/>
      <sheetName val="Resumo_IOI2"/>
      <sheetName val="Quadro_IOI_20142"/>
      <sheetName val="Curva_Baseline_20142"/>
      <sheetName val="Capex_Eco2"/>
      <sheetName val="Capex_Fin2"/>
      <sheetName val="Curva_Eco_Investimento2"/>
      <sheetName val="Curva_Fin_Investimento2"/>
      <sheetName val="Curva_Despesa2"/>
      <sheetName val="Ferrovia_Análise_Tendência2"/>
      <sheetName val="Dinâm_IOI_fabio2"/>
      <sheetName val="CONTRATOS_EEFC2"/>
      <sheetName val="ANALISE_EXC__MÊS2"/>
      <sheetName val="RESUMO_DESAFIO2"/>
      <sheetName val="2011_Curvas_Fin2"/>
      <sheetName val="Saldos_PA's2"/>
      <sheetName val="2012_Curvas_Fin_(R$)2"/>
      <sheetName val="Ramal_(temp)2"/>
      <sheetName val="Ramal_-_Pacotes2"/>
      <sheetName val="Linhas__Ramais2"/>
      <sheetName val="Owner_Costs2"/>
      <sheetName val="Desembolso_R$2"/>
      <sheetName val="Controle_Pagamentos2"/>
      <sheetName val="CONTRATOS_TFPM2"/>
      <sheetName val="Plano_de_Ação_OMR_(2)2"/>
      <sheetName val="Plano_de_Ação_OMTT_(2)2"/>
      <sheetName val="O_indicador2"/>
      <sheetName val="Matriz_de_priorização_GUT2"/>
      <sheetName val="1_-_Resultados2"/>
      <sheetName val="MCS_FEV2"/>
      <sheetName val="MCS_AGO2"/>
      <sheetName val="BUILD_UP_-_Jan2"/>
      <sheetName val="PA_Est__Minimo2"/>
      <sheetName val="Identificação_do_Problema2"/>
      <sheetName val="Observação_do_Problema2"/>
      <sheetName val="Diagrama_de_Causa_e_Efeito_Rod2"/>
      <sheetName val="Técnica_dos_Por_Ques_Rode2"/>
      <sheetName val="Diagrama_de_Causa_e_Efeito_Tra2"/>
      <sheetName val="Diagrama_de_Causa_e_Efeito_Tru2"/>
      <sheetName val="Teste_porquês_truq_2"/>
      <sheetName val="Teste_porquês_Rod2"/>
      <sheetName val="Teste_porquês_Traç2"/>
      <sheetName val="Observação_do_Problema_(2)2"/>
      <sheetName val="Diagrama_de_Causa_e_Efeito__(22"/>
      <sheetName val="BUILD_UP_COMP_2"/>
      <sheetName val="2_-_BUILD_UP_-_Maio2"/>
      <sheetName val="MCS_MAR2"/>
      <sheetName val="MCS_ABRIL2"/>
      <sheetName val="MCS_ACUMULADO2"/>
      <sheetName val="MCS_MAIO2"/>
      <sheetName val="Plano_de_Ação_OMR2"/>
      <sheetName val="BD_Grafico2"/>
      <sheetName val="Produção_de_Março_-_OMR2"/>
      <sheetName val="Fila_de_Rodeiros2"/>
      <sheetName val="Usinados_Montagem2"/>
      <sheetName val="Perfil_de_Entrada_de_rodeiros2"/>
      <sheetName val="Análise_Extra2"/>
      <sheetName val="Plano_de_Ação_OMTT2"/>
      <sheetName val="3_-_PARETOS2"/>
      <sheetName val="MCS_JUNHO2"/>
      <sheetName val="2_-_BUILD_UP_-_Abr_(2)2"/>
      <sheetName val="Controle_De_Inpeções10"/>
      <sheetName val="Controle_De_Inpeções_(2)10"/>
      <sheetName val="Controle_De_Inpeções_(3)10"/>
      <sheetName val="Imob_frota_GAVAG_10"/>
      <sheetName val="grafico-CARGA_GERAL10"/>
      <sheetName val="Restrições_de_Velocidade10"/>
      <sheetName val="Ultra_som_-_200710"/>
      <sheetName val="Trem_Hora_Parado10"/>
      <sheetName val="Ocorrências_Ferroviárias10"/>
      <sheetName val="Aprovisionamento_de_Materiais10"/>
      <sheetName val="Grafico_Geral_Orçamento10"/>
      <sheetName val="Check_List-_Gerrot10"/>
      <sheetName val="EAP_rev_007"/>
      <sheetName val="CC_4247"/>
      <sheetName val="NÃO_CRÍTICOS7"/>
      <sheetName val="CONSOLIDADO_GAENY7"/>
      <sheetName val="ORÇADO_-_CONF__GIC7"/>
      <sheetName val="ALEXANDRE_-_NÃO_CRÍTICOS7"/>
      <sheetName val="LEONARDO__-_CRÍTICOS7"/>
      <sheetName val="LEONARDO__-_NÃO_CRÍTICOS7"/>
      <sheetName val="PAULO_-_CRÍTICOS7"/>
      <sheetName val="PAULO_-_NÃO_CRÍTICOS7"/>
      <sheetName val="Gestão_Econômica7"/>
      <sheetName val="INFO_7"/>
      <sheetName val="Evolução_Etapas_Cal_Mag6"/>
      <sheetName val="Evolução_Etapas_Cromo6"/>
      <sheetName val="Grupo_x_Justif6"/>
      <sheetName val="Disp_2005_FCA6"/>
      <sheetName val="Resumo_EFVM6"/>
      <sheetName val="thp_6"/>
      <sheetName val="Consolida_Investimento6"/>
      <sheetName val="consolidado_preventivas6"/>
      <sheetName val="Vg__Inventariados-dados6"/>
      <sheetName val="Painel_de_controle5"/>
      <sheetName val="MKBF_MI5"/>
      <sheetName val="MKBF_CG5"/>
      <sheetName val="Nº_de_Falhas_MI5"/>
      <sheetName val="Nº_de_Falhas_CG5"/>
      <sheetName val="Nº_de_Falhas_PA5"/>
      <sheetName val="Falhas_sup_Freio5"/>
      <sheetName val="Falhas_MI-sist_Freio5"/>
      <sheetName val="Falhas_CG-sist_Freio5"/>
      <sheetName val="Falhas_sup_Vagão5"/>
      <sheetName val="Falhas_MI-sist_Sup5"/>
      <sheetName val="Falhas_CG_-sist_Sup5"/>
      <sheetName val="Falhas_sup_CG5"/>
      <sheetName val="Falhas_sup_Rodeiro-MI_CG_PA5"/>
      <sheetName val="Falhas_CG-sist_Rodeiro5"/>
      <sheetName val="Falhas_MI-sist_Rodeiro5"/>
      <sheetName val="Falhas_PA-sist_Rodeiro5"/>
      <sheetName val="Falhas_sup_T&amp;T5"/>
      <sheetName val="Falhas_TT-MI5"/>
      <sheetName val="Falhas_TT-CG5"/>
      <sheetName val="Falhas_MI-sist_Truque5"/>
      <sheetName val="Falhas_CG-sist_Truque5"/>
      <sheetName val="Falhas_MI-sist_Tração5"/>
      <sheetName val="Falhas_CG-sist_Tração5"/>
      <sheetName val="p_ação_3G_UT5"/>
      <sheetName val="p_ação_3G_UT_(2)5"/>
      <sheetName val="bdados_20055"/>
      <sheetName val="POR_DIRETORIA5"/>
      <sheetName val="ROS_VV5"/>
      <sheetName val="Cronograma_de_Reuniões_LICL5"/>
      <sheetName val="Cronograma_de_Reuniões_LEFEL5"/>
      <sheetName val="Pauta_C_Geral_Ferrovia5"/>
      <sheetName val="Agenda_Logistica_20125"/>
      <sheetName val="Cashflow_(na)5"/>
      <sheetName val="Análise_Certificação_5"/>
      <sheetName val="HISTORICO_DEF_X_REB5"/>
      <sheetName val="PAINEL_DE_FALHAS5"/>
      <sheetName val="AR_Signature_Page5"/>
      <sheetName val="_INDICADORES_FINANCEIROS5"/>
      <sheetName val="RECEITA_BRUTA5"/>
      <sheetName val="_COMPOSIÇÃO_DO_CPV_5"/>
      <sheetName val="_INDICADORES_DE_ENDIVIDAMENTO5"/>
      <sheetName val="MINERAIS_FERROSOS5"/>
      <sheetName val="BULK_MATERIALS5"/>
      <sheetName val="MINERAIS_NÃO_FERROSOS5"/>
      <sheetName val="DEMONSTRAÇÃO_DE_RESULTADO5"/>
      <sheetName val="_DESPESAS_FINANCEIRAS5"/>
      <sheetName val="_RESULTADO_DE_P__SOCIETÁRIAS5"/>
      <sheetName val="_BALANÇO_PATRIMONIAL5"/>
      <sheetName val="_FLUXO_DE_CAIXA5"/>
      <sheetName val="_VOLUME_outros5"/>
      <sheetName val="PRECOS_MEDIOS5"/>
      <sheetName val="Margens_Operacionais5"/>
      <sheetName val="Check_List5"/>
      <sheetName val="Itens_de_controle5"/>
      <sheetName val="Check_Farol5"/>
      <sheetName val="Pessoal_CVRD5"/>
      <sheetName val="Composição_2011_Máx__Rev_25"/>
      <sheetName val="Demanda_de_inspeção5"/>
      <sheetName val="Composição_2011_Máx__Rev_35"/>
      <sheetName val="JAN_P225"/>
      <sheetName val="JAN_P215"/>
      <sheetName val="MELHORIAS_E_OPÇÕES5"/>
      <sheetName val="CVRDMenu_xls5"/>
      <sheetName val="Desenvolvimento_Ferroviário5"/>
      <sheetName val="Eng__Via_Permanente5"/>
      <sheetName val="Eng__Material_Rodante5"/>
      <sheetName val="Eng__Eletro_e_Operações5"/>
      <sheetName val="Resumo_Desenvolvimento5"/>
      <sheetName val="Resumo_VP5"/>
      <sheetName val="Resumo_Mat_Rodante5"/>
      <sheetName val="Resumo_Eletro5"/>
      <sheetName val="CA_54095"/>
      <sheetName val="Simulador_OEE_sem_911_Nov_Dez5"/>
      <sheetName val="Usiminas_5"/>
      <sheetName val="Build-up_US$_(2010)3"/>
      <sheetName val="Curva_3"/>
      <sheetName val="Painel_Engenharia_R$3"/>
      <sheetName val="Resumo_do_Painel3"/>
      <sheetName val="Resumo_IOI3"/>
      <sheetName val="Quadro_IOI_20143"/>
      <sheetName val="Curva_Baseline_20143"/>
      <sheetName val="Capex_Eco3"/>
      <sheetName val="Capex_Fin3"/>
      <sheetName val="Curva_Eco_Investimento3"/>
      <sheetName val="Curva_Fin_Investimento3"/>
      <sheetName val="Curva_Despesa3"/>
      <sheetName val="Ferrovia_Análise_Tendência3"/>
      <sheetName val="Dinâm_IOI_fabio3"/>
      <sheetName val="CONTRATOS_EEFC3"/>
      <sheetName val="ANALISE_EXC__MÊS3"/>
      <sheetName val="RESUMO_DESAFIO3"/>
      <sheetName val="2011_Curvas_Fin3"/>
      <sheetName val="Saldos_PA's3"/>
      <sheetName val="2012_Curvas_Fin_(R$)3"/>
      <sheetName val="Ramal_(temp)3"/>
      <sheetName val="Ramal_-_Pacotes3"/>
      <sheetName val="Linhas__Ramais3"/>
      <sheetName val="Owner_Costs3"/>
      <sheetName val="Desembolso_R$3"/>
      <sheetName val="Controle_Pagamentos3"/>
      <sheetName val="CONTRATOS_TFPM3"/>
      <sheetName val="Plano_de_Ação_OMR_(2)3"/>
      <sheetName val="Plano_de_Ação_OMTT_(2)3"/>
      <sheetName val="O_indicador3"/>
      <sheetName val="Matriz_de_priorização_GUT3"/>
      <sheetName val="1_-_Resultados3"/>
      <sheetName val="MCS_FEV3"/>
      <sheetName val="MCS_AGO3"/>
      <sheetName val="BUILD_UP_-_Jan3"/>
      <sheetName val="PA_Est__Minimo3"/>
      <sheetName val="Identificação_do_Problema3"/>
      <sheetName val="Observação_do_Problema3"/>
      <sheetName val="Diagrama_de_Causa_e_Efeito_Rod3"/>
      <sheetName val="Técnica_dos_Por_Ques_Rode3"/>
      <sheetName val="Diagrama_de_Causa_e_Efeito_Tra3"/>
      <sheetName val="Diagrama_de_Causa_e_Efeito_Tru3"/>
      <sheetName val="Teste_porquês_truq_3"/>
      <sheetName val="Teste_porquês_Rod3"/>
      <sheetName val="Teste_porquês_Traç3"/>
      <sheetName val="Observação_do_Problema_(2)3"/>
      <sheetName val="Diagrama_de_Causa_e_Efeito__(23"/>
      <sheetName val="BUILD_UP_COMP_3"/>
      <sheetName val="2_-_BUILD_UP_-_Maio3"/>
      <sheetName val="MCS_MAR3"/>
      <sheetName val="MCS_ABRIL3"/>
      <sheetName val="MCS_ACUMULADO3"/>
      <sheetName val="MCS_MAIO3"/>
      <sheetName val="Plano_de_Ação_OMR3"/>
      <sheetName val="BD_Grafico3"/>
      <sheetName val="Produção_de_Março_-_OMR3"/>
      <sheetName val="Fila_de_Rodeiros3"/>
      <sheetName val="Usinados_Montagem3"/>
      <sheetName val="Perfil_de_Entrada_de_rodeiros3"/>
      <sheetName val="Análise_Extra3"/>
      <sheetName val="Plano_de_Ação_OMTT3"/>
      <sheetName val="3_-_PARETOS3"/>
      <sheetName val="MCS_JUNHO3"/>
      <sheetName val="2_-_BUILD_UP_-_Abr_(2)3"/>
      <sheetName val="Controle_De_Inpeções11"/>
      <sheetName val="Controle_De_Inpeções_(2)11"/>
      <sheetName val="Controle_De_Inpeções_(3)11"/>
      <sheetName val="Imob_frota_GAVAG_11"/>
      <sheetName val="grafico-CARGA_GERAL11"/>
      <sheetName val="Restrições_de_Velocidade11"/>
      <sheetName val="Ultra_som_-_200711"/>
      <sheetName val="Trem_Hora_Parado11"/>
      <sheetName val="Ocorrências_Ferroviárias11"/>
      <sheetName val="Aprovisionamento_de_Materiais11"/>
      <sheetName val="Grafico_Geral_Orçamento11"/>
      <sheetName val="Check_List-_Gerrot11"/>
      <sheetName val="EAP_rev_008"/>
      <sheetName val="CC_4248"/>
      <sheetName val="NÃO_CRÍTICOS8"/>
      <sheetName val="CONSOLIDADO_GAENY8"/>
      <sheetName val="ORÇADO_-_CONF__GIC8"/>
      <sheetName val="ALEXANDRE_-_NÃO_CRÍTICOS8"/>
      <sheetName val="LEONARDO__-_CRÍTICOS8"/>
      <sheetName val="LEONARDO__-_NÃO_CRÍTICOS8"/>
      <sheetName val="PAULO_-_CRÍTICOS8"/>
      <sheetName val="PAULO_-_NÃO_CRÍTICOS8"/>
      <sheetName val="Gestão_Econômica8"/>
      <sheetName val="INFO_8"/>
      <sheetName val="Evolução_Etapas_Cal_Mag7"/>
      <sheetName val="Evolução_Etapas_Cromo7"/>
      <sheetName val="Grupo_x_Justif7"/>
      <sheetName val="Disp_2005_FCA7"/>
      <sheetName val="Resumo_EFVM7"/>
      <sheetName val="thp_7"/>
      <sheetName val="Consolida_Investimento7"/>
      <sheetName val="consolidado_preventivas7"/>
      <sheetName val="Vg__Inventariados-dados7"/>
      <sheetName val="Painel_de_controle6"/>
      <sheetName val="MKBF_MI6"/>
      <sheetName val="MKBF_CG6"/>
      <sheetName val="Nº_de_Falhas_MI6"/>
      <sheetName val="Nº_de_Falhas_CG6"/>
      <sheetName val="Nº_de_Falhas_PA6"/>
      <sheetName val="Falhas_sup_Freio6"/>
      <sheetName val="Falhas_MI-sist_Freio6"/>
      <sheetName val="Falhas_CG-sist_Freio6"/>
      <sheetName val="Falhas_sup_Vagão6"/>
      <sheetName val="Falhas_MI-sist_Sup6"/>
      <sheetName val="Falhas_CG_-sist_Sup6"/>
      <sheetName val="Falhas_sup_CG6"/>
      <sheetName val="Falhas_sup_Rodeiro-MI_CG_PA6"/>
      <sheetName val="Falhas_CG-sist_Rodeiro6"/>
      <sheetName val="Falhas_MI-sist_Rodeiro6"/>
      <sheetName val="Falhas_PA-sist_Rodeiro6"/>
      <sheetName val="Falhas_sup_T&amp;T6"/>
      <sheetName val="Falhas_TT-MI6"/>
      <sheetName val="Falhas_TT-CG6"/>
      <sheetName val="Falhas_MI-sist_Truque6"/>
      <sheetName val="Falhas_CG-sist_Truque6"/>
      <sheetName val="Falhas_MI-sist_Tração6"/>
      <sheetName val="Falhas_CG-sist_Tração6"/>
      <sheetName val="p_ação_3G_UT6"/>
      <sheetName val="p_ação_3G_UT_(2)6"/>
      <sheetName val="bdados_20056"/>
      <sheetName val="POR_DIRETORIA6"/>
      <sheetName val="ROS_VV6"/>
      <sheetName val="Cronograma_de_Reuniões_LICL6"/>
      <sheetName val="Cronograma_de_Reuniões_LEFEL6"/>
      <sheetName val="Pauta_C_Geral_Ferrovia6"/>
      <sheetName val="Agenda_Logistica_20126"/>
      <sheetName val="Cashflow_(na)6"/>
      <sheetName val="Análise_Certificação_6"/>
      <sheetName val="HISTORICO_DEF_X_REB6"/>
      <sheetName val="PAINEL_DE_FALHAS6"/>
      <sheetName val="AR_Signature_Page6"/>
      <sheetName val="_INDICADORES_FINANCEIROS6"/>
      <sheetName val="RECEITA_BRUTA6"/>
      <sheetName val="_COMPOSIÇÃO_DO_CPV_6"/>
      <sheetName val="_INDICADORES_DE_ENDIVIDAMENTO6"/>
      <sheetName val="MINERAIS_FERROSOS6"/>
      <sheetName val="BULK_MATERIALS6"/>
      <sheetName val="MINERAIS_NÃO_FERROSOS6"/>
      <sheetName val="DEMONSTRAÇÃO_DE_RESULTADO6"/>
      <sheetName val="_DESPESAS_FINANCEIRAS6"/>
      <sheetName val="_RESULTADO_DE_P__SOCIETÁRIAS6"/>
      <sheetName val="_BALANÇO_PATRIMONIAL6"/>
      <sheetName val="_FLUXO_DE_CAIXA6"/>
      <sheetName val="_VOLUME_outros6"/>
      <sheetName val="PRECOS_MEDIOS6"/>
      <sheetName val="Margens_Operacionais6"/>
      <sheetName val="Check_List6"/>
      <sheetName val="Itens_de_controle6"/>
      <sheetName val="Check_Farol6"/>
      <sheetName val="Pessoal_CVRD6"/>
      <sheetName val="Composição_2011_Máx__Rev_26"/>
      <sheetName val="Demanda_de_inspeção6"/>
      <sheetName val="Composição_2011_Máx__Rev_36"/>
      <sheetName val="JAN_P226"/>
      <sheetName val="JAN_P216"/>
      <sheetName val="MELHORIAS_E_OPÇÕES6"/>
      <sheetName val="CVRDMenu_xls6"/>
      <sheetName val="Desenvolvimento_Ferroviário6"/>
      <sheetName val="Eng__Via_Permanente6"/>
      <sheetName val="Eng__Material_Rodante6"/>
      <sheetName val="Eng__Eletro_e_Operações6"/>
      <sheetName val="Resumo_Desenvolvimento6"/>
      <sheetName val="Resumo_VP6"/>
      <sheetName val="Resumo_Mat_Rodante6"/>
      <sheetName val="Resumo_Eletro6"/>
      <sheetName val="CA_54096"/>
      <sheetName val="Simulador_OEE_sem_911_Nov_Dez6"/>
      <sheetName val="Usiminas_6"/>
      <sheetName val="Build-up_US$_(2010)4"/>
      <sheetName val="Curva_4"/>
      <sheetName val="Painel_Engenharia_R$4"/>
      <sheetName val="Resumo_do_Painel4"/>
      <sheetName val="Resumo_IOI4"/>
      <sheetName val="Quadro_IOI_20144"/>
      <sheetName val="Curva_Baseline_20144"/>
      <sheetName val="Capex_Eco4"/>
      <sheetName val="Capex_Fin4"/>
      <sheetName val="Curva_Eco_Investimento4"/>
      <sheetName val="Curva_Fin_Investimento4"/>
      <sheetName val="Curva_Despesa4"/>
      <sheetName val="Ferrovia_Análise_Tendência4"/>
      <sheetName val="Dinâm_IOI_fabio4"/>
      <sheetName val="CONTRATOS_EEFC4"/>
      <sheetName val="ANALISE_EXC__MÊS4"/>
      <sheetName val="RESUMO_DESAFIO4"/>
      <sheetName val="2011_Curvas_Fin4"/>
      <sheetName val="Saldos_PA's4"/>
      <sheetName val="2012_Curvas_Fin_(R$)4"/>
      <sheetName val="Ramal_(temp)4"/>
      <sheetName val="Ramal_-_Pacotes4"/>
      <sheetName val="Linhas__Ramais4"/>
      <sheetName val="Owner_Costs4"/>
      <sheetName val="Desembolso_R$4"/>
      <sheetName val="Controle_Pagamentos4"/>
      <sheetName val="CONTRATOS_TFPM4"/>
      <sheetName val="Plano_de_Ação_OMR_(2)4"/>
      <sheetName val="Plano_de_Ação_OMTT_(2)4"/>
      <sheetName val="O_indicador4"/>
      <sheetName val="Matriz_de_priorização_GUT4"/>
      <sheetName val="1_-_Resultados4"/>
      <sheetName val="MCS_FEV4"/>
      <sheetName val="MCS_AGO4"/>
      <sheetName val="BUILD_UP_-_Jan4"/>
      <sheetName val="PA_Est__Minimo4"/>
      <sheetName val="Identificação_do_Problema4"/>
      <sheetName val="Observação_do_Problema4"/>
      <sheetName val="Diagrama_de_Causa_e_Efeito_Rod4"/>
      <sheetName val="Técnica_dos_Por_Ques_Rode4"/>
      <sheetName val="Diagrama_de_Causa_e_Efeito_Tra4"/>
      <sheetName val="Diagrama_de_Causa_e_Efeito_Tru4"/>
      <sheetName val="Teste_porquês_truq_4"/>
      <sheetName val="Teste_porquês_Rod4"/>
      <sheetName val="Teste_porquês_Traç4"/>
      <sheetName val="Observação_do_Problema_(2)4"/>
      <sheetName val="Diagrama_de_Causa_e_Efeito__(24"/>
      <sheetName val="BUILD_UP_COMP_4"/>
      <sheetName val="2_-_BUILD_UP_-_Maio4"/>
      <sheetName val="MCS_MAR4"/>
      <sheetName val="MCS_ABRIL4"/>
      <sheetName val="MCS_ACUMULADO4"/>
      <sheetName val="MCS_MAIO4"/>
      <sheetName val="Plano_de_Ação_OMR4"/>
      <sheetName val="BD_Grafico4"/>
      <sheetName val="Produção_de_Março_-_OMR4"/>
      <sheetName val="Fila_de_Rodeiros4"/>
      <sheetName val="Usinados_Montagem4"/>
      <sheetName val="Perfil_de_Entrada_de_rodeiros4"/>
      <sheetName val="Análise_Extra4"/>
      <sheetName val="Plano_de_Ação_OMTT4"/>
      <sheetName val="3_-_PARETOS4"/>
      <sheetName val="MCS_JUNHO4"/>
      <sheetName val="2_-_BUILD_UP_-_Abr_(2)4"/>
      <sheetName val="Controle_De_Inpeções12"/>
      <sheetName val="Controle_De_Inpeções_(2)12"/>
      <sheetName val="Controle_De_Inpeções_(3)12"/>
      <sheetName val="Imob_frota_GAVAG_12"/>
      <sheetName val="grafico-CARGA_GERAL12"/>
      <sheetName val="Restrições_de_Velocidade12"/>
      <sheetName val="Ultra_som_-_200712"/>
      <sheetName val="Trem_Hora_Parado12"/>
      <sheetName val="Ocorrências_Ferroviárias12"/>
      <sheetName val="Aprovisionamento_de_Materiais12"/>
      <sheetName val="Grafico_Geral_Orçamento12"/>
      <sheetName val="Check_List-_Gerrot12"/>
      <sheetName val="EAP_rev_009"/>
      <sheetName val="CC_4249"/>
      <sheetName val="NÃO_CRÍTICOS9"/>
      <sheetName val="CONSOLIDADO_GAENY9"/>
      <sheetName val="ORÇADO_-_CONF__GIC9"/>
      <sheetName val="ALEXANDRE_-_NÃO_CRÍTICOS9"/>
      <sheetName val="LEONARDO__-_CRÍTICOS9"/>
      <sheetName val="LEONARDO__-_NÃO_CRÍTICOS9"/>
      <sheetName val="PAULO_-_CRÍTICOS9"/>
      <sheetName val="PAULO_-_NÃO_CRÍTICOS9"/>
      <sheetName val="Gestão_Econômica9"/>
      <sheetName val="INFO_9"/>
      <sheetName val="Evolução_Etapas_Cal_Mag8"/>
      <sheetName val="Evolução_Etapas_Cromo8"/>
      <sheetName val="Grupo_x_Justif8"/>
      <sheetName val="Disp_2005_FCA8"/>
      <sheetName val="Resumo_EFVM8"/>
      <sheetName val="thp_8"/>
      <sheetName val="Consolida_Investimento8"/>
      <sheetName val="consolidado_preventivas8"/>
      <sheetName val="Vg__Inventariados-dados8"/>
      <sheetName val="Painel_de_controle7"/>
      <sheetName val="MKBF_MI7"/>
      <sheetName val="MKBF_CG7"/>
      <sheetName val="Nº_de_Falhas_MI7"/>
      <sheetName val="Nº_de_Falhas_CG7"/>
      <sheetName val="Nº_de_Falhas_PA7"/>
      <sheetName val="Falhas_sup_Freio7"/>
      <sheetName val="Falhas_MI-sist_Freio7"/>
      <sheetName val="Falhas_CG-sist_Freio7"/>
      <sheetName val="Falhas_sup_Vagão7"/>
      <sheetName val="Falhas_MI-sist_Sup7"/>
      <sheetName val="Falhas_CG_-sist_Sup7"/>
      <sheetName val="Falhas_sup_CG7"/>
      <sheetName val="Falhas_sup_Rodeiro-MI_CG_PA7"/>
      <sheetName val="Falhas_CG-sist_Rodeiro7"/>
      <sheetName val="Falhas_MI-sist_Rodeiro7"/>
      <sheetName val="Falhas_PA-sist_Rodeiro7"/>
      <sheetName val="Falhas_sup_T&amp;T7"/>
      <sheetName val="Falhas_TT-MI7"/>
      <sheetName val="Falhas_TT-CG7"/>
      <sheetName val="Falhas_MI-sist_Truque7"/>
      <sheetName val="Falhas_CG-sist_Truque7"/>
      <sheetName val="Falhas_MI-sist_Tração7"/>
      <sheetName val="Falhas_CG-sist_Tração7"/>
      <sheetName val="p_ação_3G_UT7"/>
      <sheetName val="p_ação_3G_UT_(2)7"/>
      <sheetName val="bdados_20057"/>
      <sheetName val="POR_DIRETORIA7"/>
      <sheetName val="ROS_VV7"/>
      <sheetName val="Cronograma_de_Reuniões_LICL7"/>
      <sheetName val="Cronograma_de_Reuniões_LEFEL7"/>
      <sheetName val="Pauta_C_Geral_Ferrovia7"/>
      <sheetName val="Agenda_Logistica_20127"/>
      <sheetName val="Cashflow_(na)7"/>
      <sheetName val="Análise_Certificação_7"/>
      <sheetName val="HISTORICO_DEF_X_REB7"/>
      <sheetName val="PAINEL_DE_FALHAS7"/>
      <sheetName val="AR_Signature_Page7"/>
      <sheetName val="_INDICADORES_FINANCEIROS7"/>
      <sheetName val="RECEITA_BRUTA7"/>
      <sheetName val="_COMPOSIÇÃO_DO_CPV_7"/>
      <sheetName val="_INDICADORES_DE_ENDIVIDAMENTO7"/>
      <sheetName val="MINERAIS_FERROSOS7"/>
      <sheetName val="BULK_MATERIALS7"/>
      <sheetName val="MINERAIS_NÃO_FERROSOS7"/>
      <sheetName val="DEMONSTRAÇÃO_DE_RESULTADO7"/>
      <sheetName val="_DESPESAS_FINANCEIRAS7"/>
      <sheetName val="_RESULTADO_DE_P__SOCIETÁRIAS7"/>
      <sheetName val="_BALANÇO_PATRIMONIAL7"/>
      <sheetName val="_FLUXO_DE_CAIXA7"/>
      <sheetName val="_VOLUME_outros7"/>
      <sheetName val="PRECOS_MEDIOS7"/>
      <sheetName val="Margens_Operacionais7"/>
      <sheetName val="Check_List7"/>
      <sheetName val="Itens_de_controle7"/>
      <sheetName val="Check_Farol7"/>
      <sheetName val="Pessoal_CVRD7"/>
      <sheetName val="Composição_2011_Máx__Rev_27"/>
      <sheetName val="Demanda_de_inspeção7"/>
      <sheetName val="Composição_2011_Máx__Rev_37"/>
      <sheetName val="JAN_P227"/>
      <sheetName val="JAN_P217"/>
      <sheetName val="MELHORIAS_E_OPÇÕES7"/>
      <sheetName val="CVRDMenu_xls7"/>
      <sheetName val="Desenvolvimento_Ferroviário7"/>
      <sheetName val="Eng__Via_Permanente7"/>
      <sheetName val="Eng__Material_Rodante7"/>
      <sheetName val="Eng__Eletro_e_Operações7"/>
      <sheetName val="Resumo_Desenvolvimento7"/>
      <sheetName val="Resumo_VP7"/>
      <sheetName val="Resumo_Mat_Rodante7"/>
      <sheetName val="Resumo_Eletro7"/>
      <sheetName val="CA_54097"/>
      <sheetName val="Simulador_OEE_sem_911_Nov_Dez7"/>
      <sheetName val="Usiminas_7"/>
      <sheetName val="Build-up_US$_(2010)5"/>
      <sheetName val="Curva_5"/>
      <sheetName val="Painel_Engenharia_R$5"/>
      <sheetName val="Resumo_do_Painel5"/>
      <sheetName val="Resumo_IOI5"/>
      <sheetName val="Quadro_IOI_20145"/>
      <sheetName val="Curva_Baseline_20145"/>
      <sheetName val="Capex_Eco5"/>
      <sheetName val="Capex_Fin5"/>
      <sheetName val="Curva_Eco_Investimento5"/>
      <sheetName val="Curva_Fin_Investimento5"/>
      <sheetName val="Curva_Despesa5"/>
      <sheetName val="Ferrovia_Análise_Tendência5"/>
      <sheetName val="Dinâm_IOI_fabio5"/>
      <sheetName val="CONTRATOS_EEFC5"/>
      <sheetName val="ANALISE_EXC__MÊS5"/>
      <sheetName val="RESUMO_DESAFIO5"/>
      <sheetName val="2011_Curvas_Fin5"/>
      <sheetName val="Saldos_PA's5"/>
      <sheetName val="2012_Curvas_Fin_(R$)5"/>
      <sheetName val="Ramal_(temp)5"/>
      <sheetName val="Ramal_-_Pacotes5"/>
      <sheetName val="Linhas__Ramais5"/>
      <sheetName val="Owner_Costs5"/>
      <sheetName val="Desembolso_R$5"/>
      <sheetName val="Controle_Pagamentos5"/>
      <sheetName val="CONTRATOS_TFPM5"/>
      <sheetName val="Plano_de_Ação_OMR_(2)5"/>
      <sheetName val="Plano_de_Ação_OMTT_(2)5"/>
      <sheetName val="O_indicador5"/>
      <sheetName val="Matriz_de_priorização_GUT5"/>
      <sheetName val="1_-_Resultados5"/>
      <sheetName val="MCS_FEV5"/>
      <sheetName val="MCS_AGO5"/>
      <sheetName val="BUILD_UP_-_Jan5"/>
      <sheetName val="PA_Est__Minimo5"/>
      <sheetName val="Identificação_do_Problema5"/>
      <sheetName val="Observação_do_Problema5"/>
      <sheetName val="Diagrama_de_Causa_e_Efeito_Rod5"/>
      <sheetName val="Técnica_dos_Por_Ques_Rode5"/>
      <sheetName val="Diagrama_de_Causa_e_Efeito_Tra5"/>
      <sheetName val="Diagrama_de_Causa_e_Efeito_Tru5"/>
      <sheetName val="Teste_porquês_truq_5"/>
      <sheetName val="Teste_porquês_Rod5"/>
      <sheetName val="Teste_porquês_Traç5"/>
      <sheetName val="Observação_do_Problema_(2)5"/>
      <sheetName val="Diagrama_de_Causa_e_Efeito__(25"/>
      <sheetName val="BUILD_UP_COMP_5"/>
      <sheetName val="2_-_BUILD_UP_-_Maio5"/>
      <sheetName val="MCS_MAR5"/>
      <sheetName val="MCS_ABRIL5"/>
      <sheetName val="MCS_ACUMULADO5"/>
      <sheetName val="MCS_MAIO5"/>
      <sheetName val="Plano_de_Ação_OMR5"/>
      <sheetName val="BD_Grafico5"/>
      <sheetName val="Produção_de_Março_-_OMR5"/>
      <sheetName val="Fila_de_Rodeiros5"/>
      <sheetName val="Usinados_Montagem5"/>
      <sheetName val="Perfil_de_Entrada_de_rodeiros5"/>
      <sheetName val="Análise_Extra5"/>
      <sheetName val="Plano_de_Ação_OMTT5"/>
      <sheetName val="3_-_PARETOS5"/>
      <sheetName val="MCS_JUNHO5"/>
      <sheetName val="2_-_BUILD_UP_-_Abr_(2)5"/>
      <sheetName val="Controle_De_Inpeções13"/>
      <sheetName val="Controle_De_Inpeções_(2)13"/>
      <sheetName val="Controle_De_Inpeções_(3)13"/>
      <sheetName val="Imob_frota_GAVAG_13"/>
      <sheetName val="grafico-CARGA_GERAL13"/>
      <sheetName val="Restrições_de_Velocidade13"/>
      <sheetName val="Ultra_som_-_200713"/>
      <sheetName val="Trem_Hora_Parado13"/>
      <sheetName val="Ocorrências_Ferroviárias13"/>
      <sheetName val="Aprovisionamento_de_Materiais13"/>
      <sheetName val="Grafico_Geral_Orçamento13"/>
      <sheetName val="Check_List-_Gerrot13"/>
      <sheetName val="EAP_rev_0010"/>
      <sheetName val="CC_42410"/>
      <sheetName val="NÃO_CRÍTICOS10"/>
      <sheetName val="CONSOLIDADO_GAENY10"/>
      <sheetName val="ORÇADO_-_CONF__GIC10"/>
      <sheetName val="ALEXANDRE_-_NÃO_CRÍTICOS10"/>
      <sheetName val="LEONARDO__-_CRÍTICOS10"/>
      <sheetName val="LEONARDO__-_NÃO_CRÍTICOS10"/>
      <sheetName val="PAULO_-_CRÍTICOS10"/>
      <sheetName val="PAULO_-_NÃO_CRÍTICOS10"/>
      <sheetName val="Gestão_Econômica10"/>
      <sheetName val="INFO_10"/>
      <sheetName val="Evolução_Etapas_Cal_Mag9"/>
      <sheetName val="Evolução_Etapas_Cromo9"/>
      <sheetName val="Grupo_x_Justif9"/>
      <sheetName val="Disp_2005_FCA9"/>
      <sheetName val="Resumo_EFVM9"/>
      <sheetName val="thp_9"/>
      <sheetName val="Consolida_Investimento9"/>
      <sheetName val="consolidado_preventivas9"/>
      <sheetName val="Vg__Inventariados-dados9"/>
      <sheetName val="Painel_de_controle8"/>
      <sheetName val="MKBF_MI8"/>
      <sheetName val="MKBF_CG8"/>
      <sheetName val="Nº_de_Falhas_MI8"/>
      <sheetName val="Nº_de_Falhas_CG8"/>
      <sheetName val="Nº_de_Falhas_PA8"/>
      <sheetName val="Falhas_sup_Freio8"/>
      <sheetName val="Falhas_MI-sist_Freio8"/>
      <sheetName val="Falhas_CG-sist_Freio8"/>
      <sheetName val="Falhas_sup_Vagão8"/>
      <sheetName val="Falhas_MI-sist_Sup8"/>
      <sheetName val="Falhas_CG_-sist_Sup8"/>
      <sheetName val="Falhas_sup_CG8"/>
      <sheetName val="Falhas_sup_Rodeiro-MI_CG_PA8"/>
      <sheetName val="Falhas_CG-sist_Rodeiro8"/>
      <sheetName val="Falhas_MI-sist_Rodeiro8"/>
      <sheetName val="Falhas_PA-sist_Rodeiro8"/>
      <sheetName val="Falhas_sup_T&amp;T8"/>
      <sheetName val="Falhas_TT-MI8"/>
      <sheetName val="Falhas_TT-CG8"/>
      <sheetName val="Falhas_MI-sist_Truque8"/>
      <sheetName val="Falhas_CG-sist_Truque8"/>
      <sheetName val="Falhas_MI-sist_Tração8"/>
      <sheetName val="Falhas_CG-sist_Tração8"/>
      <sheetName val="p_ação_3G_UT8"/>
      <sheetName val="p_ação_3G_UT_(2)8"/>
      <sheetName val="bdados_20058"/>
      <sheetName val="POR_DIRETORIA8"/>
      <sheetName val="ROS_VV8"/>
      <sheetName val="Cronograma_de_Reuniões_LICL8"/>
      <sheetName val="Cronograma_de_Reuniões_LEFEL8"/>
      <sheetName val="Pauta_C_Geral_Ferrovia8"/>
      <sheetName val="Agenda_Logistica_20128"/>
      <sheetName val="Cashflow_(na)8"/>
      <sheetName val="Análise_Certificação_8"/>
      <sheetName val="HISTORICO_DEF_X_REB8"/>
      <sheetName val="PAINEL_DE_FALHAS8"/>
      <sheetName val="AR_Signature_Page8"/>
      <sheetName val="_INDICADORES_FINANCEIROS8"/>
      <sheetName val="RECEITA_BRUTA8"/>
      <sheetName val="_COMPOSIÇÃO_DO_CPV_8"/>
      <sheetName val="_INDICADORES_DE_ENDIVIDAMENTO8"/>
      <sheetName val="MINERAIS_FERROSOS8"/>
      <sheetName val="BULK_MATERIALS8"/>
      <sheetName val="MINERAIS_NÃO_FERROSOS8"/>
      <sheetName val="DEMONSTRAÇÃO_DE_RESULTADO8"/>
      <sheetName val="_DESPESAS_FINANCEIRAS8"/>
      <sheetName val="_RESULTADO_DE_P__SOCIETÁRIAS8"/>
      <sheetName val="_BALANÇO_PATRIMONIAL8"/>
      <sheetName val="_FLUXO_DE_CAIXA8"/>
      <sheetName val="_VOLUME_outros8"/>
      <sheetName val="PRECOS_MEDIOS8"/>
      <sheetName val="Margens_Operacionais8"/>
      <sheetName val="Check_List8"/>
      <sheetName val="Itens_de_controle8"/>
      <sheetName val="Check_Farol8"/>
      <sheetName val="Pessoal_CVRD8"/>
      <sheetName val="Composição_2011_Máx__Rev_28"/>
      <sheetName val="Demanda_de_inspeção8"/>
      <sheetName val="Composição_2011_Máx__Rev_38"/>
      <sheetName val="JAN_P228"/>
      <sheetName val="JAN_P218"/>
      <sheetName val="MELHORIAS_E_OPÇÕES8"/>
      <sheetName val="CVRDMenu_xls8"/>
      <sheetName val="Desenvolvimento_Ferroviário8"/>
      <sheetName val="Eng__Via_Permanente8"/>
      <sheetName val="Eng__Material_Rodante8"/>
      <sheetName val="Eng__Eletro_e_Operações8"/>
      <sheetName val="Resumo_Desenvolvimento8"/>
      <sheetName val="Resumo_VP8"/>
      <sheetName val="Resumo_Mat_Rodante8"/>
      <sheetName val="Resumo_Eletro8"/>
      <sheetName val="CA_54098"/>
      <sheetName val="Simulador_OEE_sem_911_Nov_Dez8"/>
      <sheetName val="Usiminas_8"/>
      <sheetName val="Build-up_US$_(2010)6"/>
      <sheetName val="Curva_6"/>
      <sheetName val="Painel_Engenharia_R$6"/>
      <sheetName val="Resumo_do_Painel6"/>
      <sheetName val="Resumo_IOI6"/>
      <sheetName val="Quadro_IOI_20146"/>
      <sheetName val="Curva_Baseline_20146"/>
      <sheetName val="Capex_Eco6"/>
      <sheetName val="Capex_Fin6"/>
      <sheetName val="Curva_Eco_Investimento6"/>
      <sheetName val="Curva_Fin_Investimento6"/>
      <sheetName val="Curva_Despesa6"/>
      <sheetName val="Ferrovia_Análise_Tendência6"/>
      <sheetName val="Dinâm_IOI_fabio6"/>
      <sheetName val="CONTRATOS_EEFC6"/>
      <sheetName val="ANALISE_EXC__MÊS6"/>
      <sheetName val="RESUMO_DESAFIO6"/>
      <sheetName val="2011_Curvas_Fin6"/>
      <sheetName val="Saldos_PA's6"/>
      <sheetName val="2012_Curvas_Fin_(R$)6"/>
      <sheetName val="Ramal_(temp)6"/>
      <sheetName val="Ramal_-_Pacotes6"/>
      <sheetName val="Linhas__Ramais6"/>
      <sheetName val="Owner_Costs6"/>
      <sheetName val="Desembolso_R$6"/>
      <sheetName val="Controle_Pagamentos6"/>
      <sheetName val="CONTRATOS_TFPM6"/>
      <sheetName val="Plano_de_Ação_OMR_(2)6"/>
      <sheetName val="Plano_de_Ação_OMTT_(2)6"/>
      <sheetName val="O_indicador6"/>
      <sheetName val="Matriz_de_priorização_GUT6"/>
      <sheetName val="1_-_Resultados6"/>
      <sheetName val="MCS_FEV6"/>
      <sheetName val="MCS_AGO6"/>
      <sheetName val="BUILD_UP_-_Jan6"/>
      <sheetName val="PA_Est__Minimo6"/>
      <sheetName val="Identificação_do_Problema6"/>
      <sheetName val="Observação_do_Problema6"/>
      <sheetName val="Diagrama_de_Causa_e_Efeito_Rod6"/>
      <sheetName val="Técnica_dos_Por_Ques_Rode6"/>
      <sheetName val="Diagrama_de_Causa_e_Efeito_Tra6"/>
      <sheetName val="Diagrama_de_Causa_e_Efeito_Tru6"/>
      <sheetName val="Teste_porquês_truq_6"/>
      <sheetName val="Teste_porquês_Rod6"/>
      <sheetName val="Teste_porquês_Traç6"/>
      <sheetName val="Observação_do_Problema_(2)6"/>
      <sheetName val="Diagrama_de_Causa_e_Efeito__(26"/>
      <sheetName val="BUILD_UP_COMP_6"/>
      <sheetName val="2_-_BUILD_UP_-_Maio6"/>
      <sheetName val="MCS_MAR6"/>
      <sheetName val="MCS_ABRIL6"/>
      <sheetName val="MCS_ACUMULADO6"/>
      <sheetName val="MCS_MAIO6"/>
      <sheetName val="Plano_de_Ação_OMR6"/>
      <sheetName val="BD_Grafico6"/>
      <sheetName val="Produção_de_Março_-_OMR6"/>
      <sheetName val="Fila_de_Rodeiros6"/>
      <sheetName val="Usinados_Montagem6"/>
      <sheetName val="Perfil_de_Entrada_de_rodeiros6"/>
      <sheetName val="Análise_Extra6"/>
      <sheetName val="Plano_de_Ação_OMTT6"/>
      <sheetName val="3_-_PARETOS6"/>
      <sheetName val="MCS_JUNHO6"/>
      <sheetName val="2_-_BUILD_UP_-_Abr_(2)6"/>
      <sheetName val="Controle_De_Inpeções14"/>
      <sheetName val="Controle_De_Inpeções_(2)14"/>
      <sheetName val="Controle_De_Inpeções_(3)14"/>
      <sheetName val="Imob_frota_GAVAG_14"/>
      <sheetName val="grafico-CARGA_GERAL14"/>
      <sheetName val="Restrições_de_Velocidade14"/>
      <sheetName val="Ultra_som_-_200714"/>
      <sheetName val="Trem_Hora_Parado14"/>
      <sheetName val="Ocorrências_Ferroviárias14"/>
      <sheetName val="Aprovisionamento_de_Materiais14"/>
      <sheetName val="Grafico_Geral_Orçamento14"/>
      <sheetName val="Check_List-_Gerrot14"/>
      <sheetName val="EAP_rev_0011"/>
      <sheetName val="CC_42411"/>
      <sheetName val="NÃO_CRÍTICOS11"/>
      <sheetName val="CONSOLIDADO_GAENY11"/>
      <sheetName val="ORÇADO_-_CONF__GIC11"/>
      <sheetName val="ALEXANDRE_-_NÃO_CRÍTICOS11"/>
      <sheetName val="LEONARDO__-_CRÍTICOS11"/>
      <sheetName val="LEONARDO__-_NÃO_CRÍTICOS11"/>
      <sheetName val="PAULO_-_CRÍTICOS11"/>
      <sheetName val="PAULO_-_NÃO_CRÍTICOS11"/>
      <sheetName val="Gestão_Econômica11"/>
      <sheetName val="INFO_11"/>
      <sheetName val="Evolução_Etapas_Cal_Mag10"/>
      <sheetName val="Evolução_Etapas_Cromo10"/>
      <sheetName val="Grupo_x_Justif10"/>
      <sheetName val="Disp_2005_FCA10"/>
      <sheetName val="Resumo_EFVM10"/>
      <sheetName val="thp_10"/>
      <sheetName val="Consolida_Investimento10"/>
      <sheetName val="consolidado_preventivas10"/>
      <sheetName val="Vg__Inventariados-dados10"/>
      <sheetName val="Painel_de_controle9"/>
      <sheetName val="MKBF_MI9"/>
      <sheetName val="MKBF_CG9"/>
      <sheetName val="Nº_de_Falhas_MI9"/>
      <sheetName val="Nº_de_Falhas_CG9"/>
      <sheetName val="Nº_de_Falhas_PA9"/>
      <sheetName val="Falhas_sup_Freio9"/>
      <sheetName val="Falhas_MI-sist_Freio9"/>
      <sheetName val="Falhas_CG-sist_Freio9"/>
      <sheetName val="Falhas_sup_Vagão9"/>
      <sheetName val="Falhas_MI-sist_Sup9"/>
      <sheetName val="Falhas_CG_-sist_Sup9"/>
      <sheetName val="Falhas_sup_CG9"/>
      <sheetName val="Falhas_sup_Rodeiro-MI_CG_PA9"/>
      <sheetName val="Falhas_CG-sist_Rodeiro9"/>
      <sheetName val="Falhas_MI-sist_Rodeiro9"/>
      <sheetName val="Falhas_PA-sist_Rodeiro9"/>
      <sheetName val="Falhas_sup_T&amp;T9"/>
      <sheetName val="Falhas_TT-MI9"/>
      <sheetName val="Falhas_TT-CG9"/>
      <sheetName val="Falhas_MI-sist_Truque9"/>
      <sheetName val="Falhas_CG-sist_Truque9"/>
      <sheetName val="Falhas_MI-sist_Tração9"/>
      <sheetName val="Falhas_CG-sist_Tração9"/>
      <sheetName val="p_ação_3G_UT9"/>
      <sheetName val="p_ação_3G_UT_(2)9"/>
      <sheetName val="bdados_20059"/>
      <sheetName val="POR_DIRETORIA9"/>
      <sheetName val="ROS_VV9"/>
      <sheetName val="Cronograma_de_Reuniões_LICL9"/>
      <sheetName val="Cronograma_de_Reuniões_LEFEL9"/>
      <sheetName val="Pauta_C_Geral_Ferrovia9"/>
      <sheetName val="Agenda_Logistica_20129"/>
      <sheetName val="Cashflow_(na)9"/>
      <sheetName val="Análise_Certificação_9"/>
      <sheetName val="HISTORICO_DEF_X_REB9"/>
      <sheetName val="PAINEL_DE_FALHAS9"/>
      <sheetName val="AR_Signature_Page9"/>
      <sheetName val="_INDICADORES_FINANCEIROS9"/>
      <sheetName val="RECEITA_BRUTA9"/>
      <sheetName val="_COMPOSIÇÃO_DO_CPV_9"/>
      <sheetName val="_INDICADORES_DE_ENDIVIDAMENTO9"/>
      <sheetName val="MINERAIS_FERROSOS9"/>
      <sheetName val="BULK_MATERIALS9"/>
      <sheetName val="MINERAIS_NÃO_FERROSOS9"/>
      <sheetName val="DEMONSTRAÇÃO_DE_RESULTADO9"/>
      <sheetName val="_DESPESAS_FINANCEIRAS9"/>
      <sheetName val="_RESULTADO_DE_P__SOCIETÁRIAS9"/>
      <sheetName val="_BALANÇO_PATRIMONIAL9"/>
      <sheetName val="_FLUXO_DE_CAIXA9"/>
      <sheetName val="_VOLUME_outros9"/>
      <sheetName val="PRECOS_MEDIOS9"/>
      <sheetName val="Margens_Operacionais9"/>
      <sheetName val="Check_List9"/>
      <sheetName val="Itens_de_controle9"/>
      <sheetName val="Check_Farol9"/>
      <sheetName val="Pessoal_CVRD9"/>
      <sheetName val="Composição_2011_Máx__Rev_29"/>
      <sheetName val="Demanda_de_inspeção9"/>
      <sheetName val="Composição_2011_Máx__Rev_39"/>
      <sheetName val="JAN_P229"/>
      <sheetName val="JAN_P219"/>
      <sheetName val="MELHORIAS_E_OPÇÕES9"/>
      <sheetName val="CVRDMenu_xls9"/>
      <sheetName val="Desenvolvimento_Ferroviário9"/>
      <sheetName val="Eng__Via_Permanente9"/>
      <sheetName val="Eng__Material_Rodante9"/>
      <sheetName val="Eng__Eletro_e_Operações9"/>
      <sheetName val="Resumo_Desenvolvimento9"/>
      <sheetName val="Resumo_VP9"/>
      <sheetName val="Resumo_Mat_Rodante9"/>
      <sheetName val="Resumo_Eletro9"/>
      <sheetName val="CA_54099"/>
      <sheetName val="Simulador_OEE_sem_911_Nov_Dez9"/>
      <sheetName val="Usiminas_9"/>
      <sheetName val="Build-up_US$_(2010)7"/>
      <sheetName val="Curva_7"/>
      <sheetName val="Painel_Engenharia_R$7"/>
      <sheetName val="Resumo_do_Painel7"/>
      <sheetName val="Resumo_IOI7"/>
      <sheetName val="Quadro_IOI_20147"/>
      <sheetName val="Curva_Baseline_20147"/>
      <sheetName val="Capex_Eco7"/>
      <sheetName val="Capex_Fin7"/>
      <sheetName val="Curva_Eco_Investimento7"/>
      <sheetName val="Curva_Fin_Investimento7"/>
      <sheetName val="Curva_Despesa7"/>
      <sheetName val="Ferrovia_Análise_Tendência7"/>
      <sheetName val="Dinâm_IOI_fabio7"/>
      <sheetName val="CONTRATOS_EEFC7"/>
      <sheetName val="ANALISE_EXC__MÊS7"/>
      <sheetName val="RESUMO_DESAFIO7"/>
      <sheetName val="2011_Curvas_Fin7"/>
      <sheetName val="Saldos_PA's7"/>
      <sheetName val="2012_Curvas_Fin_(R$)7"/>
      <sheetName val="Ramal_(temp)7"/>
      <sheetName val="Ramal_-_Pacotes7"/>
      <sheetName val="Linhas__Ramais7"/>
      <sheetName val="Owner_Costs7"/>
      <sheetName val="Desembolso_R$7"/>
      <sheetName val="Controle_Pagamentos7"/>
      <sheetName val="CONTRATOS_TFPM7"/>
      <sheetName val="Plano_de_Ação_OMR_(2)7"/>
      <sheetName val="Plano_de_Ação_OMTT_(2)7"/>
      <sheetName val="O_indicador7"/>
      <sheetName val="Matriz_de_priorização_GUT7"/>
      <sheetName val="1_-_Resultados7"/>
      <sheetName val="MCS_FEV7"/>
      <sheetName val="MCS_AGO7"/>
      <sheetName val="BUILD_UP_-_Jan7"/>
      <sheetName val="PA_Est__Minimo7"/>
      <sheetName val="Identificação_do_Problema7"/>
      <sheetName val="Observação_do_Problema7"/>
      <sheetName val="Diagrama_de_Causa_e_Efeito_Rod7"/>
      <sheetName val="Técnica_dos_Por_Ques_Rode7"/>
      <sheetName val="Diagrama_de_Causa_e_Efeito_Tra7"/>
      <sheetName val="Diagrama_de_Causa_e_Efeito_Tru7"/>
      <sheetName val="Teste_porquês_truq_7"/>
      <sheetName val="Teste_porquês_Rod7"/>
      <sheetName val="Teste_porquês_Traç7"/>
      <sheetName val="Observação_do_Problema_(2)7"/>
      <sheetName val="Diagrama_de_Causa_e_Efeito__(27"/>
      <sheetName val="BUILD_UP_COMP_7"/>
      <sheetName val="2_-_BUILD_UP_-_Maio7"/>
      <sheetName val="MCS_MAR7"/>
      <sheetName val="MCS_ABRIL7"/>
      <sheetName val="MCS_ACUMULADO7"/>
      <sheetName val="MCS_MAIO7"/>
      <sheetName val="Plano_de_Ação_OMR7"/>
      <sheetName val="BD_Grafico7"/>
      <sheetName val="Produção_de_Março_-_OMR7"/>
      <sheetName val="Fila_de_Rodeiros7"/>
      <sheetName val="Usinados_Montagem7"/>
      <sheetName val="Perfil_de_Entrada_de_rodeiros7"/>
      <sheetName val="Análise_Extra7"/>
      <sheetName val="Plano_de_Ação_OMTT7"/>
      <sheetName val="3_-_PARETOS7"/>
      <sheetName val="MCS_JUNHO7"/>
      <sheetName val="2_-_BUILD_UP_-_Abr_(2)7"/>
      <sheetName val="Controle_De_Inpeções15"/>
      <sheetName val="Controle_De_Inpeções_(2)15"/>
      <sheetName val="Controle_De_Inpeções_(3)15"/>
      <sheetName val="Imob_frota_GAVAG_15"/>
      <sheetName val="grafico-CARGA_GERAL15"/>
      <sheetName val="Restrições_de_Velocidade15"/>
      <sheetName val="Ultra_som_-_200715"/>
      <sheetName val="Trem_Hora_Parado15"/>
      <sheetName val="Ocorrências_Ferroviárias15"/>
      <sheetName val="Aprovisionamento_de_Materiais15"/>
      <sheetName val="Grafico_Geral_Orçamento15"/>
      <sheetName val="Check_List-_Gerrot15"/>
      <sheetName val="EAP_rev_0012"/>
      <sheetName val="CC_42412"/>
      <sheetName val="NÃO_CRÍTICOS12"/>
      <sheetName val="CONSOLIDADO_GAENY12"/>
      <sheetName val="ORÇADO_-_CONF__GIC12"/>
      <sheetName val="ALEXANDRE_-_NÃO_CRÍTICOS12"/>
      <sheetName val="LEONARDO__-_CRÍTICOS12"/>
      <sheetName val="LEONARDO__-_NÃO_CRÍTICOS12"/>
      <sheetName val="PAULO_-_CRÍTICOS12"/>
      <sheetName val="PAULO_-_NÃO_CRÍTICOS12"/>
      <sheetName val="Gestão_Econômica12"/>
      <sheetName val="INFO_12"/>
      <sheetName val="Evolução_Etapas_Cal_Mag11"/>
      <sheetName val="Evolução_Etapas_Cromo11"/>
      <sheetName val="Grupo_x_Justif11"/>
      <sheetName val="Disp_2005_FCA11"/>
      <sheetName val="Resumo_EFVM11"/>
      <sheetName val="thp_11"/>
      <sheetName val="Consolida_Investimento11"/>
      <sheetName val="consolidado_preventivas11"/>
      <sheetName val="Vg__Inventariados-dados11"/>
      <sheetName val="Painel_de_controle10"/>
      <sheetName val="MKBF_MI10"/>
      <sheetName val="MKBF_CG10"/>
      <sheetName val="Nº_de_Falhas_MI10"/>
      <sheetName val="Nº_de_Falhas_CG10"/>
      <sheetName val="Nº_de_Falhas_PA10"/>
      <sheetName val="Falhas_sup_Freio10"/>
      <sheetName val="Falhas_MI-sist_Freio10"/>
      <sheetName val="Falhas_CG-sist_Freio10"/>
      <sheetName val="Falhas_sup_Vagão10"/>
      <sheetName val="Falhas_MI-sist_Sup10"/>
      <sheetName val="Falhas_CG_-sist_Sup10"/>
      <sheetName val="Falhas_sup_CG10"/>
      <sheetName val="Falhas_sup_Rodeiro-MI_CG_PA10"/>
      <sheetName val="Falhas_CG-sist_Rodeiro10"/>
      <sheetName val="Falhas_MI-sist_Rodeiro10"/>
      <sheetName val="Falhas_PA-sist_Rodeiro10"/>
      <sheetName val="Falhas_sup_T&amp;T10"/>
      <sheetName val="Falhas_TT-MI10"/>
      <sheetName val="Falhas_TT-CG10"/>
      <sheetName val="Falhas_MI-sist_Truque10"/>
      <sheetName val="Falhas_CG-sist_Truque10"/>
      <sheetName val="Falhas_MI-sist_Tração10"/>
      <sheetName val="Falhas_CG-sist_Tração10"/>
      <sheetName val="p_ação_3G_UT10"/>
      <sheetName val="p_ação_3G_UT_(2)10"/>
      <sheetName val="bdados_200510"/>
      <sheetName val="POR_DIRETORIA10"/>
      <sheetName val="ROS_VV10"/>
      <sheetName val="Cronograma_de_Reuniões_LICL10"/>
      <sheetName val="Cronograma_de_Reuniões_LEFEL10"/>
      <sheetName val="Pauta_C_Geral_Ferrovia10"/>
      <sheetName val="Agenda_Logistica_201210"/>
      <sheetName val="Cashflow_(na)10"/>
      <sheetName val="Análise_Certificação_10"/>
      <sheetName val="HISTORICO_DEF_X_REB10"/>
      <sheetName val="PAINEL_DE_FALHAS10"/>
      <sheetName val="AR_Signature_Page10"/>
      <sheetName val="_INDICADORES_FINANCEIROS10"/>
      <sheetName val="RECEITA_BRUTA10"/>
      <sheetName val="_COMPOSIÇÃO_DO_CPV_10"/>
      <sheetName val="_INDICADORES_DE_ENDIVIDAMENTO10"/>
      <sheetName val="MINERAIS_FERROSOS10"/>
      <sheetName val="BULK_MATERIALS10"/>
      <sheetName val="MINERAIS_NÃO_FERROSOS10"/>
      <sheetName val="DEMONSTRAÇÃO_DE_RESULTADO10"/>
      <sheetName val="_DESPESAS_FINANCEIRAS10"/>
      <sheetName val="_RESULTADO_DE_P__SOCIETÁRIAS10"/>
      <sheetName val="_BALANÇO_PATRIMONIAL10"/>
      <sheetName val="_FLUXO_DE_CAIXA10"/>
      <sheetName val="_VOLUME_outros10"/>
      <sheetName val="PRECOS_MEDIOS10"/>
      <sheetName val="Margens_Operacionais10"/>
      <sheetName val="Check_List10"/>
      <sheetName val="Itens_de_controle10"/>
      <sheetName val="Check_Farol10"/>
      <sheetName val="Pessoal_CVRD10"/>
      <sheetName val="Composição_2011_Máx__Rev_210"/>
      <sheetName val="Demanda_de_inspeção10"/>
      <sheetName val="Composição_2011_Máx__Rev_310"/>
      <sheetName val="JAN_P2210"/>
      <sheetName val="JAN_P2110"/>
      <sheetName val="MELHORIAS_E_OPÇÕES10"/>
      <sheetName val="CVRDMenu_xls10"/>
      <sheetName val="Desenvolvimento_Ferroviário10"/>
      <sheetName val="Eng__Via_Permanente10"/>
      <sheetName val="Eng__Material_Rodante10"/>
      <sheetName val="Eng__Eletro_e_Operações10"/>
      <sheetName val="Resumo_Desenvolvimento10"/>
      <sheetName val="Resumo_VP10"/>
      <sheetName val="Resumo_Mat_Rodante10"/>
      <sheetName val="Resumo_Eletro10"/>
      <sheetName val="CA_540910"/>
      <sheetName val="Simulador_OEE_sem_911_Nov_Dez10"/>
      <sheetName val="Usiminas_10"/>
      <sheetName val="Build-up_US$_(2010)8"/>
      <sheetName val="Curva_8"/>
      <sheetName val="Painel_Engenharia_R$8"/>
      <sheetName val="Resumo_do_Painel8"/>
      <sheetName val="Resumo_IOI8"/>
      <sheetName val="Quadro_IOI_20148"/>
      <sheetName val="Curva_Baseline_20148"/>
      <sheetName val="Capex_Eco8"/>
      <sheetName val="Capex_Fin8"/>
      <sheetName val="Curva_Eco_Investimento8"/>
      <sheetName val="Curva_Fin_Investimento8"/>
      <sheetName val="Curva_Despesa8"/>
      <sheetName val="Ferrovia_Análise_Tendência8"/>
      <sheetName val="Dinâm_IOI_fabio8"/>
      <sheetName val="CONTRATOS_EEFC8"/>
      <sheetName val="ANALISE_EXC__MÊS8"/>
      <sheetName val="RESUMO_DESAFIO8"/>
      <sheetName val="2011_Curvas_Fin8"/>
      <sheetName val="Saldos_PA's8"/>
      <sheetName val="2012_Curvas_Fin_(R$)8"/>
      <sheetName val="Ramal_(temp)8"/>
      <sheetName val="Ramal_-_Pacotes8"/>
      <sheetName val="Linhas__Ramais8"/>
      <sheetName val="Owner_Costs8"/>
      <sheetName val="Desembolso_R$8"/>
      <sheetName val="Controle_Pagamentos8"/>
      <sheetName val="CONTRATOS_TFPM8"/>
      <sheetName val="Plano_de_Ação_OMR_(2)8"/>
      <sheetName val="Plano_de_Ação_OMTT_(2)8"/>
      <sheetName val="O_indicador8"/>
      <sheetName val="Matriz_de_priorização_GUT8"/>
      <sheetName val="1_-_Resultados8"/>
      <sheetName val="MCS_FEV8"/>
      <sheetName val="MCS_AGO8"/>
      <sheetName val="BUILD_UP_-_Jan8"/>
      <sheetName val="PA_Est__Minimo8"/>
      <sheetName val="Identificação_do_Problema8"/>
      <sheetName val="Observação_do_Problema8"/>
      <sheetName val="Diagrama_de_Causa_e_Efeito_Rod8"/>
      <sheetName val="Técnica_dos_Por_Ques_Rode8"/>
      <sheetName val="Diagrama_de_Causa_e_Efeito_Tra8"/>
      <sheetName val="Diagrama_de_Causa_e_Efeito_Tru8"/>
      <sheetName val="Teste_porquês_truq_8"/>
      <sheetName val="Teste_porquês_Rod8"/>
      <sheetName val="Teste_porquês_Traç8"/>
      <sheetName val="Observação_do_Problema_(2)8"/>
      <sheetName val="Diagrama_de_Causa_e_Efeito__(28"/>
      <sheetName val="BUILD_UP_COMP_8"/>
      <sheetName val="2_-_BUILD_UP_-_Maio8"/>
      <sheetName val="MCS_MAR8"/>
      <sheetName val="MCS_ABRIL8"/>
      <sheetName val="MCS_ACUMULADO8"/>
      <sheetName val="MCS_MAIO8"/>
      <sheetName val="Plano_de_Ação_OMR8"/>
      <sheetName val="BD_Grafico8"/>
      <sheetName val="Produção_de_Março_-_OMR8"/>
      <sheetName val="Fila_de_Rodeiros8"/>
      <sheetName val="Usinados_Montagem8"/>
      <sheetName val="Perfil_de_Entrada_de_rodeiros8"/>
      <sheetName val="Análise_Extra8"/>
      <sheetName val="Plano_de_Ação_OMTT8"/>
      <sheetName val="3_-_PARETOS8"/>
      <sheetName val="MCS_JUNHO8"/>
      <sheetName val="2_-_BUILD_UP_-_Abr_(2)8"/>
      <sheetName val="Controle_De_Inpeções16"/>
      <sheetName val="Controle_De_Inpeções_(2)16"/>
      <sheetName val="Controle_De_Inpeções_(3)16"/>
      <sheetName val="Imob_frota_GAVAG_16"/>
      <sheetName val="grafico-CARGA_GERAL16"/>
      <sheetName val="Restrições_de_Velocidade16"/>
      <sheetName val="Ultra_som_-_200716"/>
      <sheetName val="Trem_Hora_Parado16"/>
      <sheetName val="Ocorrências_Ferroviárias16"/>
      <sheetName val="Aprovisionamento_de_Materiais16"/>
      <sheetName val="Grafico_Geral_Orçamento16"/>
      <sheetName val="Check_List-_Gerrot16"/>
      <sheetName val="EAP_rev_0013"/>
      <sheetName val="CC_42413"/>
      <sheetName val="NÃO_CRÍTICOS13"/>
      <sheetName val="CONSOLIDADO_GAENY13"/>
      <sheetName val="ORÇADO_-_CONF__GIC13"/>
      <sheetName val="ALEXANDRE_-_NÃO_CRÍTICOS13"/>
      <sheetName val="LEONARDO__-_CRÍTICOS13"/>
      <sheetName val="LEONARDO__-_NÃO_CRÍTICOS13"/>
      <sheetName val="PAULO_-_CRÍTICOS13"/>
      <sheetName val="PAULO_-_NÃO_CRÍTICOS13"/>
      <sheetName val="Gestão_Econômica13"/>
      <sheetName val="INFO_13"/>
      <sheetName val="Evolução_Etapas_Cal_Mag12"/>
      <sheetName val="Evolução_Etapas_Cromo12"/>
      <sheetName val="Grupo_x_Justif12"/>
      <sheetName val="Disp_2005_FCA12"/>
      <sheetName val="Resumo_EFVM12"/>
      <sheetName val="thp_12"/>
      <sheetName val="Consolida_Investimento12"/>
      <sheetName val="consolidado_preventivas12"/>
      <sheetName val="Vg__Inventariados-dados12"/>
      <sheetName val="Painel_de_controle11"/>
      <sheetName val="MKBF_MI11"/>
      <sheetName val="MKBF_CG11"/>
      <sheetName val="Nº_de_Falhas_MI11"/>
      <sheetName val="Nº_de_Falhas_CG11"/>
      <sheetName val="Nº_de_Falhas_PA11"/>
      <sheetName val="Falhas_sup_Freio11"/>
      <sheetName val="Falhas_MI-sist_Freio11"/>
      <sheetName val="Falhas_CG-sist_Freio11"/>
      <sheetName val="Falhas_sup_Vagão11"/>
      <sheetName val="Falhas_MI-sist_Sup11"/>
      <sheetName val="Falhas_CG_-sist_Sup11"/>
      <sheetName val="Falhas_sup_CG11"/>
      <sheetName val="Falhas_sup_Rodeiro-MI_CG_PA11"/>
      <sheetName val="Falhas_CG-sist_Rodeiro11"/>
      <sheetName val="Falhas_MI-sist_Rodeiro11"/>
      <sheetName val="Falhas_PA-sist_Rodeiro11"/>
      <sheetName val="Falhas_sup_T&amp;T11"/>
      <sheetName val="Falhas_TT-MI11"/>
      <sheetName val="Falhas_TT-CG11"/>
      <sheetName val="Falhas_MI-sist_Truque11"/>
      <sheetName val="Falhas_CG-sist_Truque11"/>
      <sheetName val="Falhas_MI-sist_Tração11"/>
      <sheetName val="Falhas_CG-sist_Tração11"/>
      <sheetName val="p_ação_3G_UT11"/>
      <sheetName val="p_ação_3G_UT_(2)11"/>
      <sheetName val="bdados_200511"/>
      <sheetName val="POR_DIRETORIA11"/>
      <sheetName val="ROS_VV11"/>
      <sheetName val="Cronograma_de_Reuniões_LICL11"/>
      <sheetName val="Cronograma_de_Reuniões_LEFEL11"/>
      <sheetName val="Pauta_C_Geral_Ferrovia11"/>
      <sheetName val="Agenda_Logistica_201211"/>
      <sheetName val="Cashflow_(na)11"/>
      <sheetName val="Análise_Certificação_11"/>
      <sheetName val="HISTORICO_DEF_X_REB11"/>
      <sheetName val="PAINEL_DE_FALHAS11"/>
      <sheetName val="AR_Signature_Page11"/>
      <sheetName val="_INDICADORES_FINANCEIROS11"/>
      <sheetName val="RECEITA_BRUTA11"/>
      <sheetName val="_COMPOSIÇÃO_DO_CPV_11"/>
      <sheetName val="_INDICADORES_DE_ENDIVIDAMENTO11"/>
      <sheetName val="MINERAIS_FERROSOS11"/>
      <sheetName val="BULK_MATERIALS11"/>
      <sheetName val="MINERAIS_NÃO_FERROSOS11"/>
      <sheetName val="DEMONSTRAÇÃO_DE_RESULTADO11"/>
      <sheetName val="_DESPESAS_FINANCEIRAS11"/>
      <sheetName val="_RESULTADO_DE_P__SOCIETÁRIAS11"/>
      <sheetName val="_BALANÇO_PATRIMONIAL11"/>
      <sheetName val="_FLUXO_DE_CAIXA11"/>
      <sheetName val="_VOLUME_outros11"/>
      <sheetName val="PRECOS_MEDIOS11"/>
      <sheetName val="Margens_Operacionais11"/>
      <sheetName val="Check_List11"/>
      <sheetName val="Itens_de_controle11"/>
      <sheetName val="Check_Farol11"/>
      <sheetName val="Pessoal_CVRD11"/>
      <sheetName val="Composição_2011_Máx__Rev_211"/>
      <sheetName val="Demanda_de_inspeção11"/>
      <sheetName val="Composição_2011_Máx__Rev_311"/>
      <sheetName val="JAN_P2211"/>
      <sheetName val="JAN_P2111"/>
      <sheetName val="MELHORIAS_E_OPÇÕES11"/>
      <sheetName val="CVRDMenu_xls11"/>
      <sheetName val="Desenvolvimento_Ferroviário11"/>
      <sheetName val="Eng__Via_Permanente11"/>
      <sheetName val="Eng__Material_Rodante11"/>
      <sheetName val="Eng__Eletro_e_Operações11"/>
      <sheetName val="Resumo_Desenvolvimento11"/>
      <sheetName val="Resumo_VP11"/>
      <sheetName val="Resumo_Mat_Rodante11"/>
      <sheetName val="Resumo_Eletro11"/>
      <sheetName val="CA_540911"/>
      <sheetName val="Simulador_OEE_sem_911_Nov_Dez11"/>
      <sheetName val="Usiminas_11"/>
      <sheetName val="Build-up_US$_(2010)9"/>
      <sheetName val="Curva_9"/>
      <sheetName val="Painel_Engenharia_R$9"/>
      <sheetName val="Resumo_do_Painel9"/>
      <sheetName val="Resumo_IOI9"/>
      <sheetName val="Quadro_IOI_20149"/>
      <sheetName val="Curva_Baseline_20149"/>
      <sheetName val="Capex_Eco9"/>
      <sheetName val="Capex_Fin9"/>
      <sheetName val="Curva_Eco_Investimento9"/>
      <sheetName val="Curva_Fin_Investimento9"/>
      <sheetName val="Curva_Despesa9"/>
      <sheetName val="Ferrovia_Análise_Tendência9"/>
      <sheetName val="Dinâm_IOI_fabio9"/>
      <sheetName val="CONTRATOS_EEFC9"/>
      <sheetName val="ANALISE_EXC__MÊS9"/>
      <sheetName val="RESUMO_DESAFIO9"/>
      <sheetName val="2011_Curvas_Fin9"/>
      <sheetName val="Saldos_PA's9"/>
      <sheetName val="2012_Curvas_Fin_(R$)9"/>
      <sheetName val="Ramal_(temp)9"/>
      <sheetName val="Ramal_-_Pacotes9"/>
      <sheetName val="Linhas__Ramais9"/>
      <sheetName val="Owner_Costs9"/>
      <sheetName val="Desembolso_R$9"/>
      <sheetName val="Controle_Pagamentos9"/>
      <sheetName val="CONTRATOS_TFPM9"/>
      <sheetName val="Plano_de_Ação_OMR_(2)9"/>
      <sheetName val="Plano_de_Ação_OMTT_(2)9"/>
      <sheetName val="O_indicador9"/>
      <sheetName val="Matriz_de_priorização_GUT9"/>
      <sheetName val="1_-_Resultados9"/>
      <sheetName val="MCS_FEV9"/>
      <sheetName val="MCS_AGO9"/>
      <sheetName val="BUILD_UP_-_Jan9"/>
      <sheetName val="PA_Est__Minimo9"/>
      <sheetName val="Identificação_do_Problema9"/>
      <sheetName val="Observação_do_Problema9"/>
      <sheetName val="Diagrama_de_Causa_e_Efeito_Rod9"/>
      <sheetName val="Técnica_dos_Por_Ques_Rode9"/>
      <sheetName val="Diagrama_de_Causa_e_Efeito_Tra9"/>
      <sheetName val="Diagrama_de_Causa_e_Efeito_Tru9"/>
      <sheetName val="Teste_porquês_truq_9"/>
      <sheetName val="Teste_porquês_Rod9"/>
      <sheetName val="Teste_porquês_Traç9"/>
      <sheetName val="Observação_do_Problema_(2)9"/>
      <sheetName val="Diagrama_de_Causa_e_Efeito__(29"/>
      <sheetName val="BUILD_UP_COMP_9"/>
      <sheetName val="2_-_BUILD_UP_-_Maio9"/>
      <sheetName val="MCS_MAR9"/>
      <sheetName val="MCS_ABRIL9"/>
      <sheetName val="MCS_ACUMULADO9"/>
      <sheetName val="MCS_MAIO9"/>
      <sheetName val="Plano_de_Ação_OMR9"/>
      <sheetName val="BD_Grafico9"/>
      <sheetName val="Produção_de_Março_-_OMR9"/>
      <sheetName val="Fila_de_Rodeiros9"/>
      <sheetName val="Usinados_Montagem9"/>
      <sheetName val="Perfil_de_Entrada_de_rodeiros9"/>
      <sheetName val="Análise_Extra9"/>
      <sheetName val="Plano_de_Ação_OMTT9"/>
      <sheetName val="3_-_PARETOS9"/>
      <sheetName val="MCS_JUNHO9"/>
      <sheetName val="2_-_BUILD_UP_-_Abr_(2)9"/>
      <sheetName val="Controle_De_Inpeções17"/>
      <sheetName val="Controle_De_Inpeções_(2)17"/>
      <sheetName val="Controle_De_Inpeções_(3)17"/>
      <sheetName val="Imob_frota_GAVAG_17"/>
      <sheetName val="grafico-CARGA_GERAL17"/>
      <sheetName val="Restrições_de_Velocidade17"/>
      <sheetName val="Ultra_som_-_200717"/>
      <sheetName val="Trem_Hora_Parado17"/>
      <sheetName val="Ocorrências_Ferroviárias17"/>
      <sheetName val="Aprovisionamento_de_Materiais17"/>
      <sheetName val="Grafico_Geral_Orçamento17"/>
      <sheetName val="Check_List-_Gerrot17"/>
      <sheetName val="EAP_rev_0014"/>
      <sheetName val="CC_42414"/>
      <sheetName val="NÃO_CRÍTICOS14"/>
      <sheetName val="CONSOLIDADO_GAENY14"/>
      <sheetName val="ORÇADO_-_CONF__GIC14"/>
      <sheetName val="ALEXANDRE_-_NÃO_CRÍTICOS14"/>
      <sheetName val="LEONARDO__-_CRÍTICOS14"/>
      <sheetName val="LEONARDO__-_NÃO_CRÍTICOS14"/>
      <sheetName val="PAULO_-_CRÍTICOS14"/>
      <sheetName val="PAULO_-_NÃO_CRÍTICOS14"/>
      <sheetName val="Gestão_Econômica14"/>
      <sheetName val="INFO_14"/>
      <sheetName val="Evolução_Etapas_Cal_Mag13"/>
      <sheetName val="Evolução_Etapas_Cromo13"/>
      <sheetName val="Grupo_x_Justif13"/>
      <sheetName val="Disp_2005_FCA13"/>
      <sheetName val="Resumo_EFVM13"/>
      <sheetName val="thp_13"/>
      <sheetName val="Consolida_Investimento13"/>
      <sheetName val="consolidado_preventivas13"/>
      <sheetName val="Vg__Inventariados-dados13"/>
      <sheetName val="Painel_de_controle12"/>
      <sheetName val="MKBF_MI12"/>
      <sheetName val="MKBF_CG12"/>
      <sheetName val="Nº_de_Falhas_MI12"/>
      <sheetName val="Nº_de_Falhas_CG12"/>
      <sheetName val="Nº_de_Falhas_PA12"/>
      <sheetName val="Falhas_sup_Freio12"/>
      <sheetName val="Falhas_MI-sist_Freio12"/>
      <sheetName val="Falhas_CG-sist_Freio12"/>
      <sheetName val="Falhas_sup_Vagão12"/>
      <sheetName val="Falhas_MI-sist_Sup12"/>
      <sheetName val="Falhas_CG_-sist_Sup12"/>
      <sheetName val="Falhas_sup_CG12"/>
      <sheetName val="Falhas_sup_Rodeiro-MI_CG_PA12"/>
      <sheetName val="Falhas_CG-sist_Rodeiro12"/>
      <sheetName val="Falhas_MI-sist_Rodeiro12"/>
      <sheetName val="Falhas_PA-sist_Rodeiro12"/>
      <sheetName val="Falhas_sup_T&amp;T12"/>
      <sheetName val="Falhas_TT-MI12"/>
      <sheetName val="Falhas_TT-CG12"/>
      <sheetName val="Falhas_MI-sist_Truque12"/>
      <sheetName val="Falhas_CG-sist_Truque12"/>
      <sheetName val="Falhas_MI-sist_Tração12"/>
      <sheetName val="Falhas_CG-sist_Tração12"/>
      <sheetName val="p_ação_3G_UT12"/>
      <sheetName val="p_ação_3G_UT_(2)12"/>
      <sheetName val="bdados_200512"/>
      <sheetName val="POR_DIRETORIA12"/>
      <sheetName val="ROS_VV12"/>
      <sheetName val="Cronograma_de_Reuniões_LICL12"/>
      <sheetName val="Cronograma_de_Reuniões_LEFEL12"/>
      <sheetName val="Pauta_C_Geral_Ferrovia12"/>
      <sheetName val="Agenda_Logistica_201212"/>
      <sheetName val="Cashflow_(na)12"/>
      <sheetName val="Análise_Certificação_12"/>
      <sheetName val="HISTORICO_DEF_X_REB12"/>
      <sheetName val="PAINEL_DE_FALHAS12"/>
      <sheetName val="AR_Signature_Page12"/>
      <sheetName val="_INDICADORES_FINANCEIROS12"/>
      <sheetName val="RECEITA_BRUTA12"/>
      <sheetName val="_COMPOSIÇÃO_DO_CPV_12"/>
      <sheetName val="_INDICADORES_DE_ENDIVIDAMENTO12"/>
      <sheetName val="MINERAIS_FERROSOS12"/>
      <sheetName val="BULK_MATERIALS12"/>
      <sheetName val="MINERAIS_NÃO_FERROSOS12"/>
      <sheetName val="DEMONSTRAÇÃO_DE_RESULTADO12"/>
      <sheetName val="_DESPESAS_FINANCEIRAS12"/>
      <sheetName val="_RESULTADO_DE_P__SOCIETÁRIAS12"/>
      <sheetName val="_BALANÇO_PATRIMONIAL12"/>
      <sheetName val="_FLUXO_DE_CAIXA12"/>
      <sheetName val="_VOLUME_outros12"/>
      <sheetName val="PRECOS_MEDIOS12"/>
      <sheetName val="Margens_Operacionais12"/>
      <sheetName val="Check_List12"/>
      <sheetName val="Itens_de_controle12"/>
      <sheetName val="Check_Farol12"/>
      <sheetName val="Pessoal_CVRD12"/>
      <sheetName val="Composição_2011_Máx__Rev_212"/>
      <sheetName val="Demanda_de_inspeção12"/>
      <sheetName val="Composição_2011_Máx__Rev_312"/>
      <sheetName val="JAN_P2212"/>
      <sheetName val="JAN_P2112"/>
      <sheetName val="MELHORIAS_E_OPÇÕES12"/>
      <sheetName val="CVRDMenu_xls12"/>
      <sheetName val="Desenvolvimento_Ferroviário12"/>
      <sheetName val="Eng__Via_Permanente12"/>
      <sheetName val="Eng__Material_Rodante12"/>
      <sheetName val="Eng__Eletro_e_Operações12"/>
      <sheetName val="Resumo_Desenvolvimento12"/>
      <sheetName val="Resumo_VP12"/>
      <sheetName val="Resumo_Mat_Rodante12"/>
      <sheetName val="Resumo_Eletro12"/>
      <sheetName val="CA_540912"/>
      <sheetName val="Simulador_OEE_sem_911_Nov_Dez12"/>
      <sheetName val="Usiminas_12"/>
      <sheetName val="Build-up_US$_(2010)10"/>
      <sheetName val="Curva_10"/>
      <sheetName val="Painel_Engenharia_R$10"/>
      <sheetName val="Resumo_do_Painel10"/>
      <sheetName val="Resumo_IOI10"/>
      <sheetName val="Quadro_IOI_201410"/>
      <sheetName val="Curva_Baseline_201410"/>
      <sheetName val="Capex_Eco10"/>
      <sheetName val="Capex_Fin10"/>
      <sheetName val="Curva_Eco_Investimento10"/>
      <sheetName val="Curva_Fin_Investimento10"/>
      <sheetName val="Curva_Despesa10"/>
      <sheetName val="Ferrovia_Análise_Tendência10"/>
      <sheetName val="Dinâm_IOI_fabio10"/>
      <sheetName val="CONTRATOS_EEFC10"/>
      <sheetName val="ANALISE_EXC__MÊS10"/>
      <sheetName val="RESUMO_DESAFIO10"/>
      <sheetName val="2011_Curvas_Fin10"/>
      <sheetName val="Saldos_PA's10"/>
      <sheetName val="2012_Curvas_Fin_(R$)10"/>
      <sheetName val="Ramal_(temp)10"/>
      <sheetName val="Ramal_-_Pacotes10"/>
      <sheetName val="Linhas__Ramais10"/>
      <sheetName val="Owner_Costs10"/>
      <sheetName val="Desembolso_R$10"/>
      <sheetName val="Controle_Pagamentos10"/>
      <sheetName val="CONTRATOS_TFPM10"/>
      <sheetName val="Plano_de_Ação_OMR_(2)10"/>
      <sheetName val="Plano_de_Ação_OMTT_(2)10"/>
      <sheetName val="O_indicador10"/>
      <sheetName val="Matriz_de_priorização_GUT10"/>
      <sheetName val="1_-_Resultados10"/>
      <sheetName val="MCS_FEV10"/>
      <sheetName val="MCS_AGO10"/>
      <sheetName val="BUILD_UP_-_Jan10"/>
      <sheetName val="PA_Est__Minimo10"/>
      <sheetName val="Identificação_do_Problema10"/>
      <sheetName val="Observação_do_Problema10"/>
      <sheetName val="Diagrama_de_Causa_e_Efeito_Ro10"/>
      <sheetName val="Técnica_dos_Por_Ques_Rode10"/>
      <sheetName val="Diagrama_de_Causa_e_Efeito_Tr10"/>
      <sheetName val="Diagrama_de_Causa_e_Efeito_Tr11"/>
      <sheetName val="Teste_porquês_truq_10"/>
      <sheetName val="Teste_porquês_Rod10"/>
      <sheetName val="Teste_porquês_Traç10"/>
      <sheetName val="Observação_do_Problema_(2)10"/>
      <sheetName val="Diagrama_de_Causa_e_Efeito__(10"/>
      <sheetName val="BUILD_UP_COMP_10"/>
      <sheetName val="2_-_BUILD_UP_-_Maio10"/>
      <sheetName val="MCS_MAR10"/>
      <sheetName val="MCS_ABRIL10"/>
      <sheetName val="MCS_ACUMULADO10"/>
      <sheetName val="MCS_MAIO10"/>
      <sheetName val="Plano_de_Ação_OMR10"/>
      <sheetName val="BD_Grafico10"/>
      <sheetName val="Produção_de_Março_-_OMR10"/>
      <sheetName val="Fila_de_Rodeiros10"/>
      <sheetName val="Usinados_Montagem10"/>
      <sheetName val="Perfil_de_Entrada_de_rodeiros10"/>
      <sheetName val="Análise_Extra10"/>
      <sheetName val="Plano_de_Ação_OMTT10"/>
      <sheetName val="3_-_PARETOS10"/>
      <sheetName val="MCS_JUNHO10"/>
      <sheetName val="2_-_BUILD_UP_-_Abr_(2)10"/>
      <sheetName val="Controle_De_Inpeções18"/>
      <sheetName val="Controle_De_Inpeções_(2)18"/>
      <sheetName val="Controle_De_Inpeções_(3)18"/>
      <sheetName val="Imob_frota_GAVAG_18"/>
      <sheetName val="grafico-CARGA_GERAL18"/>
      <sheetName val="Restrições_de_Velocidade18"/>
      <sheetName val="Ultra_som_-_200718"/>
      <sheetName val="Trem_Hora_Parado18"/>
      <sheetName val="Ocorrências_Ferroviárias18"/>
      <sheetName val="Aprovisionamento_de_Materiais18"/>
      <sheetName val="Grafico_Geral_Orçamento18"/>
      <sheetName val="Check_List-_Gerrot18"/>
      <sheetName val="EAP_rev_0015"/>
      <sheetName val="CC_42415"/>
      <sheetName val="NÃO_CRÍTICOS15"/>
      <sheetName val="CONSOLIDADO_GAENY15"/>
      <sheetName val="ORÇADO_-_CONF__GIC15"/>
      <sheetName val="ALEXANDRE_-_NÃO_CRÍTICOS15"/>
      <sheetName val="LEONARDO__-_CRÍTICOS15"/>
      <sheetName val="LEONARDO__-_NÃO_CRÍTICOS15"/>
      <sheetName val="PAULO_-_CRÍTICOS15"/>
      <sheetName val="PAULO_-_NÃO_CRÍTICOS15"/>
      <sheetName val="Gestão_Econômica15"/>
      <sheetName val="INFO_15"/>
      <sheetName val="Evolução_Etapas_Cal_Mag14"/>
      <sheetName val="Evolução_Etapas_Cromo14"/>
      <sheetName val="Grupo_x_Justif14"/>
      <sheetName val="Disp_2005_FCA14"/>
      <sheetName val="Resumo_EFVM14"/>
      <sheetName val="thp_14"/>
      <sheetName val="Consolida_Investimento14"/>
      <sheetName val="consolidado_preventivas14"/>
      <sheetName val="Vg__Inventariados-dados14"/>
      <sheetName val="Painel_de_controle13"/>
      <sheetName val="MKBF_MI13"/>
      <sheetName val="MKBF_CG13"/>
      <sheetName val="Nº_de_Falhas_MI13"/>
      <sheetName val="Nº_de_Falhas_CG13"/>
      <sheetName val="Nº_de_Falhas_PA13"/>
      <sheetName val="Falhas_sup_Freio13"/>
      <sheetName val="Falhas_MI-sist_Freio13"/>
      <sheetName val="Falhas_CG-sist_Freio13"/>
      <sheetName val="Falhas_sup_Vagão13"/>
      <sheetName val="Falhas_MI-sist_Sup13"/>
      <sheetName val="Falhas_CG_-sist_Sup13"/>
      <sheetName val="Falhas_sup_CG13"/>
      <sheetName val="Falhas_sup_Rodeiro-MI_CG_PA13"/>
      <sheetName val="Falhas_CG-sist_Rodeiro13"/>
      <sheetName val="Falhas_MI-sist_Rodeiro13"/>
      <sheetName val="Falhas_PA-sist_Rodeiro13"/>
      <sheetName val="Falhas_sup_T&amp;T13"/>
      <sheetName val="Falhas_TT-MI13"/>
      <sheetName val="Falhas_TT-CG13"/>
      <sheetName val="Falhas_MI-sist_Truque13"/>
      <sheetName val="Falhas_CG-sist_Truque13"/>
      <sheetName val="Falhas_MI-sist_Tração13"/>
      <sheetName val="Falhas_CG-sist_Tração13"/>
      <sheetName val="p_ação_3G_UT13"/>
      <sheetName val="p_ação_3G_UT_(2)13"/>
      <sheetName val="bdados_200513"/>
      <sheetName val="POR_DIRETORIA13"/>
      <sheetName val="ROS_VV13"/>
      <sheetName val="Cronograma_de_Reuniões_LICL13"/>
      <sheetName val="Cronograma_de_Reuniões_LEFEL13"/>
      <sheetName val="Pauta_C_Geral_Ferrovia13"/>
      <sheetName val="Agenda_Logistica_201213"/>
      <sheetName val="Cashflow_(na)13"/>
      <sheetName val="Análise_Certificação_13"/>
      <sheetName val="HISTORICO_DEF_X_REB13"/>
      <sheetName val="PAINEL_DE_FALHAS13"/>
      <sheetName val="AR_Signature_Page13"/>
      <sheetName val="_INDICADORES_FINANCEIROS13"/>
      <sheetName val="RECEITA_BRUTA13"/>
      <sheetName val="_COMPOSIÇÃO_DO_CPV_13"/>
      <sheetName val="_INDICADORES_DE_ENDIVIDAMENTO13"/>
      <sheetName val="MINERAIS_FERROSOS13"/>
      <sheetName val="BULK_MATERIALS13"/>
      <sheetName val="MINERAIS_NÃO_FERROSOS13"/>
      <sheetName val="DEMONSTRAÇÃO_DE_RESULTADO13"/>
      <sheetName val="_DESPESAS_FINANCEIRAS13"/>
      <sheetName val="_RESULTADO_DE_P__SOCIETÁRIAS13"/>
      <sheetName val="_BALANÇO_PATRIMONIAL13"/>
      <sheetName val="_FLUXO_DE_CAIXA13"/>
      <sheetName val="_VOLUME_outros13"/>
      <sheetName val="PRECOS_MEDIOS13"/>
      <sheetName val="Margens_Operacionais13"/>
      <sheetName val="Check_List13"/>
      <sheetName val="Itens_de_controle13"/>
      <sheetName val="Check_Farol13"/>
      <sheetName val="Pessoal_CVRD13"/>
      <sheetName val="Composição_2011_Máx__Rev_213"/>
      <sheetName val="Demanda_de_inspeção13"/>
      <sheetName val="Composição_2011_Máx__Rev_313"/>
      <sheetName val="JAN_P2213"/>
      <sheetName val="JAN_P2113"/>
      <sheetName val="MELHORIAS_E_OPÇÕES13"/>
      <sheetName val="CVRDMenu_xls13"/>
      <sheetName val="Desenvolvimento_Ferroviário13"/>
      <sheetName val="Eng__Via_Permanente13"/>
      <sheetName val="Eng__Material_Rodante13"/>
      <sheetName val="Eng__Eletro_e_Operações13"/>
      <sheetName val="Resumo_Desenvolvimento13"/>
      <sheetName val="Resumo_VP13"/>
      <sheetName val="Resumo_Mat_Rodante13"/>
      <sheetName val="Resumo_Eletro13"/>
      <sheetName val="CA_540913"/>
      <sheetName val="Simulador_OEE_sem_911_Nov_Dez13"/>
      <sheetName val="Usiminas_13"/>
      <sheetName val="Build-up_US$_(2010)11"/>
      <sheetName val="Curva_11"/>
      <sheetName val="Painel_Engenharia_R$11"/>
      <sheetName val="Resumo_do_Painel11"/>
      <sheetName val="Resumo_IOI11"/>
      <sheetName val="Quadro_IOI_201411"/>
      <sheetName val="Curva_Baseline_201411"/>
      <sheetName val="Capex_Eco11"/>
      <sheetName val="Capex_Fin11"/>
      <sheetName val="Curva_Eco_Investimento11"/>
      <sheetName val="Curva_Fin_Investimento11"/>
      <sheetName val="Curva_Despesa11"/>
      <sheetName val="Ferrovia_Análise_Tendência11"/>
      <sheetName val="Dinâm_IOI_fabio11"/>
      <sheetName val="CONTRATOS_EEFC11"/>
      <sheetName val="ANALISE_EXC__MÊS11"/>
      <sheetName val="RESUMO_DESAFIO11"/>
      <sheetName val="2011_Curvas_Fin11"/>
      <sheetName val="Saldos_PA's11"/>
      <sheetName val="2012_Curvas_Fin_(R$)11"/>
      <sheetName val="Ramal_(temp)11"/>
      <sheetName val="Ramal_-_Pacotes11"/>
      <sheetName val="Linhas__Ramais11"/>
      <sheetName val="Owner_Costs11"/>
      <sheetName val="Desembolso_R$11"/>
      <sheetName val="Controle_Pagamentos11"/>
      <sheetName val="CONTRATOS_TFPM11"/>
      <sheetName val="Plano_de_Ação_OMR_(2)11"/>
      <sheetName val="Plano_de_Ação_OMTT_(2)11"/>
      <sheetName val="O_indicador11"/>
      <sheetName val="Matriz_de_priorização_GUT11"/>
      <sheetName val="1_-_Resultados11"/>
      <sheetName val="MCS_FEV11"/>
      <sheetName val="MCS_AGO11"/>
      <sheetName val="BUILD_UP_-_Jan11"/>
      <sheetName val="PA_Est__Minimo11"/>
      <sheetName val="Identificação_do_Problema11"/>
      <sheetName val="Observação_do_Problema11"/>
      <sheetName val="Diagrama_de_Causa_e_Efeito_Ro11"/>
      <sheetName val="Técnica_dos_Por_Ques_Rode11"/>
      <sheetName val="Diagrama_de_Causa_e_Efeito_Tr12"/>
      <sheetName val="Diagrama_de_Causa_e_Efeito_Tr13"/>
      <sheetName val="Teste_porquês_truq_11"/>
      <sheetName val="Teste_porquês_Rod11"/>
      <sheetName val="Teste_porquês_Traç11"/>
      <sheetName val="Observação_do_Problema_(2)11"/>
      <sheetName val="Diagrama_de_Causa_e_Efeito__(11"/>
      <sheetName val="BUILD_UP_COMP_11"/>
      <sheetName val="2_-_BUILD_UP_-_Maio11"/>
      <sheetName val="MCS_MAR11"/>
      <sheetName val="MCS_ABRIL11"/>
      <sheetName val="MCS_ACUMULADO11"/>
      <sheetName val="MCS_MAIO11"/>
      <sheetName val="Plano_de_Ação_OMR11"/>
      <sheetName val="BD_Grafico11"/>
      <sheetName val="Produção_de_Março_-_OMR11"/>
      <sheetName val="Fila_de_Rodeiros11"/>
      <sheetName val="Usinados_Montagem11"/>
      <sheetName val="Perfil_de_Entrada_de_rodeiros11"/>
      <sheetName val="Análise_Extra11"/>
      <sheetName val="Plano_de_Ação_OMTT11"/>
      <sheetName val="3_-_PARETOS11"/>
      <sheetName val="MCS_JUNHO11"/>
      <sheetName val="2_-_BUILD_UP_-_Abr_(2)11"/>
      <sheetName val="Controle_De_Inpeções20"/>
      <sheetName val="Controle_De_Inpeções_(2)20"/>
      <sheetName val="Controle_De_Inpeções_(3)20"/>
      <sheetName val="Imob_frota_GAVAG_20"/>
      <sheetName val="grafico-CARGA_GERAL20"/>
      <sheetName val="Restrições_de_Velocidade20"/>
      <sheetName val="Ultra_som_-_200720"/>
      <sheetName val="Trem_Hora_Parado20"/>
      <sheetName val="Ocorrências_Ferroviárias20"/>
      <sheetName val="Aprovisionamento_de_Materiais20"/>
      <sheetName val="Grafico_Geral_Orçamento20"/>
      <sheetName val="Check_List-_Gerrot20"/>
      <sheetName val="EAP_rev_0017"/>
      <sheetName val="CC_42417"/>
      <sheetName val="NÃO_CRÍTICOS17"/>
      <sheetName val="CONSOLIDADO_GAENY17"/>
      <sheetName val="ORÇADO_-_CONF__GIC17"/>
      <sheetName val="ALEXANDRE_-_NÃO_CRÍTICOS17"/>
      <sheetName val="LEONARDO__-_CRÍTICOS17"/>
      <sheetName val="LEONARDO__-_NÃO_CRÍTICOS17"/>
      <sheetName val="PAULO_-_CRÍTICOS17"/>
      <sheetName val="PAULO_-_NÃO_CRÍTICOS17"/>
      <sheetName val="Gestão_Econômica17"/>
      <sheetName val="INFO_17"/>
      <sheetName val="Evolução_Etapas_Cal_Mag16"/>
      <sheetName val="Evolução_Etapas_Cromo16"/>
      <sheetName val="Grupo_x_Justif16"/>
      <sheetName val="Disp_2005_FCA16"/>
      <sheetName val="Resumo_EFVM16"/>
      <sheetName val="thp_16"/>
      <sheetName val="Consolida_Investimento16"/>
      <sheetName val="consolidado_preventivas16"/>
      <sheetName val="Vg__Inventariados-dados16"/>
      <sheetName val="Painel_de_controle15"/>
      <sheetName val="MKBF_MI15"/>
      <sheetName val="MKBF_CG15"/>
      <sheetName val="Nº_de_Falhas_MI15"/>
      <sheetName val="Nº_de_Falhas_CG15"/>
      <sheetName val="Nº_de_Falhas_PA15"/>
      <sheetName val="Falhas_sup_Freio15"/>
      <sheetName val="Falhas_MI-sist_Freio15"/>
      <sheetName val="Falhas_CG-sist_Freio15"/>
      <sheetName val="Falhas_sup_Vagão15"/>
      <sheetName val="Falhas_MI-sist_Sup15"/>
      <sheetName val="Falhas_CG_-sist_Sup15"/>
      <sheetName val="Falhas_sup_CG15"/>
      <sheetName val="Falhas_sup_Rodeiro-MI_CG_PA15"/>
      <sheetName val="Falhas_CG-sist_Rodeiro15"/>
      <sheetName val="Falhas_MI-sist_Rodeiro15"/>
      <sheetName val="Falhas_PA-sist_Rodeiro15"/>
      <sheetName val="Falhas_sup_T&amp;T15"/>
      <sheetName val="Falhas_TT-MI15"/>
      <sheetName val="Falhas_TT-CG15"/>
      <sheetName val="Falhas_MI-sist_Truque15"/>
      <sheetName val="Falhas_CG-sist_Truque15"/>
      <sheetName val="Falhas_MI-sist_Tração15"/>
      <sheetName val="Falhas_CG-sist_Tração15"/>
      <sheetName val="p_ação_3G_UT15"/>
      <sheetName val="p_ação_3G_UT_(2)15"/>
      <sheetName val="bdados_200515"/>
      <sheetName val="POR_DIRETORIA15"/>
      <sheetName val="ROS_VV15"/>
      <sheetName val="Cronograma_de_Reuniões_LICL15"/>
      <sheetName val="Cronograma_de_Reuniões_LEFEL15"/>
      <sheetName val="Pauta_C_Geral_Ferrovia15"/>
      <sheetName val="Agenda_Logistica_201215"/>
      <sheetName val="Cashflow_(na)15"/>
      <sheetName val="Análise_Certificação_15"/>
      <sheetName val="HISTORICO_DEF_X_REB15"/>
      <sheetName val="PAINEL_DE_FALHAS15"/>
      <sheetName val="AR_Signature_Page15"/>
      <sheetName val="_INDICADORES_FINANCEIROS15"/>
      <sheetName val="RECEITA_BRUTA15"/>
      <sheetName val="_COMPOSIÇÃO_DO_CPV_15"/>
      <sheetName val="_INDICADORES_DE_ENDIVIDAMENTO15"/>
      <sheetName val="MINERAIS_FERROSOS15"/>
      <sheetName val="BULK_MATERIALS15"/>
      <sheetName val="MINERAIS_NÃO_FERROSOS15"/>
      <sheetName val="DEMONSTRAÇÃO_DE_RESULTADO15"/>
      <sheetName val="_DESPESAS_FINANCEIRAS15"/>
      <sheetName val="_RESULTADO_DE_P__SOCIETÁRIAS15"/>
      <sheetName val="_BALANÇO_PATRIMONIAL15"/>
      <sheetName val="_FLUXO_DE_CAIXA15"/>
      <sheetName val="_VOLUME_outros15"/>
      <sheetName val="PRECOS_MEDIOS15"/>
      <sheetName val="Margens_Operacionais15"/>
      <sheetName val="Check_List15"/>
      <sheetName val="Itens_de_controle15"/>
      <sheetName val="Check_Farol15"/>
      <sheetName val="Pessoal_CVRD15"/>
      <sheetName val="Composição_2011_Máx__Rev_215"/>
      <sheetName val="Demanda_de_inspeção15"/>
      <sheetName val="Composição_2011_Máx__Rev_315"/>
      <sheetName val="JAN_P2215"/>
      <sheetName val="JAN_P2115"/>
      <sheetName val="MELHORIAS_E_OPÇÕES15"/>
      <sheetName val="CVRDMenu_xls15"/>
      <sheetName val="Desenvolvimento_Ferroviário15"/>
      <sheetName val="Eng__Via_Permanente15"/>
      <sheetName val="Eng__Material_Rodante15"/>
      <sheetName val="Eng__Eletro_e_Operações15"/>
      <sheetName val="Resumo_Desenvolvimento15"/>
      <sheetName val="Resumo_VP15"/>
      <sheetName val="Resumo_Mat_Rodante15"/>
      <sheetName val="Resumo_Eletro15"/>
      <sheetName val="CA_540915"/>
      <sheetName val="Simulador_OEE_sem_911_Nov_Dez15"/>
      <sheetName val="Usiminas_15"/>
      <sheetName val="Build-up_US$_(2010)13"/>
      <sheetName val="Curva_13"/>
      <sheetName val="Painel_Engenharia_R$13"/>
      <sheetName val="Resumo_do_Painel13"/>
      <sheetName val="Resumo_IOI13"/>
      <sheetName val="Quadro_IOI_201413"/>
      <sheetName val="Curva_Baseline_201413"/>
      <sheetName val="Capex_Eco13"/>
      <sheetName val="Capex_Fin13"/>
      <sheetName val="Curva_Eco_Investimento13"/>
      <sheetName val="Curva_Fin_Investimento13"/>
      <sheetName val="Curva_Despesa13"/>
      <sheetName val="Ferrovia_Análise_Tendência13"/>
      <sheetName val="Dinâm_IOI_fabio13"/>
      <sheetName val="CONTRATOS_EEFC13"/>
      <sheetName val="ANALISE_EXC__MÊS13"/>
      <sheetName val="RESUMO_DESAFIO13"/>
      <sheetName val="2011_Curvas_Fin13"/>
      <sheetName val="Saldos_PA's13"/>
      <sheetName val="2012_Curvas_Fin_(R$)13"/>
      <sheetName val="Ramal_(temp)13"/>
      <sheetName val="Ramal_-_Pacotes13"/>
      <sheetName val="Linhas__Ramais13"/>
      <sheetName val="Owner_Costs13"/>
      <sheetName val="Desembolso_R$13"/>
      <sheetName val="Controle_Pagamentos13"/>
      <sheetName val="CONTRATOS_TFPM13"/>
      <sheetName val="Plano_de_Ação_OMR_(2)13"/>
      <sheetName val="Plano_de_Ação_OMTT_(2)13"/>
      <sheetName val="O_indicador13"/>
      <sheetName val="Matriz_de_priorização_GUT13"/>
      <sheetName val="1_-_Resultados13"/>
      <sheetName val="MCS_FEV13"/>
      <sheetName val="MCS_AGO13"/>
      <sheetName val="BUILD_UP_-_Jan13"/>
      <sheetName val="PA_Est__Minimo13"/>
      <sheetName val="Identificação_do_Problema13"/>
      <sheetName val="Observação_do_Problema13"/>
      <sheetName val="Diagrama_de_Causa_e_Efeito_Ro13"/>
      <sheetName val="Técnica_dos_Por_Ques_Rode13"/>
      <sheetName val="Diagrama_de_Causa_e_Efeito_Tr16"/>
      <sheetName val="Diagrama_de_Causa_e_Efeito_Tr17"/>
      <sheetName val="Teste_porquês_truq_13"/>
      <sheetName val="Teste_porquês_Rod13"/>
      <sheetName val="Teste_porquês_Traç13"/>
      <sheetName val="Observação_do_Problema_(2)13"/>
      <sheetName val="Diagrama_de_Causa_e_Efeito__(13"/>
      <sheetName val="BUILD_UP_COMP_13"/>
      <sheetName val="2_-_BUILD_UP_-_Maio13"/>
      <sheetName val="MCS_MAR13"/>
      <sheetName val="MCS_ABRIL13"/>
      <sheetName val="MCS_ACUMULADO13"/>
      <sheetName val="MCS_MAIO13"/>
      <sheetName val="Plano_de_Ação_OMR13"/>
      <sheetName val="BD_Grafico13"/>
      <sheetName val="Produção_de_Março_-_OMR13"/>
      <sheetName val="Fila_de_Rodeiros13"/>
      <sheetName val="Usinados_Montagem13"/>
      <sheetName val="Perfil_de_Entrada_de_rodeiros13"/>
      <sheetName val="Análise_Extra13"/>
      <sheetName val="Plano_de_Ação_OMTT13"/>
      <sheetName val="3_-_PARETOS13"/>
      <sheetName val="MCS_JUNHO13"/>
      <sheetName val="2_-_BUILD_UP_-_Abr_(2)13"/>
      <sheetName val="Controle_De_Inpeções19"/>
      <sheetName val="Controle_De_Inpeções_(2)19"/>
      <sheetName val="Controle_De_Inpeções_(3)19"/>
      <sheetName val="Imob_frota_GAVAG_19"/>
      <sheetName val="grafico-CARGA_GERAL19"/>
      <sheetName val="Restrições_de_Velocidade19"/>
      <sheetName val="Ultra_som_-_200719"/>
      <sheetName val="Trem_Hora_Parado19"/>
      <sheetName val="Ocorrências_Ferroviárias19"/>
      <sheetName val="Aprovisionamento_de_Materiais19"/>
      <sheetName val="Grafico_Geral_Orçamento19"/>
      <sheetName val="Check_List-_Gerrot19"/>
      <sheetName val="EAP_rev_0016"/>
      <sheetName val="CC_42416"/>
      <sheetName val="NÃO_CRÍTICOS16"/>
      <sheetName val="CONSOLIDADO_GAENY16"/>
      <sheetName val="ORÇADO_-_CONF__GIC16"/>
      <sheetName val="ALEXANDRE_-_NÃO_CRÍTICOS16"/>
      <sheetName val="LEONARDO__-_CRÍTICOS16"/>
      <sheetName val="LEONARDO__-_NÃO_CRÍTICOS16"/>
      <sheetName val="PAULO_-_CRÍTICOS16"/>
      <sheetName val="PAULO_-_NÃO_CRÍTICOS16"/>
      <sheetName val="Gestão_Econômica16"/>
      <sheetName val="INFO_16"/>
      <sheetName val="Evolução_Etapas_Cal_Mag15"/>
      <sheetName val="Evolução_Etapas_Cromo15"/>
      <sheetName val="Grupo_x_Justif15"/>
      <sheetName val="Disp_2005_FCA15"/>
      <sheetName val="Resumo_EFVM15"/>
      <sheetName val="thp_15"/>
      <sheetName val="Consolida_Investimento15"/>
      <sheetName val="consolidado_preventivas15"/>
      <sheetName val="Vg__Inventariados-dados15"/>
      <sheetName val="Painel_de_controle14"/>
      <sheetName val="MKBF_MI14"/>
      <sheetName val="MKBF_CG14"/>
      <sheetName val="Nº_de_Falhas_MI14"/>
      <sheetName val="Nº_de_Falhas_CG14"/>
      <sheetName val="Nº_de_Falhas_PA14"/>
      <sheetName val="Falhas_sup_Freio14"/>
      <sheetName val="Falhas_MI-sist_Freio14"/>
      <sheetName val="Falhas_CG-sist_Freio14"/>
      <sheetName val="Falhas_sup_Vagão14"/>
      <sheetName val="Falhas_MI-sist_Sup14"/>
      <sheetName val="Falhas_CG_-sist_Sup14"/>
      <sheetName val="Falhas_sup_CG14"/>
      <sheetName val="Falhas_sup_Rodeiro-MI_CG_PA14"/>
      <sheetName val="Falhas_CG-sist_Rodeiro14"/>
      <sheetName val="Falhas_MI-sist_Rodeiro14"/>
      <sheetName val="Falhas_PA-sist_Rodeiro14"/>
      <sheetName val="Falhas_sup_T&amp;T14"/>
      <sheetName val="Falhas_TT-MI14"/>
      <sheetName val="Falhas_TT-CG14"/>
      <sheetName val="Falhas_MI-sist_Truque14"/>
      <sheetName val="Falhas_CG-sist_Truque14"/>
      <sheetName val="Falhas_MI-sist_Tração14"/>
      <sheetName val="Falhas_CG-sist_Tração14"/>
      <sheetName val="p_ação_3G_UT14"/>
      <sheetName val="p_ação_3G_UT_(2)14"/>
      <sheetName val="bdados_200514"/>
      <sheetName val="POR_DIRETORIA14"/>
      <sheetName val="ROS_VV14"/>
      <sheetName val="Cronograma_de_Reuniões_LICL14"/>
      <sheetName val="Cronograma_de_Reuniões_LEFEL14"/>
      <sheetName val="Pauta_C_Geral_Ferrovia14"/>
      <sheetName val="Agenda_Logistica_201214"/>
      <sheetName val="Cashflow_(na)14"/>
      <sheetName val="Análise_Certificação_14"/>
      <sheetName val="HISTORICO_DEF_X_REB14"/>
      <sheetName val="PAINEL_DE_FALHAS14"/>
      <sheetName val="AR_Signature_Page14"/>
      <sheetName val="_INDICADORES_FINANCEIROS14"/>
      <sheetName val="RECEITA_BRUTA14"/>
      <sheetName val="_COMPOSIÇÃO_DO_CPV_14"/>
      <sheetName val="_INDICADORES_DE_ENDIVIDAMENTO14"/>
      <sheetName val="MINERAIS_FERROSOS14"/>
      <sheetName val="BULK_MATERIALS14"/>
      <sheetName val="MINERAIS_NÃO_FERROSOS14"/>
      <sheetName val="DEMONSTRAÇÃO_DE_RESULTADO14"/>
      <sheetName val="_DESPESAS_FINANCEIRAS14"/>
      <sheetName val="_RESULTADO_DE_P__SOCIETÁRIAS14"/>
      <sheetName val="_BALANÇO_PATRIMONIAL14"/>
      <sheetName val="_FLUXO_DE_CAIXA14"/>
      <sheetName val="_VOLUME_outros14"/>
      <sheetName val="PRECOS_MEDIOS14"/>
      <sheetName val="Margens_Operacionais14"/>
      <sheetName val="Check_List14"/>
      <sheetName val="Itens_de_controle14"/>
      <sheetName val="Check_Farol14"/>
      <sheetName val="Pessoal_CVRD14"/>
      <sheetName val="Composição_2011_Máx__Rev_214"/>
      <sheetName val="Demanda_de_inspeção14"/>
      <sheetName val="Composição_2011_Máx__Rev_314"/>
      <sheetName val="JAN_P2214"/>
      <sheetName val="JAN_P2114"/>
      <sheetName val="MELHORIAS_E_OPÇÕES14"/>
      <sheetName val="CVRDMenu_xls14"/>
      <sheetName val="Desenvolvimento_Ferroviário14"/>
      <sheetName val="Eng__Via_Permanente14"/>
      <sheetName val="Eng__Material_Rodante14"/>
      <sheetName val="Eng__Eletro_e_Operações14"/>
      <sheetName val="Resumo_Desenvolvimento14"/>
      <sheetName val="Resumo_VP14"/>
      <sheetName val="Resumo_Mat_Rodante14"/>
      <sheetName val="Resumo_Eletro14"/>
      <sheetName val="CA_540914"/>
      <sheetName val="Simulador_OEE_sem_911_Nov_Dez14"/>
      <sheetName val="Usiminas_14"/>
      <sheetName val="Build-up_US$_(2010)12"/>
      <sheetName val="Curva_12"/>
      <sheetName val="Painel_Engenharia_R$12"/>
      <sheetName val="Resumo_do_Painel12"/>
      <sheetName val="Resumo_IOI12"/>
      <sheetName val="Quadro_IOI_201412"/>
      <sheetName val="Curva_Baseline_201412"/>
      <sheetName val="Capex_Eco12"/>
      <sheetName val="Capex_Fin12"/>
      <sheetName val="Curva_Eco_Investimento12"/>
      <sheetName val="Curva_Fin_Investimento12"/>
      <sheetName val="Curva_Despesa12"/>
      <sheetName val="Ferrovia_Análise_Tendência12"/>
      <sheetName val="Dinâm_IOI_fabio12"/>
      <sheetName val="CONTRATOS_EEFC12"/>
      <sheetName val="ANALISE_EXC__MÊS12"/>
      <sheetName val="RESUMO_DESAFIO12"/>
      <sheetName val="2011_Curvas_Fin12"/>
      <sheetName val="Saldos_PA's12"/>
      <sheetName val="2012_Curvas_Fin_(R$)12"/>
      <sheetName val="Ramal_(temp)12"/>
      <sheetName val="Ramal_-_Pacotes12"/>
      <sheetName val="Linhas__Ramais12"/>
      <sheetName val="Owner_Costs12"/>
      <sheetName val="Desembolso_R$12"/>
      <sheetName val="Controle_Pagamentos12"/>
      <sheetName val="CONTRATOS_TFPM12"/>
      <sheetName val="Plano_de_Ação_OMR_(2)12"/>
      <sheetName val="Plano_de_Ação_OMTT_(2)12"/>
      <sheetName val="O_indicador12"/>
      <sheetName val="Matriz_de_priorização_GUT12"/>
      <sheetName val="1_-_Resultados12"/>
      <sheetName val="MCS_FEV12"/>
      <sheetName val="MCS_AGO12"/>
      <sheetName val="BUILD_UP_-_Jan12"/>
      <sheetName val="PA_Est__Minimo12"/>
      <sheetName val="Identificação_do_Problema12"/>
      <sheetName val="Observação_do_Problema12"/>
      <sheetName val="Diagrama_de_Causa_e_Efeito_Ro12"/>
      <sheetName val="Técnica_dos_Por_Ques_Rode12"/>
      <sheetName val="Diagrama_de_Causa_e_Efeito_Tr14"/>
      <sheetName val="Diagrama_de_Causa_e_Efeito_Tr15"/>
      <sheetName val="Teste_porquês_truq_12"/>
      <sheetName val="Teste_porquês_Rod12"/>
      <sheetName val="Teste_porquês_Traç12"/>
      <sheetName val="Observação_do_Problema_(2)12"/>
      <sheetName val="Diagrama_de_Causa_e_Efeito__(12"/>
      <sheetName val="BUILD_UP_COMP_12"/>
      <sheetName val="2_-_BUILD_UP_-_Maio12"/>
      <sheetName val="MCS_MAR12"/>
      <sheetName val="MCS_ABRIL12"/>
      <sheetName val="MCS_ACUMULADO12"/>
      <sheetName val="MCS_MAIO12"/>
      <sheetName val="Plano_de_Ação_OMR12"/>
      <sheetName val="BD_Grafico12"/>
      <sheetName val="Produção_de_Março_-_OMR12"/>
      <sheetName val="Fila_de_Rodeiros12"/>
      <sheetName val="Usinados_Montagem12"/>
      <sheetName val="Perfil_de_Entrada_de_rodeiros12"/>
      <sheetName val="Análise_Extra12"/>
      <sheetName val="Plano_de_Ação_OMTT12"/>
      <sheetName val="3_-_PARETOS12"/>
      <sheetName val="MCS_JUNHO12"/>
      <sheetName val="2_-_BUILD_UP_-_Abr_(2)12"/>
      <sheetName val="Controle_De_Inpeções21"/>
      <sheetName val="Controle_De_Inpeções_(2)21"/>
      <sheetName val="Controle_De_Inpeções_(3)21"/>
      <sheetName val="Imob_frota_GAVAG_21"/>
      <sheetName val="grafico-CARGA_GERAL21"/>
      <sheetName val="Restrições_de_Velocidade21"/>
      <sheetName val="Ultra_som_-_200721"/>
      <sheetName val="Trem_Hora_Parado21"/>
      <sheetName val="Ocorrências_Ferroviárias21"/>
      <sheetName val="Aprovisionamento_de_Materiais21"/>
      <sheetName val="Grafico_Geral_Orçamento21"/>
      <sheetName val="Check_List-_Gerrot21"/>
      <sheetName val="EAP_rev_0018"/>
      <sheetName val="CC_42418"/>
      <sheetName val="NÃO_CRÍTICOS18"/>
      <sheetName val="CONSOLIDADO_GAENY18"/>
      <sheetName val="ORÇADO_-_CONF__GIC18"/>
      <sheetName val="ALEXANDRE_-_NÃO_CRÍTICOS18"/>
      <sheetName val="LEONARDO__-_CRÍTICOS18"/>
      <sheetName val="LEONARDO__-_NÃO_CRÍTICOS18"/>
      <sheetName val="PAULO_-_CRÍTICOS18"/>
      <sheetName val="PAULO_-_NÃO_CRÍTICOS18"/>
      <sheetName val="Gestão_Econômica18"/>
      <sheetName val="INFO_18"/>
      <sheetName val="Evolução_Etapas_Cal_Mag17"/>
      <sheetName val="Evolução_Etapas_Cromo17"/>
      <sheetName val="Grupo_x_Justif17"/>
      <sheetName val="Disp_2005_FCA17"/>
      <sheetName val="Resumo_EFVM17"/>
      <sheetName val="thp_17"/>
      <sheetName val="Consolida_Investimento17"/>
      <sheetName val="consolidado_preventivas17"/>
      <sheetName val="Vg__Inventariados-dados17"/>
      <sheetName val="Painel_de_controle16"/>
      <sheetName val="MKBF_MI16"/>
      <sheetName val="MKBF_CG16"/>
      <sheetName val="Nº_de_Falhas_MI16"/>
      <sheetName val="Nº_de_Falhas_CG16"/>
      <sheetName val="Nº_de_Falhas_PA16"/>
      <sheetName val="Falhas_sup_Freio16"/>
      <sheetName val="Falhas_MI-sist_Freio16"/>
      <sheetName val="Falhas_CG-sist_Freio16"/>
      <sheetName val="Falhas_sup_Vagão16"/>
      <sheetName val="Falhas_MI-sist_Sup16"/>
      <sheetName val="Falhas_CG_-sist_Sup16"/>
      <sheetName val="Falhas_sup_CG16"/>
      <sheetName val="Falhas_sup_Rodeiro-MI_CG_PA16"/>
      <sheetName val="Falhas_CG-sist_Rodeiro16"/>
      <sheetName val="Falhas_MI-sist_Rodeiro16"/>
      <sheetName val="Falhas_PA-sist_Rodeiro16"/>
      <sheetName val="Falhas_sup_T&amp;T16"/>
      <sheetName val="Falhas_TT-MI16"/>
      <sheetName val="Falhas_TT-CG16"/>
      <sheetName val="Falhas_MI-sist_Truque16"/>
      <sheetName val="Falhas_CG-sist_Truque16"/>
      <sheetName val="Falhas_MI-sist_Tração16"/>
      <sheetName val="Falhas_CG-sist_Tração16"/>
      <sheetName val="p_ação_3G_UT16"/>
      <sheetName val="p_ação_3G_UT_(2)16"/>
      <sheetName val="bdados_200516"/>
      <sheetName val="POR_DIRETORIA16"/>
      <sheetName val="ROS_VV16"/>
      <sheetName val="Cronograma_de_Reuniões_LICL16"/>
      <sheetName val="Cronograma_de_Reuniões_LEFEL16"/>
      <sheetName val="Pauta_C_Geral_Ferrovia16"/>
      <sheetName val="Agenda_Logistica_201216"/>
      <sheetName val="Cashflow_(na)16"/>
      <sheetName val="Análise_Certificação_16"/>
      <sheetName val="HISTORICO_DEF_X_REB16"/>
      <sheetName val="PAINEL_DE_FALHAS16"/>
      <sheetName val="AR_Signature_Page16"/>
      <sheetName val="_INDICADORES_FINANCEIROS16"/>
      <sheetName val="RECEITA_BRUTA16"/>
      <sheetName val="_COMPOSIÇÃO_DO_CPV_16"/>
      <sheetName val="_INDICADORES_DE_ENDIVIDAMENTO16"/>
      <sheetName val="MINERAIS_FERROSOS16"/>
      <sheetName val="BULK_MATERIALS16"/>
      <sheetName val="MINERAIS_NÃO_FERROSOS16"/>
      <sheetName val="DEMONSTRAÇÃO_DE_RESULTADO16"/>
      <sheetName val="_DESPESAS_FINANCEIRAS16"/>
      <sheetName val="_RESULTADO_DE_P__SOCIETÁRIAS16"/>
      <sheetName val="_BALANÇO_PATRIMONIAL16"/>
      <sheetName val="_FLUXO_DE_CAIXA16"/>
      <sheetName val="_VOLUME_outros16"/>
      <sheetName val="PRECOS_MEDIOS16"/>
      <sheetName val="Margens_Operacionais16"/>
      <sheetName val="Check_List16"/>
      <sheetName val="Itens_de_controle16"/>
      <sheetName val="Check_Farol16"/>
      <sheetName val="Pessoal_CVRD16"/>
      <sheetName val="Composição_2011_Máx__Rev_216"/>
      <sheetName val="Demanda_de_inspeção16"/>
      <sheetName val="Composição_2011_Máx__Rev_316"/>
      <sheetName val="JAN_P2216"/>
      <sheetName val="JAN_P2116"/>
      <sheetName val="MELHORIAS_E_OPÇÕES16"/>
      <sheetName val="CVRDMenu_xls16"/>
      <sheetName val="Desenvolvimento_Ferroviário16"/>
      <sheetName val="Eng__Via_Permanente16"/>
      <sheetName val="Eng__Material_Rodante16"/>
      <sheetName val="Eng__Eletro_e_Operações16"/>
      <sheetName val="Resumo_Desenvolvimento16"/>
      <sheetName val="Resumo_VP16"/>
      <sheetName val="Resumo_Mat_Rodante16"/>
      <sheetName val="Resumo_Eletro16"/>
      <sheetName val="CA_540916"/>
      <sheetName val="Simulador_OEE_sem_911_Nov_Dez16"/>
      <sheetName val="Usiminas_16"/>
      <sheetName val="Build-up_US$_(2010)14"/>
      <sheetName val="Curva_14"/>
      <sheetName val="Painel_Engenharia_R$14"/>
      <sheetName val="Resumo_do_Painel14"/>
      <sheetName val="Resumo_IOI14"/>
      <sheetName val="Quadro_IOI_201414"/>
      <sheetName val="Curva_Baseline_201414"/>
      <sheetName val="Capex_Eco14"/>
      <sheetName val="Capex_Fin14"/>
      <sheetName val="Curva_Eco_Investimento14"/>
      <sheetName val="Curva_Fin_Investimento14"/>
      <sheetName val="Curva_Despesa14"/>
      <sheetName val="Ferrovia_Análise_Tendência14"/>
      <sheetName val="Dinâm_IOI_fabio14"/>
      <sheetName val="CONTRATOS_EEFC14"/>
      <sheetName val="ANALISE_EXC__MÊS14"/>
      <sheetName val="RESUMO_DESAFIO14"/>
      <sheetName val="2011_Curvas_Fin14"/>
      <sheetName val="Saldos_PA's14"/>
      <sheetName val="2012_Curvas_Fin_(R$)14"/>
      <sheetName val="Ramal_(temp)14"/>
      <sheetName val="Ramal_-_Pacotes14"/>
      <sheetName val="Linhas__Ramais14"/>
      <sheetName val="Owner_Costs14"/>
      <sheetName val="Desembolso_R$14"/>
      <sheetName val="Controle_Pagamentos14"/>
      <sheetName val="CONTRATOS_TFPM14"/>
      <sheetName val="Plano_de_Ação_OMR_(2)14"/>
      <sheetName val="Plano_de_Ação_OMTT_(2)14"/>
      <sheetName val="O_indicador14"/>
      <sheetName val="Matriz_de_priorização_GUT14"/>
      <sheetName val="1_-_Resultados14"/>
      <sheetName val="MCS_FEV14"/>
      <sheetName val="MCS_AGO14"/>
      <sheetName val="BUILD_UP_-_Jan14"/>
      <sheetName val="PA_Est__Minimo14"/>
      <sheetName val="Identificação_do_Problema14"/>
      <sheetName val="Observação_do_Problema14"/>
      <sheetName val="Diagrama_de_Causa_e_Efeito_Ro14"/>
      <sheetName val="Técnica_dos_Por_Ques_Rode14"/>
      <sheetName val="Diagrama_de_Causa_e_Efeito_Tr18"/>
      <sheetName val="Diagrama_de_Causa_e_Efeito_Tr19"/>
      <sheetName val="Teste_porquês_truq_14"/>
      <sheetName val="Teste_porquês_Rod14"/>
      <sheetName val="Teste_porquês_Traç14"/>
      <sheetName val="Observação_do_Problema_(2)14"/>
      <sheetName val="Diagrama_de_Causa_e_Efeito__(14"/>
      <sheetName val="BUILD_UP_COMP_14"/>
      <sheetName val="2_-_BUILD_UP_-_Maio14"/>
      <sheetName val="MCS_MAR14"/>
      <sheetName val="MCS_ABRIL14"/>
      <sheetName val="MCS_ACUMULADO14"/>
      <sheetName val="MCS_MAIO14"/>
      <sheetName val="Plano_de_Ação_OMR14"/>
      <sheetName val="BD_Grafico14"/>
      <sheetName val="Produção_de_Março_-_OMR14"/>
      <sheetName val="Fila_de_Rodeiros14"/>
      <sheetName val="Usinados_Montagem14"/>
      <sheetName val="Perfil_de_Entrada_de_rodeiros14"/>
      <sheetName val="Análise_Extra14"/>
      <sheetName val="Plano_de_Ação_OMTT14"/>
      <sheetName val="3_-_PARETOS14"/>
      <sheetName val="MCS_JUNHO14"/>
      <sheetName val="2_-_BUILD_UP_-_Abr_(2)14"/>
      <sheetName val="Controle_De_Inpeções23"/>
      <sheetName val="Controle_De_Inpeções_(2)23"/>
      <sheetName val="Controle_De_Inpeções_(3)23"/>
      <sheetName val="Imob_frota_GAVAG_23"/>
      <sheetName val="grafico-CARGA_GERAL23"/>
      <sheetName val="Restrições_de_Velocidade23"/>
      <sheetName val="Ultra_som_-_200723"/>
      <sheetName val="Trem_Hora_Parado23"/>
      <sheetName val="Ocorrências_Ferroviárias23"/>
      <sheetName val="Aprovisionamento_de_Materiais23"/>
      <sheetName val="Grafico_Geral_Orçamento23"/>
      <sheetName val="Check_List-_Gerrot23"/>
      <sheetName val="EAP_rev_0020"/>
      <sheetName val="CC_42420"/>
      <sheetName val="NÃO_CRÍTICOS20"/>
      <sheetName val="CONSOLIDADO_GAENY20"/>
      <sheetName val="ORÇADO_-_CONF__GIC20"/>
      <sheetName val="ALEXANDRE_-_NÃO_CRÍTICOS20"/>
      <sheetName val="LEONARDO__-_CRÍTICOS20"/>
      <sheetName val="LEONARDO__-_NÃO_CRÍTICOS20"/>
      <sheetName val="PAULO_-_CRÍTICOS20"/>
      <sheetName val="PAULO_-_NÃO_CRÍTICOS20"/>
      <sheetName val="Gestão_Econômica20"/>
      <sheetName val="INFO_20"/>
      <sheetName val="Evolução_Etapas_Cal_Mag19"/>
      <sheetName val="Evolução_Etapas_Cromo19"/>
      <sheetName val="Grupo_x_Justif19"/>
      <sheetName val="Disp_2005_FCA19"/>
      <sheetName val="Resumo_EFVM19"/>
      <sheetName val="thp_19"/>
      <sheetName val="Consolida_Investimento19"/>
      <sheetName val="consolidado_preventivas19"/>
      <sheetName val="Vg__Inventariados-dados19"/>
      <sheetName val="Painel_de_controle18"/>
      <sheetName val="MKBF_MI18"/>
      <sheetName val="MKBF_CG18"/>
      <sheetName val="Nº_de_Falhas_MI18"/>
      <sheetName val="Nº_de_Falhas_CG18"/>
      <sheetName val="Nº_de_Falhas_PA18"/>
      <sheetName val="Falhas_sup_Freio18"/>
      <sheetName val="Falhas_MI-sist_Freio18"/>
      <sheetName val="Falhas_CG-sist_Freio18"/>
      <sheetName val="Falhas_sup_Vagão18"/>
      <sheetName val="Falhas_MI-sist_Sup18"/>
      <sheetName val="Falhas_CG_-sist_Sup18"/>
      <sheetName val="Falhas_sup_CG18"/>
      <sheetName val="Falhas_sup_Rodeiro-MI_CG_PA18"/>
      <sheetName val="Falhas_CG-sist_Rodeiro18"/>
      <sheetName val="Falhas_MI-sist_Rodeiro18"/>
      <sheetName val="Falhas_PA-sist_Rodeiro18"/>
      <sheetName val="Falhas_sup_T&amp;T18"/>
      <sheetName val="Falhas_TT-MI18"/>
      <sheetName val="Falhas_TT-CG18"/>
      <sheetName val="Falhas_MI-sist_Truque18"/>
      <sheetName val="Falhas_CG-sist_Truque18"/>
      <sheetName val="Falhas_MI-sist_Tração18"/>
      <sheetName val="Falhas_CG-sist_Tração18"/>
      <sheetName val="p_ação_3G_UT18"/>
      <sheetName val="p_ação_3G_UT_(2)18"/>
      <sheetName val="bdados_200518"/>
      <sheetName val="POR_DIRETORIA18"/>
      <sheetName val="ROS_VV18"/>
      <sheetName val="Cronograma_de_Reuniões_LICL18"/>
      <sheetName val="Cronograma_de_Reuniões_LEFEL18"/>
      <sheetName val="Pauta_C_Geral_Ferrovia18"/>
      <sheetName val="Agenda_Logistica_201218"/>
      <sheetName val="Cashflow_(na)18"/>
      <sheetName val="Análise_Certificação_18"/>
      <sheetName val="HISTORICO_DEF_X_REB18"/>
      <sheetName val="PAINEL_DE_FALHAS18"/>
      <sheetName val="AR_Signature_Page18"/>
      <sheetName val="_INDICADORES_FINANCEIROS18"/>
      <sheetName val="RECEITA_BRUTA18"/>
      <sheetName val="_COMPOSIÇÃO_DO_CPV_18"/>
      <sheetName val="_INDICADORES_DE_ENDIVIDAMENTO18"/>
      <sheetName val="MINERAIS_FERROSOS18"/>
      <sheetName val="BULK_MATERIALS18"/>
      <sheetName val="MINERAIS_NÃO_FERROSOS18"/>
      <sheetName val="DEMONSTRAÇÃO_DE_RESULTADO18"/>
      <sheetName val="_DESPESAS_FINANCEIRAS18"/>
      <sheetName val="_RESULTADO_DE_P__SOCIETÁRIAS18"/>
      <sheetName val="_BALANÇO_PATRIMONIAL18"/>
      <sheetName val="_FLUXO_DE_CAIXA18"/>
      <sheetName val="_VOLUME_outros18"/>
      <sheetName val="PRECOS_MEDIOS18"/>
      <sheetName val="Margens_Operacionais18"/>
      <sheetName val="Check_List18"/>
      <sheetName val="Itens_de_controle18"/>
      <sheetName val="Check_Farol18"/>
      <sheetName val="Pessoal_CVRD18"/>
      <sheetName val="Composição_2011_Máx__Rev_218"/>
      <sheetName val="Demanda_de_inspeção18"/>
      <sheetName val="Composição_2011_Máx__Rev_318"/>
      <sheetName val="JAN_P2218"/>
      <sheetName val="JAN_P2118"/>
      <sheetName val="MELHORIAS_E_OPÇÕES18"/>
      <sheetName val="CVRDMenu_xls18"/>
      <sheetName val="Desenvolvimento_Ferroviário18"/>
      <sheetName val="Eng__Via_Permanente18"/>
      <sheetName val="Eng__Material_Rodante18"/>
      <sheetName val="Eng__Eletro_e_Operações18"/>
      <sheetName val="Resumo_Desenvolvimento18"/>
      <sheetName val="Resumo_VP18"/>
      <sheetName val="Resumo_Mat_Rodante18"/>
      <sheetName val="Resumo_Eletro18"/>
      <sheetName val="CA_540918"/>
      <sheetName val="Simulador_OEE_sem_911_Nov_Dez18"/>
      <sheetName val="Usiminas_18"/>
      <sheetName val="Build-up_US$_(2010)16"/>
      <sheetName val="Curva_16"/>
      <sheetName val="Painel_Engenharia_R$16"/>
      <sheetName val="Resumo_do_Painel16"/>
      <sheetName val="Resumo_IOI16"/>
      <sheetName val="Quadro_IOI_201416"/>
      <sheetName val="Curva_Baseline_201416"/>
      <sheetName val="Capex_Eco16"/>
      <sheetName val="Capex_Fin16"/>
      <sheetName val="Curva_Eco_Investimento16"/>
      <sheetName val="Curva_Fin_Investimento16"/>
      <sheetName val="Curva_Despesa16"/>
      <sheetName val="Ferrovia_Análise_Tendência16"/>
      <sheetName val="Dinâm_IOI_fabio16"/>
      <sheetName val="CONTRATOS_EEFC16"/>
      <sheetName val="ANALISE_EXC__MÊS16"/>
      <sheetName val="RESUMO_DESAFIO16"/>
      <sheetName val="2011_Curvas_Fin16"/>
      <sheetName val="Saldos_PA's16"/>
      <sheetName val="2012_Curvas_Fin_(R$)16"/>
      <sheetName val="Ramal_(temp)16"/>
      <sheetName val="Ramal_-_Pacotes16"/>
      <sheetName val="Linhas__Ramais16"/>
      <sheetName val="Owner_Costs16"/>
      <sheetName val="Desembolso_R$16"/>
      <sheetName val="Controle_Pagamentos16"/>
      <sheetName val="CONTRATOS_TFPM16"/>
      <sheetName val="Plano_de_Ação_OMR_(2)16"/>
      <sheetName val="Plano_de_Ação_OMTT_(2)16"/>
      <sheetName val="O_indicador16"/>
      <sheetName val="Matriz_de_priorização_GUT16"/>
      <sheetName val="1_-_Resultados16"/>
      <sheetName val="MCS_FEV16"/>
      <sheetName val="MCS_AGO16"/>
      <sheetName val="BUILD_UP_-_Jan16"/>
      <sheetName val="PA_Est__Minimo16"/>
      <sheetName val="Identificação_do_Problema16"/>
      <sheetName val="Observação_do_Problema16"/>
      <sheetName val="Diagrama_de_Causa_e_Efeito_Ro16"/>
      <sheetName val="Técnica_dos_Por_Ques_Rode16"/>
      <sheetName val="Diagrama_de_Causa_e_Efeito_Tr22"/>
      <sheetName val="Diagrama_de_Causa_e_Efeito_Tr23"/>
      <sheetName val="Teste_porquês_truq_16"/>
      <sheetName val="Teste_porquês_Rod16"/>
      <sheetName val="Teste_porquês_Traç16"/>
      <sheetName val="Observação_do_Problema_(2)16"/>
      <sheetName val="Diagrama_de_Causa_e_Efeito__(16"/>
      <sheetName val="BUILD_UP_COMP_16"/>
      <sheetName val="2_-_BUILD_UP_-_Maio16"/>
      <sheetName val="MCS_MAR16"/>
      <sheetName val="MCS_ABRIL16"/>
      <sheetName val="MCS_ACUMULADO16"/>
      <sheetName val="MCS_MAIO16"/>
      <sheetName val="Plano_de_Ação_OMR16"/>
      <sheetName val="BD_Grafico16"/>
      <sheetName val="Produção_de_Março_-_OMR16"/>
      <sheetName val="Fila_de_Rodeiros16"/>
      <sheetName val="Usinados_Montagem16"/>
      <sheetName val="Perfil_de_Entrada_de_rodeiros16"/>
      <sheetName val="Análise_Extra16"/>
      <sheetName val="Plano_de_Ação_OMTT16"/>
      <sheetName val="3_-_PARETOS16"/>
      <sheetName val="MCS_JUNHO16"/>
      <sheetName val="2_-_BUILD_UP_-_Abr_(2)16"/>
      <sheetName val="Controle_De_Inpeções22"/>
      <sheetName val="Controle_De_Inpeções_(2)22"/>
      <sheetName val="Controle_De_Inpeções_(3)22"/>
      <sheetName val="Imob_frota_GAVAG_22"/>
      <sheetName val="grafico-CARGA_GERAL22"/>
      <sheetName val="Restrições_de_Velocidade22"/>
      <sheetName val="Ultra_som_-_200722"/>
      <sheetName val="Trem_Hora_Parado22"/>
      <sheetName val="Ocorrências_Ferroviárias22"/>
      <sheetName val="Aprovisionamento_de_Materiais22"/>
      <sheetName val="Grafico_Geral_Orçamento22"/>
      <sheetName val="Check_List-_Gerrot22"/>
      <sheetName val="EAP_rev_0019"/>
      <sheetName val="CC_42419"/>
      <sheetName val="NÃO_CRÍTICOS19"/>
      <sheetName val="CONSOLIDADO_GAENY19"/>
      <sheetName val="ORÇADO_-_CONF__GIC19"/>
      <sheetName val="ALEXANDRE_-_NÃO_CRÍTICOS19"/>
      <sheetName val="LEONARDO__-_CRÍTICOS19"/>
      <sheetName val="LEONARDO__-_NÃO_CRÍTICOS19"/>
      <sheetName val="PAULO_-_CRÍTICOS19"/>
      <sheetName val="PAULO_-_NÃO_CRÍTICOS19"/>
      <sheetName val="Gestão_Econômica19"/>
      <sheetName val="INFO_19"/>
      <sheetName val="Evolução_Etapas_Cal_Mag18"/>
      <sheetName val="Evolução_Etapas_Cromo18"/>
      <sheetName val="Grupo_x_Justif18"/>
      <sheetName val="Disp_2005_FCA18"/>
      <sheetName val="Resumo_EFVM18"/>
      <sheetName val="thp_18"/>
      <sheetName val="Consolida_Investimento18"/>
      <sheetName val="consolidado_preventivas18"/>
      <sheetName val="Vg__Inventariados-dados18"/>
      <sheetName val="Painel_de_controle17"/>
      <sheetName val="MKBF_MI17"/>
      <sheetName val="MKBF_CG17"/>
      <sheetName val="Nº_de_Falhas_MI17"/>
      <sheetName val="Nº_de_Falhas_CG17"/>
      <sheetName val="Nº_de_Falhas_PA17"/>
      <sheetName val="Falhas_sup_Freio17"/>
      <sheetName val="Falhas_MI-sist_Freio17"/>
      <sheetName val="Falhas_CG-sist_Freio17"/>
      <sheetName val="Falhas_sup_Vagão17"/>
      <sheetName val="Falhas_MI-sist_Sup17"/>
      <sheetName val="Falhas_CG_-sist_Sup17"/>
      <sheetName val="Falhas_sup_CG17"/>
      <sheetName val="Falhas_sup_Rodeiro-MI_CG_PA17"/>
      <sheetName val="Falhas_CG-sist_Rodeiro17"/>
      <sheetName val="Falhas_MI-sist_Rodeiro17"/>
      <sheetName val="Falhas_PA-sist_Rodeiro17"/>
      <sheetName val="Falhas_sup_T&amp;T17"/>
      <sheetName val="Falhas_TT-MI17"/>
      <sheetName val="Falhas_TT-CG17"/>
      <sheetName val="Falhas_MI-sist_Truque17"/>
      <sheetName val="Falhas_CG-sist_Truque17"/>
      <sheetName val="Falhas_MI-sist_Tração17"/>
      <sheetName val="Falhas_CG-sist_Tração17"/>
      <sheetName val="p_ação_3G_UT17"/>
      <sheetName val="p_ação_3G_UT_(2)17"/>
      <sheetName val="bdados_200517"/>
      <sheetName val="POR_DIRETORIA17"/>
      <sheetName val="ROS_VV17"/>
      <sheetName val="Cronograma_de_Reuniões_LICL17"/>
      <sheetName val="Cronograma_de_Reuniões_LEFEL17"/>
      <sheetName val="Pauta_C_Geral_Ferrovia17"/>
      <sheetName val="Agenda_Logistica_201217"/>
      <sheetName val="Cashflow_(na)17"/>
      <sheetName val="Análise_Certificação_17"/>
      <sheetName val="HISTORICO_DEF_X_REB17"/>
      <sheetName val="PAINEL_DE_FALHAS17"/>
      <sheetName val="AR_Signature_Page17"/>
      <sheetName val="_INDICADORES_FINANCEIROS17"/>
      <sheetName val="RECEITA_BRUTA17"/>
      <sheetName val="_COMPOSIÇÃO_DO_CPV_17"/>
      <sheetName val="_INDICADORES_DE_ENDIVIDAMENTO17"/>
      <sheetName val="MINERAIS_FERROSOS17"/>
      <sheetName val="BULK_MATERIALS17"/>
      <sheetName val="MINERAIS_NÃO_FERROSOS17"/>
      <sheetName val="DEMONSTRAÇÃO_DE_RESULTADO17"/>
      <sheetName val="_DESPESAS_FINANCEIRAS17"/>
      <sheetName val="_RESULTADO_DE_P__SOCIETÁRIAS17"/>
      <sheetName val="_BALANÇO_PATRIMONIAL17"/>
      <sheetName val="_FLUXO_DE_CAIXA17"/>
      <sheetName val="_VOLUME_outros17"/>
      <sheetName val="PRECOS_MEDIOS17"/>
      <sheetName val="Margens_Operacionais17"/>
      <sheetName val="Check_List17"/>
      <sheetName val="Itens_de_controle17"/>
      <sheetName val="Check_Farol17"/>
      <sheetName val="Pessoal_CVRD17"/>
      <sheetName val="Composição_2011_Máx__Rev_217"/>
      <sheetName val="Demanda_de_inspeção17"/>
      <sheetName val="Composição_2011_Máx__Rev_317"/>
      <sheetName val="JAN_P2217"/>
      <sheetName val="JAN_P2117"/>
      <sheetName val="MELHORIAS_E_OPÇÕES17"/>
      <sheetName val="CVRDMenu_xls17"/>
      <sheetName val="Desenvolvimento_Ferroviário17"/>
      <sheetName val="Eng__Via_Permanente17"/>
      <sheetName val="Eng__Material_Rodante17"/>
      <sheetName val="Eng__Eletro_e_Operações17"/>
      <sheetName val="Resumo_Desenvolvimento17"/>
      <sheetName val="Resumo_VP17"/>
      <sheetName val="Resumo_Mat_Rodante17"/>
      <sheetName val="Resumo_Eletro17"/>
      <sheetName val="CA_540917"/>
      <sheetName val="Simulador_OEE_sem_911_Nov_Dez17"/>
      <sheetName val="Usiminas_17"/>
      <sheetName val="Build-up_US$_(2010)15"/>
      <sheetName val="Curva_15"/>
      <sheetName val="Painel_Engenharia_R$15"/>
      <sheetName val="Resumo_do_Painel15"/>
      <sheetName val="Resumo_IOI15"/>
      <sheetName val="Quadro_IOI_201415"/>
      <sheetName val="Curva_Baseline_201415"/>
      <sheetName val="Capex_Eco15"/>
      <sheetName val="Capex_Fin15"/>
      <sheetName val="Curva_Eco_Investimento15"/>
      <sheetName val="Curva_Fin_Investimento15"/>
      <sheetName val="Curva_Despesa15"/>
      <sheetName val="Ferrovia_Análise_Tendência15"/>
      <sheetName val="Dinâm_IOI_fabio15"/>
      <sheetName val="CONTRATOS_EEFC15"/>
      <sheetName val="ANALISE_EXC__MÊS15"/>
      <sheetName val="RESUMO_DESAFIO15"/>
      <sheetName val="2011_Curvas_Fin15"/>
      <sheetName val="Saldos_PA's15"/>
      <sheetName val="2012_Curvas_Fin_(R$)15"/>
      <sheetName val="Ramal_(temp)15"/>
      <sheetName val="Ramal_-_Pacotes15"/>
      <sheetName val="Linhas__Ramais15"/>
      <sheetName val="Owner_Costs15"/>
      <sheetName val="Desembolso_R$15"/>
      <sheetName val="Controle_Pagamentos15"/>
      <sheetName val="CONTRATOS_TFPM15"/>
      <sheetName val="Plano_de_Ação_OMR_(2)15"/>
      <sheetName val="Plano_de_Ação_OMTT_(2)15"/>
      <sheetName val="O_indicador15"/>
      <sheetName val="Matriz_de_priorização_GUT15"/>
      <sheetName val="1_-_Resultados15"/>
      <sheetName val="MCS_FEV15"/>
      <sheetName val="MCS_AGO15"/>
      <sheetName val="BUILD_UP_-_Jan15"/>
      <sheetName val="PA_Est__Minimo15"/>
      <sheetName val="Identificação_do_Problema15"/>
      <sheetName val="Observação_do_Problema15"/>
      <sheetName val="Diagrama_de_Causa_e_Efeito_Ro15"/>
      <sheetName val="Técnica_dos_Por_Ques_Rode15"/>
      <sheetName val="Diagrama_de_Causa_e_Efeito_Tr20"/>
      <sheetName val="Diagrama_de_Causa_e_Efeito_Tr21"/>
      <sheetName val="Teste_porquês_truq_15"/>
      <sheetName val="Teste_porquês_Rod15"/>
      <sheetName val="Teste_porquês_Traç15"/>
      <sheetName val="Observação_do_Problema_(2)15"/>
      <sheetName val="Diagrama_de_Causa_e_Efeito__(15"/>
      <sheetName val="BUILD_UP_COMP_15"/>
      <sheetName val="2_-_BUILD_UP_-_Maio15"/>
      <sheetName val="MCS_MAR15"/>
      <sheetName val="MCS_ABRIL15"/>
      <sheetName val="MCS_ACUMULADO15"/>
      <sheetName val="MCS_MAIO15"/>
      <sheetName val="Plano_de_Ação_OMR15"/>
      <sheetName val="BD_Grafico15"/>
      <sheetName val="Produção_de_Março_-_OMR15"/>
      <sheetName val="Fila_de_Rodeiros15"/>
      <sheetName val="Usinados_Montagem15"/>
      <sheetName val="Perfil_de_Entrada_de_rodeiros15"/>
      <sheetName val="Análise_Extra15"/>
      <sheetName val="Plano_de_Ação_OMTT15"/>
      <sheetName val="3_-_PARETOS15"/>
      <sheetName val="MCS_JUNHO15"/>
      <sheetName val="2_-_BUILD_UP_-_Abr_(2)15"/>
      <sheetName val="Controle_De_Inpeções24"/>
      <sheetName val="Controle_De_Inpeções_(2)24"/>
      <sheetName val="Controle_De_Inpeções_(3)24"/>
      <sheetName val="Imob_frota_GAVAG_24"/>
      <sheetName val="grafico-CARGA_GERAL24"/>
      <sheetName val="Restrições_de_Velocidade24"/>
      <sheetName val="Ultra_som_-_200724"/>
      <sheetName val="Trem_Hora_Parado24"/>
      <sheetName val="Ocorrências_Ferroviárias24"/>
      <sheetName val="Aprovisionamento_de_Materiais24"/>
      <sheetName val="Grafico_Geral_Orçamento24"/>
      <sheetName val="Check_List-_Gerrot24"/>
      <sheetName val="EAP_rev_0021"/>
      <sheetName val="CC_42421"/>
      <sheetName val="NÃO_CRÍTICOS21"/>
      <sheetName val="CONSOLIDADO_GAENY21"/>
      <sheetName val="ORÇADO_-_CONF__GIC21"/>
      <sheetName val="ALEXANDRE_-_NÃO_CRÍTICOS21"/>
      <sheetName val="LEONARDO__-_CRÍTICOS21"/>
      <sheetName val="LEONARDO__-_NÃO_CRÍTICOS21"/>
      <sheetName val="PAULO_-_CRÍTICOS21"/>
      <sheetName val="PAULO_-_NÃO_CRÍTICOS21"/>
      <sheetName val="Gestão_Econômica21"/>
      <sheetName val="INFO_21"/>
      <sheetName val="Evolução_Etapas_Cal_Mag20"/>
      <sheetName val="Evolução_Etapas_Cromo20"/>
      <sheetName val="Grupo_x_Justif20"/>
      <sheetName val="Disp_2005_FCA20"/>
      <sheetName val="Resumo_EFVM20"/>
      <sheetName val="thp_20"/>
      <sheetName val="Consolida_Investimento20"/>
      <sheetName val="consolidado_preventivas20"/>
      <sheetName val="Vg__Inventariados-dados20"/>
      <sheetName val="Painel_de_controle19"/>
      <sheetName val="MKBF_MI19"/>
      <sheetName val="MKBF_CG19"/>
      <sheetName val="Nº_de_Falhas_MI19"/>
      <sheetName val="Nº_de_Falhas_CG19"/>
      <sheetName val="Nº_de_Falhas_PA19"/>
      <sheetName val="Falhas_sup_Freio19"/>
      <sheetName val="Falhas_MI-sist_Freio19"/>
      <sheetName val="Falhas_CG-sist_Freio19"/>
      <sheetName val="Falhas_sup_Vagão19"/>
      <sheetName val="Falhas_MI-sist_Sup19"/>
      <sheetName val="Falhas_CG_-sist_Sup19"/>
      <sheetName val="Falhas_sup_CG19"/>
      <sheetName val="Falhas_sup_Rodeiro-MI_CG_PA19"/>
      <sheetName val="Falhas_CG-sist_Rodeiro19"/>
      <sheetName val="Falhas_MI-sist_Rodeiro19"/>
      <sheetName val="Falhas_PA-sist_Rodeiro19"/>
      <sheetName val="Falhas_sup_T&amp;T19"/>
      <sheetName val="Falhas_TT-MI19"/>
      <sheetName val="Falhas_TT-CG19"/>
      <sheetName val="Falhas_MI-sist_Truque19"/>
      <sheetName val="Falhas_CG-sist_Truque19"/>
      <sheetName val="Falhas_MI-sist_Tração19"/>
      <sheetName val="Falhas_CG-sist_Tração19"/>
      <sheetName val="p_ação_3G_UT19"/>
      <sheetName val="p_ação_3G_UT_(2)19"/>
      <sheetName val="bdados_200519"/>
      <sheetName val="POR_DIRETORIA19"/>
      <sheetName val="ROS_VV19"/>
      <sheetName val="Cronograma_de_Reuniões_LICL19"/>
      <sheetName val="Cronograma_de_Reuniões_LEFEL19"/>
      <sheetName val="Pauta_C_Geral_Ferrovia19"/>
      <sheetName val="Agenda_Logistica_201219"/>
      <sheetName val="Cashflow_(na)19"/>
      <sheetName val="Análise_Certificação_19"/>
      <sheetName val="HISTORICO_DEF_X_REB19"/>
      <sheetName val="PAINEL_DE_FALHAS19"/>
      <sheetName val="AR_Signature_Page19"/>
      <sheetName val="_INDICADORES_FINANCEIROS19"/>
      <sheetName val="RECEITA_BRUTA19"/>
      <sheetName val="_COMPOSIÇÃO_DO_CPV_19"/>
      <sheetName val="_INDICADORES_DE_ENDIVIDAMENTO19"/>
      <sheetName val="MINERAIS_FERROSOS19"/>
      <sheetName val="BULK_MATERIALS19"/>
      <sheetName val="MINERAIS_NÃO_FERROSOS19"/>
      <sheetName val="DEMONSTRAÇÃO_DE_RESULTADO19"/>
      <sheetName val="_DESPESAS_FINANCEIRAS19"/>
      <sheetName val="_RESULTADO_DE_P__SOCIETÁRIAS19"/>
      <sheetName val="_BALANÇO_PATRIMONIAL19"/>
      <sheetName val="_FLUXO_DE_CAIXA19"/>
      <sheetName val="_VOLUME_outros19"/>
      <sheetName val="PRECOS_MEDIOS19"/>
      <sheetName val="Margens_Operacionais19"/>
      <sheetName val="Check_List19"/>
      <sheetName val="Itens_de_controle19"/>
      <sheetName val="Check_Farol19"/>
      <sheetName val="Pessoal_CVRD19"/>
      <sheetName val="Composição_2011_Máx__Rev_219"/>
      <sheetName val="Demanda_de_inspeção19"/>
      <sheetName val="Composição_2011_Máx__Rev_319"/>
      <sheetName val="JAN_P2219"/>
      <sheetName val="JAN_P2119"/>
      <sheetName val="MELHORIAS_E_OPÇÕES19"/>
      <sheetName val="CVRDMenu_xls19"/>
      <sheetName val="Desenvolvimento_Ferroviário19"/>
      <sheetName val="Eng__Via_Permanente19"/>
      <sheetName val="Eng__Material_Rodante19"/>
      <sheetName val="Eng__Eletro_e_Operações19"/>
      <sheetName val="Resumo_Desenvolvimento19"/>
      <sheetName val="Resumo_VP19"/>
      <sheetName val="Resumo_Mat_Rodante19"/>
      <sheetName val="Resumo_Eletro19"/>
      <sheetName val="CA_540919"/>
      <sheetName val="Simulador_OEE_sem_911_Nov_Dez19"/>
      <sheetName val="Usiminas_19"/>
      <sheetName val="Build-up_US$_(2010)17"/>
      <sheetName val="Curva_17"/>
      <sheetName val="Painel_Engenharia_R$17"/>
      <sheetName val="Resumo_do_Painel17"/>
      <sheetName val="Resumo_IOI17"/>
      <sheetName val="Quadro_IOI_201417"/>
      <sheetName val="Curva_Baseline_201417"/>
      <sheetName val="Capex_Eco17"/>
      <sheetName val="Capex_Fin17"/>
      <sheetName val="Curva_Eco_Investimento17"/>
      <sheetName val="Curva_Fin_Investimento17"/>
      <sheetName val="Curva_Despesa17"/>
      <sheetName val="Ferrovia_Análise_Tendência17"/>
      <sheetName val="Dinâm_IOI_fabio17"/>
      <sheetName val="CONTRATOS_EEFC17"/>
      <sheetName val="ANALISE_EXC__MÊS17"/>
      <sheetName val="RESUMO_DESAFIO17"/>
      <sheetName val="2011_Curvas_Fin17"/>
      <sheetName val="Saldos_PA's17"/>
      <sheetName val="2012_Curvas_Fin_(R$)17"/>
      <sheetName val="Ramal_(temp)17"/>
      <sheetName val="Ramal_-_Pacotes17"/>
      <sheetName val="Linhas__Ramais17"/>
      <sheetName val="Owner_Costs17"/>
      <sheetName val="Desembolso_R$17"/>
      <sheetName val="Controle_Pagamentos17"/>
      <sheetName val="CONTRATOS_TFPM17"/>
      <sheetName val="Plano_de_Ação_OMR_(2)17"/>
      <sheetName val="Plano_de_Ação_OMTT_(2)17"/>
      <sheetName val="O_indicador17"/>
      <sheetName val="Matriz_de_priorização_GUT17"/>
      <sheetName val="1_-_Resultados17"/>
      <sheetName val="MCS_FEV17"/>
      <sheetName val="MCS_AGO17"/>
      <sheetName val="BUILD_UP_-_Jan17"/>
      <sheetName val="PA_Est__Minimo17"/>
      <sheetName val="Identificação_do_Problema17"/>
      <sheetName val="Observação_do_Problema17"/>
      <sheetName val="Diagrama_de_Causa_e_Efeito_Ro17"/>
      <sheetName val="Técnica_dos_Por_Ques_Rode17"/>
      <sheetName val="Diagrama_de_Causa_e_Efeito_Tr24"/>
      <sheetName val="Diagrama_de_Causa_e_Efeito_Tr25"/>
      <sheetName val="Teste_porquês_truq_17"/>
      <sheetName val="Teste_porquês_Rod17"/>
      <sheetName val="Teste_porquês_Traç17"/>
      <sheetName val="Observação_do_Problema_(2)17"/>
      <sheetName val="Diagrama_de_Causa_e_Efeito__(17"/>
      <sheetName val="BUILD_UP_COMP_17"/>
      <sheetName val="2_-_BUILD_UP_-_Maio17"/>
      <sheetName val="MCS_MAR17"/>
      <sheetName val="MCS_ABRIL17"/>
      <sheetName val="MCS_ACUMULADO17"/>
      <sheetName val="MCS_MAIO17"/>
      <sheetName val="Plano_de_Ação_OMR17"/>
      <sheetName val="BD_Grafico17"/>
      <sheetName val="Produção_de_Março_-_OMR17"/>
      <sheetName val="Fila_de_Rodeiros17"/>
      <sheetName val="Usinados_Montagem17"/>
      <sheetName val="Perfil_de_Entrada_de_rodeiros17"/>
      <sheetName val="Análise_Extra17"/>
      <sheetName val="Plano_de_Ação_OMTT17"/>
      <sheetName val="3_-_PARETOS17"/>
      <sheetName val="MCS_JUNHO17"/>
      <sheetName val="2_-_BUILD_UP_-_Abr_(2)17"/>
      <sheetName val="Controle_De_Inpeções25"/>
      <sheetName val="Controle_De_Inpeções_(2)25"/>
      <sheetName val="Controle_De_Inpeções_(3)25"/>
      <sheetName val="Imob_frota_GAVAG_25"/>
      <sheetName val="grafico-CARGA_GERAL25"/>
      <sheetName val="Restrições_de_Velocidade25"/>
      <sheetName val="Ultra_som_-_200725"/>
      <sheetName val="Trem_Hora_Parado25"/>
      <sheetName val="Ocorrências_Ferroviárias25"/>
      <sheetName val="Aprovisionamento_de_Materiais25"/>
      <sheetName val="Grafico_Geral_Orçamento25"/>
      <sheetName val="Check_List-_Gerrot25"/>
      <sheetName val="EAP_rev_0022"/>
      <sheetName val="CC_42422"/>
      <sheetName val="NÃO_CRÍTICOS22"/>
      <sheetName val="CONSOLIDADO_GAENY22"/>
      <sheetName val="ORÇADO_-_CONF__GIC22"/>
      <sheetName val="ALEXANDRE_-_NÃO_CRÍTICOS22"/>
      <sheetName val="LEONARDO__-_CRÍTICOS22"/>
      <sheetName val="LEONARDO__-_NÃO_CRÍTICOS22"/>
      <sheetName val="PAULO_-_CRÍTICOS22"/>
      <sheetName val="PAULO_-_NÃO_CRÍTICOS22"/>
      <sheetName val="Gestão_Econômica22"/>
      <sheetName val="INFO_22"/>
      <sheetName val="Evolução_Etapas_Cal_Mag21"/>
      <sheetName val="Evolução_Etapas_Cromo21"/>
      <sheetName val="Grupo_x_Justif21"/>
      <sheetName val="Disp_2005_FCA21"/>
      <sheetName val="Resumo_EFVM21"/>
      <sheetName val="thp_21"/>
      <sheetName val="Consolida_Investimento21"/>
      <sheetName val="consolidado_preventivas21"/>
      <sheetName val="Vg__Inventariados-dados21"/>
      <sheetName val="Painel_de_controle20"/>
      <sheetName val="MKBF_MI20"/>
      <sheetName val="MKBF_CG20"/>
      <sheetName val="Nº_de_Falhas_MI20"/>
      <sheetName val="Nº_de_Falhas_CG20"/>
      <sheetName val="Nº_de_Falhas_PA20"/>
      <sheetName val="Falhas_sup_Freio20"/>
      <sheetName val="Falhas_MI-sist_Freio20"/>
      <sheetName val="Falhas_CG-sist_Freio20"/>
      <sheetName val="Falhas_sup_Vagão20"/>
      <sheetName val="Falhas_MI-sist_Sup20"/>
      <sheetName val="Falhas_CG_-sist_Sup20"/>
      <sheetName val="Falhas_sup_CG20"/>
      <sheetName val="Falhas_sup_Rodeiro-MI_CG_PA20"/>
      <sheetName val="Falhas_CG-sist_Rodeiro20"/>
      <sheetName val="Falhas_MI-sist_Rodeiro20"/>
      <sheetName val="Falhas_PA-sist_Rodeiro20"/>
      <sheetName val="Falhas_sup_T&amp;T20"/>
      <sheetName val="Falhas_TT-MI20"/>
      <sheetName val="Falhas_TT-CG20"/>
      <sheetName val="Falhas_MI-sist_Truque20"/>
      <sheetName val="Falhas_CG-sist_Truque20"/>
      <sheetName val="Falhas_MI-sist_Tração20"/>
      <sheetName val="Falhas_CG-sist_Tração20"/>
      <sheetName val="p_ação_3G_UT20"/>
      <sheetName val="p_ação_3G_UT_(2)20"/>
      <sheetName val="bdados_200520"/>
      <sheetName val="POR_DIRETORIA20"/>
      <sheetName val="ROS_VV20"/>
      <sheetName val="Cronograma_de_Reuniões_LICL20"/>
      <sheetName val="Cronograma_de_Reuniões_LEFEL20"/>
      <sheetName val="Pauta_C_Geral_Ferrovia20"/>
      <sheetName val="Agenda_Logistica_201220"/>
      <sheetName val="Cashflow_(na)20"/>
      <sheetName val="Análise_Certificação_20"/>
      <sheetName val="HISTORICO_DEF_X_REB20"/>
      <sheetName val="PAINEL_DE_FALHAS20"/>
      <sheetName val="AR_Signature_Page20"/>
      <sheetName val="_INDICADORES_FINANCEIROS20"/>
      <sheetName val="RECEITA_BRUTA20"/>
      <sheetName val="_COMPOSIÇÃO_DO_CPV_20"/>
      <sheetName val="_INDICADORES_DE_ENDIVIDAMENTO20"/>
      <sheetName val="MINERAIS_FERROSOS20"/>
      <sheetName val="BULK_MATERIALS20"/>
      <sheetName val="MINERAIS_NÃO_FERROSOS20"/>
      <sheetName val="DEMONSTRAÇÃO_DE_RESULTADO20"/>
      <sheetName val="_DESPESAS_FINANCEIRAS20"/>
      <sheetName val="_RESULTADO_DE_P__SOCIETÁRIAS20"/>
      <sheetName val="_BALANÇO_PATRIMONIAL20"/>
      <sheetName val="_FLUXO_DE_CAIXA20"/>
      <sheetName val="_VOLUME_outros20"/>
      <sheetName val="PRECOS_MEDIOS20"/>
      <sheetName val="Margens_Operacionais20"/>
      <sheetName val="Check_List20"/>
      <sheetName val="Itens_de_controle20"/>
      <sheetName val="Check_Farol20"/>
      <sheetName val="Pessoal_CVRD20"/>
      <sheetName val="Composição_2011_Máx__Rev_220"/>
      <sheetName val="Demanda_de_inspeção20"/>
      <sheetName val="Composição_2011_Máx__Rev_320"/>
      <sheetName val="JAN_P2220"/>
      <sheetName val="JAN_P2120"/>
      <sheetName val="MELHORIAS_E_OPÇÕES20"/>
      <sheetName val="CVRDMenu_xls20"/>
      <sheetName val="Desenvolvimento_Ferroviário20"/>
      <sheetName val="Eng__Via_Permanente20"/>
      <sheetName val="Eng__Material_Rodante20"/>
      <sheetName val="Eng__Eletro_e_Operações20"/>
      <sheetName val="Resumo_Desenvolvimento20"/>
      <sheetName val="Resumo_VP20"/>
      <sheetName val="Resumo_Mat_Rodante20"/>
      <sheetName val="Resumo_Eletro20"/>
      <sheetName val="CA_540920"/>
      <sheetName val="Simulador_OEE_sem_911_Nov_Dez20"/>
      <sheetName val="Usiminas_20"/>
      <sheetName val="Build-up_US$_(2010)18"/>
      <sheetName val="Curva_18"/>
      <sheetName val="Painel_Engenharia_R$18"/>
      <sheetName val="Resumo_do_Painel18"/>
      <sheetName val="Resumo_IOI18"/>
      <sheetName val="Quadro_IOI_201418"/>
      <sheetName val="Curva_Baseline_201418"/>
      <sheetName val="Capex_Eco18"/>
      <sheetName val="Capex_Fin18"/>
      <sheetName val="Curva_Eco_Investimento18"/>
      <sheetName val="Curva_Fin_Investimento18"/>
      <sheetName val="Curva_Despesa18"/>
      <sheetName val="Ferrovia_Análise_Tendência18"/>
      <sheetName val="Dinâm_IOI_fabio18"/>
      <sheetName val="CONTRATOS_EEFC18"/>
      <sheetName val="ANALISE_EXC__MÊS18"/>
      <sheetName val="RESUMO_DESAFIO18"/>
      <sheetName val="2011_Curvas_Fin18"/>
      <sheetName val="Saldos_PA's18"/>
      <sheetName val="2012_Curvas_Fin_(R$)18"/>
      <sheetName val="Ramal_(temp)18"/>
      <sheetName val="Ramal_-_Pacotes18"/>
      <sheetName val="Linhas__Ramais18"/>
      <sheetName val="Owner_Costs18"/>
      <sheetName val="Desembolso_R$18"/>
      <sheetName val="Controle_Pagamentos18"/>
      <sheetName val="CONTRATOS_TFPM18"/>
      <sheetName val="Plano_de_Ação_OMR_(2)18"/>
      <sheetName val="Plano_de_Ação_OMTT_(2)18"/>
      <sheetName val="O_indicador18"/>
      <sheetName val="Matriz_de_priorização_GUT18"/>
      <sheetName val="1_-_Resultados18"/>
      <sheetName val="MCS_FEV18"/>
      <sheetName val="MCS_AGO18"/>
      <sheetName val="BUILD_UP_-_Jan18"/>
      <sheetName val="PA_Est__Minimo18"/>
      <sheetName val="Identificação_do_Problema18"/>
      <sheetName val="Observação_do_Problema18"/>
      <sheetName val="Diagrama_de_Causa_e_Efeito_Ro18"/>
      <sheetName val="Técnica_dos_Por_Ques_Rode18"/>
      <sheetName val="Diagrama_de_Causa_e_Efeito_Tr26"/>
      <sheetName val="Diagrama_de_Causa_e_Efeito_Tr27"/>
      <sheetName val="Teste_porquês_truq_18"/>
      <sheetName val="Teste_porquês_Rod18"/>
      <sheetName val="Teste_porquês_Traç18"/>
      <sheetName val="Observação_do_Problema_(2)18"/>
      <sheetName val="Diagrama_de_Causa_e_Efeito__(18"/>
      <sheetName val="BUILD_UP_COMP_18"/>
      <sheetName val="2_-_BUILD_UP_-_Maio18"/>
      <sheetName val="MCS_MAR18"/>
      <sheetName val="MCS_ABRIL18"/>
      <sheetName val="MCS_ACUMULADO18"/>
      <sheetName val="MCS_MAIO18"/>
      <sheetName val="Plano_de_Ação_OMR18"/>
      <sheetName val="BD_Grafico18"/>
      <sheetName val="Produção_de_Março_-_OMR18"/>
      <sheetName val="Fila_de_Rodeiros18"/>
      <sheetName val="Usinados_Montagem18"/>
      <sheetName val="Perfil_de_Entrada_de_rodeiros18"/>
      <sheetName val="Análise_Extra18"/>
      <sheetName val="Plano_de_Ação_OMTT18"/>
      <sheetName val="3_-_PARETOS18"/>
      <sheetName val="MCS_JUNHO18"/>
      <sheetName val="2_-_BUILD_UP_-_Abr_(2)18"/>
      <sheetName val="Controle_De_Inpeções26"/>
      <sheetName val="Controle_De_Inpeções_(2)26"/>
      <sheetName val="Controle_De_Inpeções_(3)26"/>
      <sheetName val="Imob_frota_GAVAG_26"/>
      <sheetName val="grafico-CARGA_GERAL26"/>
      <sheetName val="Restrições_de_Velocidade26"/>
      <sheetName val="Ultra_som_-_200726"/>
      <sheetName val="Trem_Hora_Parado26"/>
      <sheetName val="Ocorrências_Ferroviárias26"/>
      <sheetName val="Aprovisionamento_de_Materiais26"/>
      <sheetName val="Grafico_Geral_Orçamento26"/>
      <sheetName val="Check_List-_Gerrot26"/>
      <sheetName val="EAP_rev_0023"/>
      <sheetName val="CC_42423"/>
      <sheetName val="NÃO_CRÍTICOS23"/>
      <sheetName val="CONSOLIDADO_GAENY23"/>
      <sheetName val="ORÇADO_-_CONF__GIC23"/>
      <sheetName val="ALEXANDRE_-_NÃO_CRÍTICOS23"/>
      <sheetName val="LEONARDO__-_CRÍTICOS23"/>
      <sheetName val="LEONARDO__-_NÃO_CRÍTICOS23"/>
      <sheetName val="PAULO_-_CRÍTICOS23"/>
      <sheetName val="PAULO_-_NÃO_CRÍTICOS23"/>
      <sheetName val="Gestão_Econômica23"/>
      <sheetName val="INFO_23"/>
      <sheetName val="Evolução_Etapas_Cal_Mag22"/>
      <sheetName val="Evolução_Etapas_Cromo22"/>
      <sheetName val="Grupo_x_Justif22"/>
      <sheetName val="Disp_2005_FCA22"/>
      <sheetName val="Resumo_EFVM22"/>
      <sheetName val="thp_22"/>
      <sheetName val="Consolida_Investimento22"/>
      <sheetName val="consolidado_preventivas22"/>
      <sheetName val="Vg__Inventariados-dados22"/>
      <sheetName val="Painel_de_controle21"/>
      <sheetName val="MKBF_MI21"/>
      <sheetName val="MKBF_CG21"/>
      <sheetName val="Nº_de_Falhas_MI21"/>
      <sheetName val="Nº_de_Falhas_CG21"/>
      <sheetName val="Nº_de_Falhas_PA21"/>
      <sheetName val="Falhas_sup_Freio21"/>
      <sheetName val="Falhas_MI-sist_Freio21"/>
      <sheetName val="Falhas_CG-sist_Freio21"/>
      <sheetName val="Falhas_sup_Vagão21"/>
      <sheetName val="Falhas_MI-sist_Sup21"/>
      <sheetName val="Falhas_CG_-sist_Sup21"/>
      <sheetName val="Falhas_sup_CG21"/>
      <sheetName val="Falhas_sup_Rodeiro-MI_CG_PA21"/>
      <sheetName val="Falhas_CG-sist_Rodeiro21"/>
      <sheetName val="Falhas_MI-sist_Rodeiro21"/>
      <sheetName val="Falhas_PA-sist_Rodeiro21"/>
      <sheetName val="Falhas_sup_T&amp;T21"/>
      <sheetName val="Falhas_TT-MI21"/>
      <sheetName val="Falhas_TT-CG21"/>
      <sheetName val="Falhas_MI-sist_Truque21"/>
      <sheetName val="Falhas_CG-sist_Truque21"/>
      <sheetName val="Falhas_MI-sist_Tração21"/>
      <sheetName val="Falhas_CG-sist_Tração21"/>
      <sheetName val="p_ação_3G_UT21"/>
      <sheetName val="p_ação_3G_UT_(2)21"/>
      <sheetName val="bdados_200521"/>
      <sheetName val="POR_DIRETORIA21"/>
      <sheetName val="ROS_VV21"/>
      <sheetName val="Cronograma_de_Reuniões_LICL21"/>
      <sheetName val="Cronograma_de_Reuniões_LEFEL21"/>
      <sheetName val="Pauta_C_Geral_Ferrovia21"/>
      <sheetName val="Agenda_Logistica_201221"/>
      <sheetName val="Cashflow_(na)21"/>
      <sheetName val="Análise_Certificação_21"/>
      <sheetName val="HISTORICO_DEF_X_REB21"/>
      <sheetName val="PAINEL_DE_FALHAS21"/>
      <sheetName val="AR_Signature_Page21"/>
      <sheetName val="_INDICADORES_FINANCEIROS21"/>
      <sheetName val="RECEITA_BRUTA21"/>
      <sheetName val="_COMPOSIÇÃO_DO_CPV_21"/>
      <sheetName val="_INDICADORES_DE_ENDIVIDAMENTO21"/>
      <sheetName val="MINERAIS_FERROSOS21"/>
      <sheetName val="BULK_MATERIALS21"/>
      <sheetName val="MINERAIS_NÃO_FERROSOS21"/>
      <sheetName val="DEMONSTRAÇÃO_DE_RESULTADO21"/>
      <sheetName val="_DESPESAS_FINANCEIRAS21"/>
      <sheetName val="_RESULTADO_DE_P__SOCIETÁRIAS21"/>
      <sheetName val="_BALANÇO_PATRIMONIAL21"/>
      <sheetName val="_FLUXO_DE_CAIXA21"/>
      <sheetName val="_VOLUME_outros21"/>
      <sheetName val="PRECOS_MEDIOS21"/>
      <sheetName val="Margens_Operacionais21"/>
      <sheetName val="Check_List21"/>
      <sheetName val="Itens_de_controle21"/>
      <sheetName val="Check_Farol21"/>
      <sheetName val="Pessoal_CVRD21"/>
      <sheetName val="Composição_2011_Máx__Rev_221"/>
      <sheetName val="Demanda_de_inspeção21"/>
      <sheetName val="Composição_2011_Máx__Rev_321"/>
      <sheetName val="JAN_P2221"/>
      <sheetName val="JAN_P2121"/>
      <sheetName val="MELHORIAS_E_OPÇÕES21"/>
      <sheetName val="CVRDMenu_xls21"/>
      <sheetName val="Desenvolvimento_Ferroviário21"/>
      <sheetName val="Eng__Via_Permanente21"/>
      <sheetName val="Eng__Material_Rodante21"/>
      <sheetName val="Eng__Eletro_e_Operações21"/>
      <sheetName val="Resumo_Desenvolvimento21"/>
      <sheetName val="Resumo_VP21"/>
      <sheetName val="Resumo_Mat_Rodante21"/>
      <sheetName val="Resumo_Eletro21"/>
      <sheetName val="CA_540921"/>
      <sheetName val="Simulador_OEE_sem_911_Nov_Dez21"/>
      <sheetName val="Usiminas_21"/>
      <sheetName val="Build-up_US$_(2010)19"/>
      <sheetName val="Curva_19"/>
      <sheetName val="Painel_Engenharia_R$19"/>
      <sheetName val="Resumo_do_Painel19"/>
      <sheetName val="Resumo_IOI19"/>
      <sheetName val="Quadro_IOI_201419"/>
      <sheetName val="Curva_Baseline_201419"/>
      <sheetName val="Capex_Eco19"/>
      <sheetName val="Capex_Fin19"/>
      <sheetName val="Curva_Eco_Investimento19"/>
      <sheetName val="Curva_Fin_Investimento19"/>
      <sheetName val="Curva_Despesa19"/>
      <sheetName val="Ferrovia_Análise_Tendência19"/>
      <sheetName val="Dinâm_IOI_fabio19"/>
      <sheetName val="CONTRATOS_EEFC19"/>
      <sheetName val="ANALISE_EXC__MÊS19"/>
      <sheetName val="RESUMO_DESAFIO19"/>
      <sheetName val="2011_Curvas_Fin19"/>
      <sheetName val="Saldos_PA's19"/>
      <sheetName val="2012_Curvas_Fin_(R$)19"/>
      <sheetName val="Ramal_(temp)19"/>
      <sheetName val="Ramal_-_Pacotes19"/>
      <sheetName val="Linhas__Ramais19"/>
      <sheetName val="Owner_Costs19"/>
      <sheetName val="Desembolso_R$19"/>
      <sheetName val="Controle_Pagamentos19"/>
      <sheetName val="CONTRATOS_TFPM19"/>
      <sheetName val="Plano_de_Ação_OMR_(2)19"/>
      <sheetName val="Plano_de_Ação_OMTT_(2)19"/>
      <sheetName val="O_indicador19"/>
      <sheetName val="Matriz_de_priorização_GUT19"/>
      <sheetName val="1_-_Resultados19"/>
      <sheetName val="MCS_FEV19"/>
      <sheetName val="MCS_AGO19"/>
      <sheetName val="BUILD_UP_-_Jan19"/>
      <sheetName val="PA_Est__Minimo19"/>
      <sheetName val="Identificação_do_Problema19"/>
      <sheetName val="Observação_do_Problema19"/>
      <sheetName val="Diagrama_de_Causa_e_Efeito_Ro19"/>
      <sheetName val="Técnica_dos_Por_Ques_Rode19"/>
      <sheetName val="Diagrama_de_Causa_e_Efeito_Tr28"/>
      <sheetName val="Diagrama_de_Causa_e_Efeito_Tr29"/>
      <sheetName val="Teste_porquês_truq_19"/>
      <sheetName val="Teste_porquês_Rod19"/>
      <sheetName val="Teste_porquês_Traç19"/>
      <sheetName val="Observação_do_Problema_(2)19"/>
      <sheetName val="Diagrama_de_Causa_e_Efeito__(19"/>
      <sheetName val="BUILD_UP_COMP_19"/>
      <sheetName val="2_-_BUILD_UP_-_Maio19"/>
      <sheetName val="MCS_MAR19"/>
      <sheetName val="MCS_ABRIL19"/>
      <sheetName val="MCS_ACUMULADO19"/>
      <sheetName val="MCS_MAIO19"/>
      <sheetName val="Plano_de_Ação_OMR19"/>
      <sheetName val="BD_Grafico19"/>
      <sheetName val="Produção_de_Março_-_OMR19"/>
      <sheetName val="Fila_de_Rodeiros19"/>
      <sheetName val="Usinados_Montagem19"/>
      <sheetName val="Perfil_de_Entrada_de_rodeiros19"/>
      <sheetName val="Análise_Extra19"/>
      <sheetName val="Plano_de_Ação_OMTT19"/>
      <sheetName val="3_-_PARETOS19"/>
      <sheetName val="MCS_JUNHO19"/>
      <sheetName val="2_-_BUILD_UP_-_Abr_(2)19"/>
      <sheetName val="Controle_De_Inpeções27"/>
      <sheetName val="Controle_De_Inpeções_(2)27"/>
      <sheetName val="Controle_De_Inpeções_(3)27"/>
      <sheetName val="Imob_frota_GAVAG_27"/>
      <sheetName val="grafico-CARGA_GERAL27"/>
      <sheetName val="Restrições_de_Velocidade27"/>
      <sheetName val="Ultra_som_-_200727"/>
      <sheetName val="Trem_Hora_Parado27"/>
      <sheetName val="Ocorrências_Ferroviárias27"/>
      <sheetName val="Aprovisionamento_de_Materiais27"/>
      <sheetName val="Grafico_Geral_Orçamento27"/>
      <sheetName val="Check_List-_Gerrot27"/>
      <sheetName val="EAP_rev_0024"/>
      <sheetName val="CC_42424"/>
      <sheetName val="NÃO_CRÍTICOS24"/>
      <sheetName val="CONSOLIDADO_GAENY24"/>
      <sheetName val="ORÇADO_-_CONF__GIC24"/>
      <sheetName val="ALEXANDRE_-_NÃO_CRÍTICOS24"/>
      <sheetName val="LEONARDO__-_CRÍTICOS24"/>
      <sheetName val="LEONARDO__-_NÃO_CRÍTICOS24"/>
      <sheetName val="PAULO_-_CRÍTICOS24"/>
      <sheetName val="PAULO_-_NÃO_CRÍTICOS24"/>
      <sheetName val="Gestão_Econômica24"/>
      <sheetName val="INFO_24"/>
      <sheetName val="Evolução_Etapas_Cal_Mag23"/>
      <sheetName val="Evolução_Etapas_Cromo23"/>
      <sheetName val="Grupo_x_Justif23"/>
      <sheetName val="Disp_2005_FCA23"/>
      <sheetName val="Resumo_EFVM23"/>
      <sheetName val="thp_23"/>
      <sheetName val="Consolida_Investimento23"/>
      <sheetName val="consolidado_preventivas23"/>
      <sheetName val="Vg__Inventariados-dados23"/>
      <sheetName val="Painel_de_controle22"/>
      <sheetName val="MKBF_MI22"/>
      <sheetName val="MKBF_CG22"/>
      <sheetName val="Nº_de_Falhas_MI22"/>
      <sheetName val="Nº_de_Falhas_CG22"/>
      <sheetName val="Nº_de_Falhas_PA22"/>
      <sheetName val="Falhas_sup_Freio22"/>
      <sheetName val="Falhas_MI-sist_Freio22"/>
      <sheetName val="Falhas_CG-sist_Freio22"/>
      <sheetName val="Falhas_sup_Vagão22"/>
      <sheetName val="Falhas_MI-sist_Sup22"/>
      <sheetName val="Falhas_CG_-sist_Sup22"/>
      <sheetName val="Falhas_sup_CG22"/>
      <sheetName val="Falhas_sup_Rodeiro-MI_CG_PA22"/>
      <sheetName val="Falhas_CG-sist_Rodeiro22"/>
      <sheetName val="Falhas_MI-sist_Rodeiro22"/>
      <sheetName val="Falhas_PA-sist_Rodeiro22"/>
      <sheetName val="Falhas_sup_T&amp;T22"/>
      <sheetName val="Falhas_TT-MI22"/>
      <sheetName val="Falhas_TT-CG22"/>
      <sheetName val="Falhas_MI-sist_Truque22"/>
      <sheetName val="Falhas_CG-sist_Truque22"/>
      <sheetName val="Falhas_MI-sist_Tração22"/>
      <sheetName val="Falhas_CG-sist_Tração22"/>
      <sheetName val="p_ação_3G_UT22"/>
      <sheetName val="p_ação_3G_UT_(2)22"/>
      <sheetName val="bdados_200522"/>
      <sheetName val="POR_DIRETORIA22"/>
      <sheetName val="ROS_VV22"/>
      <sheetName val="Cronograma_de_Reuniões_LICL22"/>
      <sheetName val="Cronograma_de_Reuniões_LEFEL22"/>
      <sheetName val="Pauta_C_Geral_Ferrovia22"/>
      <sheetName val="Agenda_Logistica_201222"/>
      <sheetName val="Cashflow_(na)22"/>
      <sheetName val="Análise_Certificação_22"/>
      <sheetName val="HISTORICO_DEF_X_REB22"/>
      <sheetName val="PAINEL_DE_FALHAS22"/>
      <sheetName val="AR_Signature_Page22"/>
      <sheetName val="_INDICADORES_FINANCEIROS22"/>
      <sheetName val="RECEITA_BRUTA22"/>
      <sheetName val="_COMPOSIÇÃO_DO_CPV_22"/>
      <sheetName val="_INDICADORES_DE_ENDIVIDAMENTO22"/>
      <sheetName val="MINERAIS_FERROSOS22"/>
      <sheetName val="BULK_MATERIALS22"/>
      <sheetName val="MINERAIS_NÃO_FERROSOS22"/>
      <sheetName val="DEMONSTRAÇÃO_DE_RESULTADO22"/>
      <sheetName val="_DESPESAS_FINANCEIRAS22"/>
      <sheetName val="_RESULTADO_DE_P__SOCIETÁRIAS22"/>
      <sheetName val="_BALANÇO_PATRIMONIAL22"/>
      <sheetName val="_FLUXO_DE_CAIXA22"/>
      <sheetName val="_VOLUME_outros22"/>
      <sheetName val="PRECOS_MEDIOS22"/>
      <sheetName val="Margens_Operacionais22"/>
      <sheetName val="Check_List22"/>
      <sheetName val="Itens_de_controle22"/>
      <sheetName val="Check_Farol22"/>
      <sheetName val="Pessoal_CVRD22"/>
      <sheetName val="Composição_2011_Máx__Rev_222"/>
      <sheetName val="Demanda_de_inspeção22"/>
      <sheetName val="Composição_2011_Máx__Rev_322"/>
      <sheetName val="JAN_P2222"/>
      <sheetName val="JAN_P2122"/>
      <sheetName val="MELHORIAS_E_OPÇÕES22"/>
      <sheetName val="CVRDMenu_xls22"/>
      <sheetName val="Desenvolvimento_Ferroviário22"/>
      <sheetName val="Eng__Via_Permanente22"/>
      <sheetName val="Eng__Material_Rodante22"/>
      <sheetName val="Eng__Eletro_e_Operações22"/>
      <sheetName val="Resumo_Desenvolvimento22"/>
      <sheetName val="Resumo_VP22"/>
      <sheetName val="Resumo_Mat_Rodante22"/>
      <sheetName val="Resumo_Eletro22"/>
      <sheetName val="CA_540922"/>
      <sheetName val="Simulador_OEE_sem_911_Nov_Dez22"/>
      <sheetName val="Usiminas_22"/>
      <sheetName val="Build-up_US$_(2010)20"/>
      <sheetName val="Curva_20"/>
      <sheetName val="Painel_Engenharia_R$20"/>
      <sheetName val="Resumo_do_Painel20"/>
      <sheetName val="Resumo_IOI20"/>
      <sheetName val="Quadro_IOI_201420"/>
      <sheetName val="Curva_Baseline_201420"/>
      <sheetName val="Capex_Eco20"/>
      <sheetName val="Capex_Fin20"/>
      <sheetName val="Curva_Eco_Investimento20"/>
      <sheetName val="Curva_Fin_Investimento20"/>
      <sheetName val="Curva_Despesa20"/>
      <sheetName val="Ferrovia_Análise_Tendência20"/>
      <sheetName val="Dinâm_IOI_fabio20"/>
      <sheetName val="CONTRATOS_EEFC20"/>
      <sheetName val="ANALISE_EXC__MÊS20"/>
      <sheetName val="RESUMO_DESAFIO20"/>
      <sheetName val="2011_Curvas_Fin20"/>
      <sheetName val="Saldos_PA's20"/>
      <sheetName val="2012_Curvas_Fin_(R$)20"/>
      <sheetName val="Ramal_(temp)20"/>
      <sheetName val="Ramal_-_Pacotes20"/>
      <sheetName val="Linhas__Ramais20"/>
      <sheetName val="Owner_Costs20"/>
      <sheetName val="Desembolso_R$20"/>
      <sheetName val="Controle_Pagamentos20"/>
      <sheetName val="CONTRATOS_TFPM20"/>
      <sheetName val="Plano_de_Ação_OMR_(2)20"/>
      <sheetName val="Plano_de_Ação_OMTT_(2)20"/>
      <sheetName val="O_indicador20"/>
      <sheetName val="Matriz_de_priorização_GUT20"/>
      <sheetName val="1_-_Resultados20"/>
      <sheetName val="MCS_FEV20"/>
      <sheetName val="MCS_AGO20"/>
      <sheetName val="BUILD_UP_-_Jan20"/>
      <sheetName val="PA_Est__Minimo20"/>
      <sheetName val="Identificação_do_Problema20"/>
      <sheetName val="Observação_do_Problema20"/>
      <sheetName val="Diagrama_de_Causa_e_Efeito_Ro20"/>
      <sheetName val="Técnica_dos_Por_Ques_Rode20"/>
      <sheetName val="Diagrama_de_Causa_e_Efeito_Tr30"/>
      <sheetName val="Diagrama_de_Causa_e_Efeito_Tr31"/>
      <sheetName val="Teste_porquês_truq_20"/>
      <sheetName val="Teste_porquês_Rod20"/>
      <sheetName val="Teste_porquês_Traç20"/>
      <sheetName val="Observação_do_Problema_(2)20"/>
      <sheetName val="Diagrama_de_Causa_e_Efeito__(20"/>
      <sheetName val="BUILD_UP_COMP_20"/>
      <sheetName val="2_-_BUILD_UP_-_Maio20"/>
      <sheetName val="MCS_MAR20"/>
      <sheetName val="MCS_ABRIL20"/>
      <sheetName val="MCS_ACUMULADO20"/>
      <sheetName val="MCS_MAIO20"/>
      <sheetName val="Plano_de_Ação_OMR20"/>
      <sheetName val="BD_Grafico20"/>
      <sheetName val="Produção_de_Março_-_OMR20"/>
      <sheetName val="Fila_de_Rodeiros20"/>
      <sheetName val="Usinados_Montagem20"/>
      <sheetName val="Perfil_de_Entrada_de_rodeiros20"/>
      <sheetName val="Análise_Extra20"/>
      <sheetName val="Plano_de_Ação_OMTT20"/>
      <sheetName val="3_-_PARETOS20"/>
      <sheetName val="MCS_JUNHO20"/>
      <sheetName val="2_-_BUILD_UP_-_Abr_(2)20"/>
      <sheetName val="Controle_De_Inpeções28"/>
      <sheetName val="Controle_De_Inpeções_(2)28"/>
      <sheetName val="Controle_De_Inpeções_(3)28"/>
      <sheetName val="Imob_frota_GAVAG_28"/>
      <sheetName val="grafico-CARGA_GERAL28"/>
      <sheetName val="Restrições_de_Velocidade28"/>
      <sheetName val="Ultra_som_-_200728"/>
      <sheetName val="Trem_Hora_Parado28"/>
      <sheetName val="Ocorrências_Ferroviárias28"/>
      <sheetName val="Aprovisionamento_de_Materiais28"/>
      <sheetName val="Grafico_Geral_Orçamento28"/>
      <sheetName val="Check_List-_Gerrot28"/>
      <sheetName val="EAP_rev_0025"/>
      <sheetName val="CC_42425"/>
      <sheetName val="NÃO_CRÍTICOS25"/>
      <sheetName val="CONSOLIDADO_GAENY25"/>
      <sheetName val="ORÇADO_-_CONF__GIC25"/>
      <sheetName val="ALEXANDRE_-_NÃO_CRÍTICOS25"/>
      <sheetName val="LEONARDO__-_CRÍTICOS25"/>
      <sheetName val="LEONARDO__-_NÃO_CRÍTICOS25"/>
      <sheetName val="PAULO_-_CRÍTICOS25"/>
      <sheetName val="PAULO_-_NÃO_CRÍTICOS25"/>
      <sheetName val="Gestão_Econômica25"/>
      <sheetName val="INFO_25"/>
      <sheetName val="Evolução_Etapas_Cal_Mag24"/>
      <sheetName val="Evolução_Etapas_Cromo24"/>
      <sheetName val="Grupo_x_Justif24"/>
      <sheetName val="Disp_2005_FCA24"/>
      <sheetName val="Resumo_EFVM24"/>
      <sheetName val="thp_24"/>
      <sheetName val="Consolida_Investimento24"/>
      <sheetName val="consolidado_preventivas24"/>
      <sheetName val="Vg__Inventariados-dados24"/>
      <sheetName val="Painel_de_controle23"/>
      <sheetName val="MKBF_MI23"/>
      <sheetName val="MKBF_CG23"/>
      <sheetName val="Nº_de_Falhas_MI23"/>
      <sheetName val="Nº_de_Falhas_CG23"/>
      <sheetName val="Nº_de_Falhas_PA23"/>
      <sheetName val="Falhas_sup_Freio23"/>
      <sheetName val="Falhas_MI-sist_Freio23"/>
      <sheetName val="Falhas_CG-sist_Freio23"/>
      <sheetName val="Falhas_sup_Vagão23"/>
      <sheetName val="Falhas_MI-sist_Sup23"/>
      <sheetName val="Falhas_CG_-sist_Sup23"/>
      <sheetName val="Falhas_sup_CG23"/>
      <sheetName val="Falhas_sup_Rodeiro-MI_CG_PA23"/>
      <sheetName val="Falhas_CG-sist_Rodeiro23"/>
      <sheetName val="Falhas_MI-sist_Rodeiro23"/>
      <sheetName val="Falhas_PA-sist_Rodeiro23"/>
      <sheetName val="Falhas_sup_T&amp;T23"/>
      <sheetName val="Falhas_TT-MI23"/>
      <sheetName val="Falhas_TT-CG23"/>
      <sheetName val="Falhas_MI-sist_Truque23"/>
      <sheetName val="Falhas_CG-sist_Truque23"/>
      <sheetName val="Falhas_MI-sist_Tração23"/>
      <sheetName val="Falhas_CG-sist_Tração23"/>
      <sheetName val="p_ação_3G_UT23"/>
      <sheetName val="p_ação_3G_UT_(2)23"/>
      <sheetName val="bdados_200523"/>
      <sheetName val="POR_DIRETORIA23"/>
      <sheetName val="ROS_VV23"/>
      <sheetName val="Cronograma_de_Reuniões_LICL23"/>
      <sheetName val="Cronograma_de_Reuniões_LEFEL23"/>
      <sheetName val="Pauta_C_Geral_Ferrovia23"/>
      <sheetName val="Agenda_Logistica_201223"/>
      <sheetName val="Cashflow_(na)23"/>
      <sheetName val="Análise_Certificação_23"/>
      <sheetName val="HISTORICO_DEF_X_REB23"/>
      <sheetName val="PAINEL_DE_FALHAS23"/>
      <sheetName val="AR_Signature_Page23"/>
      <sheetName val="_INDICADORES_FINANCEIROS23"/>
      <sheetName val="RECEITA_BRUTA23"/>
      <sheetName val="_COMPOSIÇÃO_DO_CPV_23"/>
      <sheetName val="_INDICADORES_DE_ENDIVIDAMENTO23"/>
      <sheetName val="MINERAIS_FERROSOS23"/>
      <sheetName val="BULK_MATERIALS23"/>
      <sheetName val="MINERAIS_NÃO_FERROSOS23"/>
      <sheetName val="DEMONSTRAÇÃO_DE_RESULTADO23"/>
      <sheetName val="_DESPESAS_FINANCEIRAS23"/>
      <sheetName val="_RESULTADO_DE_P__SOCIETÁRIAS23"/>
      <sheetName val="_BALANÇO_PATRIMONIAL23"/>
      <sheetName val="_FLUXO_DE_CAIXA23"/>
      <sheetName val="_VOLUME_outros23"/>
      <sheetName val="PRECOS_MEDIOS23"/>
      <sheetName val="Margens_Operacionais23"/>
      <sheetName val="Check_List23"/>
      <sheetName val="Itens_de_controle23"/>
      <sheetName val="Check_Farol23"/>
      <sheetName val="Pessoal_CVRD23"/>
      <sheetName val="Composição_2011_Máx__Rev_223"/>
      <sheetName val="Demanda_de_inspeção23"/>
      <sheetName val="Composição_2011_Máx__Rev_323"/>
      <sheetName val="JAN_P2223"/>
      <sheetName val="JAN_P2123"/>
      <sheetName val="MELHORIAS_E_OPÇÕES23"/>
      <sheetName val="CVRDMenu_xls23"/>
      <sheetName val="Desenvolvimento_Ferroviário23"/>
      <sheetName val="Eng__Via_Permanente23"/>
      <sheetName val="Eng__Material_Rodante23"/>
      <sheetName val="Eng__Eletro_e_Operações23"/>
      <sheetName val="Resumo_Desenvolvimento23"/>
      <sheetName val="Resumo_VP23"/>
      <sheetName val="Resumo_Mat_Rodante23"/>
      <sheetName val="Resumo_Eletro23"/>
      <sheetName val="CA_540923"/>
      <sheetName val="Simulador_OEE_sem_911_Nov_Dez23"/>
      <sheetName val="Usiminas_23"/>
      <sheetName val="Build-up_US$_(2010)21"/>
      <sheetName val="Curva_21"/>
      <sheetName val="Painel_Engenharia_R$21"/>
      <sheetName val="Resumo_do_Painel21"/>
      <sheetName val="Resumo_IOI21"/>
      <sheetName val="Quadro_IOI_201421"/>
      <sheetName val="Curva_Baseline_201421"/>
      <sheetName val="Capex_Eco21"/>
      <sheetName val="Capex_Fin21"/>
      <sheetName val="Curva_Eco_Investimento21"/>
      <sheetName val="Curva_Fin_Investimento21"/>
      <sheetName val="Curva_Despesa21"/>
      <sheetName val="Ferrovia_Análise_Tendência21"/>
      <sheetName val="Dinâm_IOI_fabio21"/>
      <sheetName val="CONTRATOS_EEFC21"/>
      <sheetName val="ANALISE_EXC__MÊS21"/>
      <sheetName val="RESUMO_DESAFIO21"/>
      <sheetName val="2011_Curvas_Fin21"/>
      <sheetName val="Saldos_PA's21"/>
      <sheetName val="2012_Curvas_Fin_(R$)21"/>
      <sheetName val="Ramal_(temp)21"/>
      <sheetName val="Ramal_-_Pacotes21"/>
      <sheetName val="Linhas__Ramais21"/>
      <sheetName val="Owner_Costs21"/>
      <sheetName val="Desembolso_R$21"/>
      <sheetName val="Controle_Pagamentos21"/>
      <sheetName val="CONTRATOS_TFPM21"/>
      <sheetName val="Plano_de_Ação_OMR_(2)21"/>
      <sheetName val="Plano_de_Ação_OMTT_(2)21"/>
      <sheetName val="O_indicador21"/>
      <sheetName val="Matriz_de_priorização_GUT21"/>
      <sheetName val="1_-_Resultados21"/>
      <sheetName val="MCS_FEV21"/>
      <sheetName val="MCS_AGO21"/>
      <sheetName val="BUILD_UP_-_Jan21"/>
      <sheetName val="PA_Est__Minimo21"/>
      <sheetName val="Identificação_do_Problema21"/>
      <sheetName val="Observação_do_Problema21"/>
      <sheetName val="Diagrama_de_Causa_e_Efeito_Ro21"/>
      <sheetName val="Técnica_dos_Por_Ques_Rode21"/>
      <sheetName val="Diagrama_de_Causa_e_Efeito_Tr32"/>
      <sheetName val="Diagrama_de_Causa_e_Efeito_Tr33"/>
      <sheetName val="Teste_porquês_truq_21"/>
      <sheetName val="Teste_porquês_Rod21"/>
      <sheetName val="Teste_porquês_Traç21"/>
      <sheetName val="Observação_do_Problema_(2)21"/>
      <sheetName val="Diagrama_de_Causa_e_Efeito__(30"/>
      <sheetName val="BUILD_UP_COMP_21"/>
      <sheetName val="2_-_BUILD_UP_-_Maio21"/>
      <sheetName val="MCS_MAR21"/>
      <sheetName val="MCS_ABRIL21"/>
      <sheetName val="MCS_ACUMULADO21"/>
      <sheetName val="MCS_MAIO21"/>
      <sheetName val="Plano_de_Ação_OMR21"/>
      <sheetName val="BD_Grafico21"/>
      <sheetName val="Produção_de_Março_-_OMR21"/>
      <sheetName val="Fila_de_Rodeiros21"/>
      <sheetName val="Usinados_Montagem21"/>
      <sheetName val="Perfil_de_Entrada_de_rodeiros21"/>
      <sheetName val="Análise_Extra21"/>
      <sheetName val="Plano_de_Ação_OMTT21"/>
      <sheetName val="3_-_PARETOS21"/>
      <sheetName val="MCS_JUNHO21"/>
      <sheetName val="2_-_BUILD_UP_-_Abr_(2)21"/>
      <sheetName val="Bdados"/>
      <sheetName val="Folha7"/>
      <sheetName val="Totais"/>
      <sheetName val="Tipificação"/>
      <sheetName val="CP - Sintético"/>
      <sheetName val="Planos_de_ação1"/>
      <sheetName val="2_-_BUILD_UP_-_Julho1"/>
      <sheetName val="MCS_JULHO1"/>
      <sheetName val="Gerrot GAPPG"/>
      <sheetName val="Acidentes CPT e SPT - SUPV."/>
      <sheetName val="Ocorrências Ferroviárias-SUPV."/>
      <sheetName val="Custeio Fixo - SUPV."/>
      <sheetName val="Pessoal - SUPV."/>
      <sheetName val="estgg"/>
      <sheetName val="GDP"/>
      <sheetName val="Gerrot_GAPPG"/>
      <sheetName val="Acidentes_CPT_e_SPT_-_SUPV_"/>
      <sheetName val="Ocorrências_Ferroviárias-SUPV_"/>
      <sheetName val="Custeio_Fixo_-_SUPV_"/>
      <sheetName val="Pessoal_-_SUPV_"/>
      <sheetName val="CPT"/>
      <sheetName val="Ciclo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Just Nat 57 B"/>
      <sheetName val="G90BAOP1"/>
      <sheetName val="DESP_OPERAC"/>
      <sheetName val="Solicitação Gestão"/>
      <sheetName val="JUST NAT 52"/>
      <sheetName val="Adm97"/>
      <sheetName val="CUSTO LARANJEIRAS"/>
      <sheetName val="LEG"/>
      <sheetName val="PAN_3s"/>
      <sheetName val="pitch"/>
      <sheetName val="Trens-Corredor"/>
      <sheetName val="PREMISSAS"/>
      <sheetName val="app a, 10b"/>
      <sheetName val="Bunker"/>
      <sheetName val="VP1 Corinto"/>
      <sheetName val="Consol"/>
      <sheetName val="Tabela"/>
      <sheetName val="Distritos_2001"/>
      <sheetName val="sispecabr99"/>
      <sheetName val="Plan2 (2)"/>
      <sheetName val="Ano2001"/>
      <sheetName val="TC IN"/>
      <sheetName val="GAVNG -EPI"/>
      <sheetName val="invest."/>
      <sheetName val=" PIPEWORK 1  "/>
      <sheetName val="Insumos_e_Produtos"/>
      <sheetName val="Itens_de_Controle_-_Nice"/>
      <sheetName val="PA_-_Receita_Líquida_Guseiros"/>
      <sheetName val="PA_-_Gusa_Norte_(2)"/>
      <sheetName val="Inputs"/>
      <sheetName val="Anomalia Acao"/>
      <sheetName val="EXEC"/>
      <sheetName val="Base "/>
      <sheetName val="MatrizDILN"/>
      <sheetName val="MatrizDILN (2)"/>
      <sheetName val="Orc_Full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MUTUAL FUND SALES BY QTR"/>
      <sheetName val="ISS VOL MUTUAL FUND SALES"/>
      <sheetName val="Graficos acumulados totalizados"/>
      <sheetName val="Graficos áreas"/>
      <sheetName val="Base_"/>
      <sheetName val="Indice Precos Mes"/>
      <sheetName val="Seleção Projetos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BASE"/>
      <sheetName val="Valid353"/>
      <sheetName val="Misc. data"/>
      <sheetName val="SSevero_T"/>
      <sheetName val="Revisado"/>
      <sheetName val="Decretos_PIS-COFINS"/>
      <sheetName val="Summary"/>
      <sheetName val="Ref Numbers"/>
      <sheetName val="Dados-Cadam"/>
      <sheetName val="Mes"/>
      <sheetName val="De_Para"/>
      <sheetName val="Previsão de Vagões"/>
      <sheetName val="Espera"/>
      <sheetName val="Saldos"/>
      <sheetName val="Armazéns"/>
      <sheetName val="DIFL"/>
      <sheetName val="DIFN"/>
      <sheetName val="DIFS"/>
      <sheetName val="DIPE"/>
      <sheetName val="FGC"/>
      <sheetName val="Ligas"/>
      <sheetName val="Mn"/>
      <sheetName val="1.Pgm"/>
      <sheetName val="BANCO DE DADOS_ESTRUTURA"/>
      <sheetName val="CLAS"/>
      <sheetName val="PREVISÃO"/>
      <sheetName val="Price List"/>
      <sheetName val="Variaveis"/>
      <sheetName val="Navios"/>
      <sheetName val="Histograma - Detalhe"/>
      <sheetName val="METRICAS GVA"/>
      <sheetName val="Descritivo Fraturas Centro"/>
      <sheetName val="PORTOS"/>
      <sheetName val="Histograma_-_Detalhe"/>
      <sheetName val="Apoio Validação"/>
      <sheetName val="Apoio Etapa 6 - Viagens"/>
      <sheetName val="Control_Anual"/>
      <sheetName val="AUXILIAR"/>
      <sheetName val="automazione"/>
      <sheetName val="FCD MFe"/>
      <sheetName val="FCM"/>
      <sheetName val="FCY"/>
      <sheetName val="EBT"/>
      <sheetName val="FCD_MFe"/>
      <sheetName val="Edison Correia"/>
      <sheetName val="FCD_MFe1"/>
      <sheetName val="Input"/>
      <sheetName val="Variáveis"/>
      <sheetName val="Hoja1"/>
      <sheetName val="Volumes"/>
      <sheetName val="MH Installations"/>
      <sheetName val="FU"/>
      <sheetName val="MOTIVO"/>
      <sheetName val="henfel"/>
      <sheetName val="ACOPL ENG"/>
      <sheetName val="Voith"/>
      <sheetName val="Assumptions"/>
      <sheetName val="variables"/>
      <sheetName val="Sources_Uses"/>
      <sheetName val="Caract. Contratos - Dez-00"/>
      <sheetName val="Indexes"/>
      <sheetName val="k"/>
      <sheetName val="Just Nat 51"/>
      <sheetName val="Just_Nat_57_B"/>
      <sheetName val="Controle Comp."/>
      <sheetName val="Manning"/>
      <sheetName val="MatrizDILN_(2)"/>
      <sheetName val="FEVEREIRO - DORM-LARGA"/>
      <sheetName val="Macro6"/>
      <sheetName val="Codes"/>
      <sheetName val="Progresso Econômica Projeto"/>
      <sheetName val="CONTRATO W"/>
      <sheetName val="MUG"/>
      <sheetName val="Names"/>
      <sheetName val="JLLE"/>
      <sheetName val="Tab. GConta NOP"/>
      <sheetName val="Tab. GConta OP"/>
      <sheetName val="Tab. GConta OP (2)"/>
      <sheetName val="Números da Oficina"/>
      <sheetName val="Consolidada"/>
      <sheetName val="Mem3138"/>
      <sheetName val="Tab__GConta_NOP"/>
      <sheetName val="Tab__GConta_OP"/>
      <sheetName val="Tab__GConta_OP_(2)"/>
      <sheetName val="Números_da_Oficina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Lente_-_dipd"/>
      <sheetName val="Lente_VALE"/>
      <sheetName val="Memória"/>
      <sheetName val="Plan2_(2)1"/>
      <sheetName val="Lente_-_dipd1"/>
      <sheetName val="Lente_VALE1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PERF"/>
      <sheetName val="ResMina"/>
      <sheetName val="DTOs Tração"/>
      <sheetName val="Logic"/>
      <sheetName val="Pivot"/>
      <sheetName val="FCE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Consolidado"/>
      <sheetName val="4"/>
      <sheetName val="5.4"/>
      <sheetName val="Corredor"/>
      <sheetName val="QG"/>
      <sheetName val="CAPACIDADES"/>
      <sheetName val="Tab01"/>
      <sheetName val="Máscara"/>
      <sheetName val="Saída"/>
      <sheetName val="Resultado da Simulação D+1"/>
      <sheetName val="Lista"/>
      <sheetName val="INFO"/>
      <sheetName val="QLP"/>
      <sheetName val="Viabilidade Econômica"/>
      <sheetName val="Operações de Swap"/>
      <sheetName val="Download"/>
      <sheetName val="Seleção_Projetos"/>
      <sheetName val="Curve"/>
      <sheetName val="Banco de dados"/>
      <sheetName val="JAN"/>
      <sheetName val="Seleção_Projetos1"/>
      <sheetName val="Resultado_da_Simulação_D+1"/>
      <sheetName val="Viabilidade_Econômica"/>
      <sheetName val="Exch_Rate"/>
      <sheetName val="VALIDAÇÃO"/>
      <sheetName val="V&amp;V-TDDI-21040"/>
      <sheetName val="V&amp;V-PS-SCMT-21040"/>
      <sheetName val="COMP_ROLO"/>
      <sheetName val="Financials USD$"/>
      <sheetName val="Desembolso Financeiro"/>
      <sheetName val="Planos_de_ação2"/>
      <sheetName val="2_-_BUILD_UP_-_Julho2"/>
      <sheetName val="MCS_JULHO2"/>
      <sheetName val="CP_-_Sintético"/>
      <sheetName val="Gerrot_GAPPG2"/>
      <sheetName val="Acidentes_CPT_e_SPT_-_SUPV_2"/>
      <sheetName val="Ocorrências_Ferroviárias-SUPV_2"/>
      <sheetName val="Custeio_Fixo_-_SUPV_2"/>
      <sheetName val="Pessoal_-_SUPV_2"/>
      <sheetName val="Conhecendo_a_composição_M11"/>
      <sheetName val="Insumos_e_Produtos1"/>
      <sheetName val="Itens_de_Controle_-_Nice1"/>
      <sheetName val="PA_-_Receita_Líquida_Guseiros1"/>
      <sheetName val="PA_-_Gusa_Norte_(2)1"/>
      <sheetName val="Just_Nat_57_B1"/>
      <sheetName val="Solicitação_Gestão"/>
      <sheetName val="JUST_NAT_52"/>
      <sheetName val="CUSTO_LARANJEIRAS"/>
      <sheetName val="app_a,_10b"/>
      <sheetName val="VP1_Corinto"/>
      <sheetName val="Plan2_(2)2"/>
      <sheetName val="TC_IN1"/>
      <sheetName val="GAVNG_-EPI"/>
      <sheetName val="invest_"/>
      <sheetName val="_PIPEWORK_1__"/>
      <sheetName val="Anomalia_Acao"/>
      <sheetName val="Base_2"/>
      <sheetName val="MatrizDILN_(2)1"/>
      <sheetName val="MUTUAL_FUND_SALES_BY_QTR1"/>
      <sheetName val="ISS_VOL_MUTUAL_FUND_SALES1"/>
      <sheetName val="Graficos_acumulados_totalizado1"/>
      <sheetName val="Graficos_áreas1"/>
      <sheetName val="Indice_Precos_Mes"/>
      <sheetName val="Seleção_Projetos2"/>
      <sheetName val="Misc__data"/>
      <sheetName val="Ref_Numbers"/>
      <sheetName val="Previsão_de_Vagões"/>
      <sheetName val="1_Pgm"/>
      <sheetName val="BANCO_DE_DADOS_ESTRUTURA"/>
      <sheetName val="Price_List"/>
      <sheetName val="Histograma_-_Detalhe1"/>
      <sheetName val="METRICAS_GVA"/>
      <sheetName val="Descritivo_Fraturas_Centro"/>
      <sheetName val="Apoio_Validação"/>
      <sheetName val="Apoio_Etapa_6_-_Viagens"/>
      <sheetName val="FCD_MFe2"/>
      <sheetName val="Edison_Correia"/>
      <sheetName val="MH_Installations"/>
      <sheetName val="ACOPL_ENG"/>
      <sheetName val="Caract__Contratos_-_Dez-00"/>
      <sheetName val="Just_Nat_51"/>
      <sheetName val="Controle_Comp_"/>
      <sheetName val="FEVEREIRO_-_DORM-LARGA"/>
      <sheetName val="Progresso_Econômica_Projeto"/>
      <sheetName val="CONTRATO_W"/>
      <sheetName val="Tab__GConta_NOP1"/>
      <sheetName val="Tab__GConta_OP1"/>
      <sheetName val="Tab__GConta_OP_(2)1"/>
      <sheetName val="Números_da_Oficina1"/>
      <sheetName val="Lente_-_dipd2"/>
      <sheetName val="Lente_VALE2"/>
      <sheetName val="Premissas_Preenchimento_BAY1"/>
      <sheetName val="Avanço_Físico_IOI_BAY1"/>
      <sheetName val="Avanço_Econômico_IOI_BAY1"/>
      <sheetName val="Ad__Proj__Financ_IEF_BAY1"/>
      <sheetName val="Baseline_Físico_BAY1"/>
      <sheetName val="Baseline_Econômico_BAY1"/>
      <sheetName val="Milestones_BAY1"/>
      <sheetName val="Licencas_Bayovar1"/>
      <sheetName val="FAIXAS_-_META_VALE_BAYOVAR1"/>
      <sheetName val="Milestones_PRC1"/>
      <sheetName val="Premissas_Preenchimento_CLN1"/>
      <sheetName val="Avanço_Físico_IOI_CLN1"/>
      <sheetName val="Avanço_Econômico_IOI_CLN1"/>
      <sheetName val="Ad__Proj__Financ_IEF_CLN1"/>
      <sheetName val="Baseline_Físico_CLN1"/>
      <sheetName val="Baseline_Econômico_CLN1"/>
      <sheetName val="Milestones_CLN1"/>
      <sheetName val="FAIXAS_-_CALCULADORA_CLN_1"/>
      <sheetName val="DB_do_TST"/>
      <sheetName val="DTOs_Tração"/>
      <sheetName val="5_4"/>
      <sheetName val="Resultado_da_Simulação_D+11"/>
      <sheetName val="Viabilidade_Econômica1"/>
      <sheetName val="Operações_de_Swap"/>
      <sheetName val="Banco_de_dados"/>
      <sheetName val="Financials_USD$"/>
      <sheetName val="Desembolso_Financeiro"/>
      <sheetName val="Controle_De_Inpeções30"/>
      <sheetName val="Controle_De_Inpeções_(2)30"/>
      <sheetName val="Controle_De_Inpeções_(3)30"/>
      <sheetName val="Imob_frota_GAVAG_30"/>
      <sheetName val="grafico-CARGA_GERAL30"/>
      <sheetName val="Restrições_de_Velocidade30"/>
      <sheetName val="Ultra_som_-_200730"/>
      <sheetName val="Trem_Hora_Parado30"/>
      <sheetName val="Ocorrências_Ferroviárias30"/>
      <sheetName val="Aprovisionamento_de_Materiais30"/>
      <sheetName val="Grafico_Geral_Orçamento30"/>
      <sheetName val="Check_List-_Gerrot30"/>
      <sheetName val="EAP_rev_0027"/>
      <sheetName val="CC_42427"/>
      <sheetName val="NÃO_CRÍTICOS27"/>
      <sheetName val="CONSOLIDADO_GAENY27"/>
      <sheetName val="ORÇADO_-_CONF__GIC27"/>
      <sheetName val="ALEXANDRE_-_NÃO_CRÍTICOS27"/>
      <sheetName val="LEONARDO__-_CRÍTICOS27"/>
      <sheetName val="LEONARDO__-_NÃO_CRÍTICOS27"/>
      <sheetName val="PAULO_-_CRÍTICOS27"/>
      <sheetName val="PAULO_-_NÃO_CRÍTICOS27"/>
      <sheetName val="Gestão_Econômica27"/>
      <sheetName val="INFO_27"/>
      <sheetName val="Evolução_Etapas_Cal_Mag26"/>
      <sheetName val="Evolução_Etapas_Cromo26"/>
      <sheetName val="Grupo_x_Justif26"/>
      <sheetName val="Disp_2005_FCA26"/>
      <sheetName val="Resumo_EFVM26"/>
      <sheetName val="thp_26"/>
      <sheetName val="Consolida_Investimento26"/>
      <sheetName val="consolidado_preventivas26"/>
      <sheetName val="Vg__Inventariados-dados26"/>
      <sheetName val="p_ação_3G_UT25"/>
      <sheetName val="p_ação_3G_UT_(2)25"/>
      <sheetName val="Painel_de_controle25"/>
      <sheetName val="MKBF_MI25"/>
      <sheetName val="MKBF_CG25"/>
      <sheetName val="Nº_de_Falhas_MI25"/>
      <sheetName val="Nº_de_Falhas_CG25"/>
      <sheetName val="Nº_de_Falhas_PA25"/>
      <sheetName val="Falhas_sup_Freio25"/>
      <sheetName val="Falhas_MI-sist_Freio25"/>
      <sheetName val="Falhas_CG-sist_Freio25"/>
      <sheetName val="Falhas_sup_Vagão25"/>
      <sheetName val="Falhas_MI-sist_Sup25"/>
      <sheetName val="Falhas_CG_-sist_Sup25"/>
      <sheetName val="Falhas_sup_CG25"/>
      <sheetName val="Falhas_sup_Rodeiro-MI_CG_PA25"/>
      <sheetName val="Falhas_CG-sist_Rodeiro25"/>
      <sheetName val="Falhas_MI-sist_Rodeiro25"/>
      <sheetName val="Falhas_PA-sist_Rodeiro25"/>
      <sheetName val="Falhas_sup_T&amp;T25"/>
      <sheetName val="Falhas_TT-MI25"/>
      <sheetName val="Falhas_TT-CG25"/>
      <sheetName val="Falhas_MI-sist_Truque25"/>
      <sheetName val="Falhas_CG-sist_Truque25"/>
      <sheetName val="Falhas_MI-sist_Tração25"/>
      <sheetName val="Falhas_CG-sist_Tração25"/>
      <sheetName val="POR_DIRETORIA25"/>
      <sheetName val="ROS_VV25"/>
      <sheetName val="Cronograma_de_Reuniões_LICL25"/>
      <sheetName val="Cronograma_de_Reuniões_LEFEL25"/>
      <sheetName val="Pauta_C_Geral_Ferrovia25"/>
      <sheetName val="Agenda_Logistica_201225"/>
      <sheetName val="Cashflow_(na)25"/>
      <sheetName val="Análise_Certificação_25"/>
      <sheetName val="bdados_200525"/>
      <sheetName val="AR_Signature_Page25"/>
      <sheetName val="Check_List25"/>
      <sheetName val="HISTORICO_DEF_X_REB25"/>
      <sheetName val="PAINEL_DE_FALHAS25"/>
      <sheetName val="_INDICADORES_FINANCEIROS25"/>
      <sheetName val="RECEITA_BRUTA25"/>
      <sheetName val="_COMPOSIÇÃO_DO_CPV_25"/>
      <sheetName val="_INDICADORES_DE_ENDIVIDAMENTO25"/>
      <sheetName val="MINERAIS_FERROSOS25"/>
      <sheetName val="BULK_MATERIALS25"/>
      <sheetName val="MINERAIS_NÃO_FERROSOS25"/>
      <sheetName val="DEMONSTRAÇÃO_DE_RESULTADO25"/>
      <sheetName val="_DESPESAS_FINANCEIRAS25"/>
      <sheetName val="_RESULTADO_DE_P__SOCIETÁRIAS25"/>
      <sheetName val="_BALANÇO_PATRIMONIAL25"/>
      <sheetName val="_FLUXO_DE_CAIXA25"/>
      <sheetName val="_VOLUME_outros25"/>
      <sheetName val="PRECOS_MEDIOS25"/>
      <sheetName val="Margens_Operacionais25"/>
      <sheetName val="Itens_de_controle25"/>
      <sheetName val="Check_Farol25"/>
      <sheetName val="Pessoal_CVRD25"/>
      <sheetName val="Composição_2011_Máx__Rev_225"/>
      <sheetName val="Demanda_de_inspeção25"/>
      <sheetName val="Composição_2011_Máx__Rev_325"/>
      <sheetName val="JAN_P2225"/>
      <sheetName val="JAN_P2125"/>
      <sheetName val="MELHORIAS_E_OPÇÕES25"/>
      <sheetName val="CVRDMenu_xls25"/>
      <sheetName val="Desenvolvimento_Ferroviário25"/>
      <sheetName val="Eng__Via_Permanente25"/>
      <sheetName val="Eng__Material_Rodante25"/>
      <sheetName val="Eng__Eletro_e_Operações25"/>
      <sheetName val="Resumo_Desenvolvimento25"/>
      <sheetName val="Resumo_VP25"/>
      <sheetName val="Resumo_Mat_Rodante25"/>
      <sheetName val="Resumo_Eletro25"/>
      <sheetName val="Usiminas_25"/>
      <sheetName val="CA_540925"/>
      <sheetName val="Simulador_OEE_sem_911_Nov_Dez25"/>
      <sheetName val="Plano_de_Ação_OMR_(2)23"/>
      <sheetName val="Plano_de_Ação_OMTT_(2)23"/>
      <sheetName val="O_indicador23"/>
      <sheetName val="Matriz_de_priorização_GUT23"/>
      <sheetName val="1_-_Resultados23"/>
      <sheetName val="MCS_FEV23"/>
      <sheetName val="MCS_AGO23"/>
      <sheetName val="BUILD_UP_-_Jan23"/>
      <sheetName val="PA_Est__Minimo23"/>
      <sheetName val="Identificação_do_Problema23"/>
      <sheetName val="Observação_do_Problema23"/>
      <sheetName val="Diagrama_de_Causa_e_Efeito_Ro23"/>
      <sheetName val="Técnica_dos_Por_Ques_Rode23"/>
      <sheetName val="Diagrama_de_Causa_e_Efeito_Tr36"/>
      <sheetName val="Diagrama_de_Causa_e_Efeito_Tr37"/>
      <sheetName val="Teste_porquês_truq_23"/>
      <sheetName val="Teste_porquês_Rod23"/>
      <sheetName val="Teste_porquês_Traç23"/>
      <sheetName val="Observação_do_Problema_(2)23"/>
      <sheetName val="Diagrama_de_Causa_e_Efeito__(32"/>
      <sheetName val="BUILD_UP_COMP_23"/>
      <sheetName val="2_-_BUILD_UP_-_Maio23"/>
      <sheetName val="MCS_MAR23"/>
      <sheetName val="MCS_ABRIL23"/>
      <sheetName val="MCS_ACUMULADO23"/>
      <sheetName val="MCS_MAIO23"/>
      <sheetName val="Plano_de_Ação_OMR23"/>
      <sheetName val="BD_Grafico23"/>
      <sheetName val="Produção_de_Março_-_OMR23"/>
      <sheetName val="Fila_de_Rodeiros23"/>
      <sheetName val="Usinados_Montagem23"/>
      <sheetName val="Perfil_de_Entrada_de_rodeiros23"/>
      <sheetName val="Análise_Extra23"/>
      <sheetName val="Plano_de_Ação_OMTT23"/>
      <sheetName val="3_-_PARETOS23"/>
      <sheetName val="MCS_JUNHO23"/>
      <sheetName val="2_-_BUILD_UP_-_Abr_(2)23"/>
      <sheetName val="Planos_de_ação3"/>
      <sheetName val="Build-up_US$_(2010)23"/>
      <sheetName val="Curva_23"/>
      <sheetName val="Painel_Engenharia_R$23"/>
      <sheetName val="Resumo_do_Painel23"/>
      <sheetName val="Resumo_IOI23"/>
      <sheetName val="Quadro_IOI_201423"/>
      <sheetName val="Curva_Baseline_201423"/>
      <sheetName val="Capex_Eco23"/>
      <sheetName val="Capex_Fin23"/>
      <sheetName val="Curva_Eco_Investimento23"/>
      <sheetName val="Curva_Fin_Investimento23"/>
      <sheetName val="Curva_Despesa23"/>
      <sheetName val="Ferrovia_Análise_Tendência23"/>
      <sheetName val="Dinâm_IOI_fabio23"/>
      <sheetName val="CONTRATOS_EEFC23"/>
      <sheetName val="ANALISE_EXC__MÊS23"/>
      <sheetName val="RESUMO_DESAFIO23"/>
      <sheetName val="2011_Curvas_Fin23"/>
      <sheetName val="Saldos_PA's23"/>
      <sheetName val="2012_Curvas_Fin_(R$)23"/>
      <sheetName val="Ramal_(temp)23"/>
      <sheetName val="Ramal_-_Pacotes23"/>
      <sheetName val="Linhas__Ramais23"/>
      <sheetName val="Owner_Costs23"/>
      <sheetName val="Desembolso_R$23"/>
      <sheetName val="Controle_Pagamentos23"/>
      <sheetName val="CONTRATOS_TFPM23"/>
      <sheetName val="2_-_BUILD_UP_-_Julho3"/>
      <sheetName val="MCS_JULHO3"/>
      <sheetName val="Rateio_Eco_-_Fin_-_Fis1"/>
      <sheetName val="EST__CAPEX_eco_fin1"/>
      <sheetName val="Cálculo_Reajuste1"/>
      <sheetName val="Estrutura_SAP1"/>
      <sheetName val="Principais_Contratos1"/>
      <sheetName val="PA_e_TAREFA1"/>
      <sheetName val="CP_-_Sintético1"/>
      <sheetName val="Gerrot_GAPPG3"/>
      <sheetName val="Acidentes_CPT_e_SPT_-_SUPV_3"/>
      <sheetName val="Ocorrências_Ferroviárias-SUPV_3"/>
      <sheetName val="Custeio_Fixo_-_SUPV_3"/>
      <sheetName val="Pessoal_-_SUPV_3"/>
      <sheetName val="Conhecendo_a_composição_M12"/>
      <sheetName val="Insumos_e_Produtos2"/>
      <sheetName val="Itens_de_Controle_-_Nice2"/>
      <sheetName val="PA_-_Receita_Líquida_Guseiros2"/>
      <sheetName val="PA_-_Gusa_Norte_(2)2"/>
      <sheetName val="Just_Nat_57_B2"/>
      <sheetName val="Solicitação_Gestão1"/>
      <sheetName val="JUST_NAT_521"/>
      <sheetName val="CUSTO_LARANJEIRAS1"/>
      <sheetName val="app_a,_10b1"/>
      <sheetName val="VP1_Corinto1"/>
      <sheetName val="Plan2_(2)3"/>
      <sheetName val="TC_IN2"/>
      <sheetName val="GAVNG_-EPI1"/>
      <sheetName val="invest_1"/>
      <sheetName val="_PIPEWORK_1__1"/>
      <sheetName val="Anomalia_Acao1"/>
      <sheetName val="Base_3"/>
      <sheetName val="MatrizDILN_(2)2"/>
      <sheetName val="Parâmetros_Caso_Base1"/>
      <sheetName val="BASE_DE_DADOS1"/>
      <sheetName val="MUTUAL_FUND_SALES_BY_QTR2"/>
      <sheetName val="ISS_VOL_MUTUAL_FUND_SALES2"/>
      <sheetName val="Graficos_acumulados_totalizado2"/>
      <sheetName val="Graficos_áreas2"/>
      <sheetName val="Indice_Precos_Mes1"/>
      <sheetName val="Seleção_Projetos3"/>
      <sheetName val="Misc__data1"/>
      <sheetName val="Ref_Numbers1"/>
      <sheetName val="Previsão_de_Vagões1"/>
      <sheetName val="1_Pgm1"/>
      <sheetName val="BANCO_DE_DADOS_ESTRUTURA1"/>
      <sheetName val="Price_List1"/>
      <sheetName val="Histograma_-_Detalhe2"/>
      <sheetName val="METRICAS_GVA1"/>
      <sheetName val="Descritivo_Fraturas_Centro1"/>
      <sheetName val="Apoio_Validação1"/>
      <sheetName val="Apoio_Etapa_6_-_Viagens1"/>
      <sheetName val="FCD_MFe3"/>
      <sheetName val="Edison_Correia1"/>
      <sheetName val="MH_Installations1"/>
      <sheetName val="ACOPL_ENG1"/>
      <sheetName val="Caract__Contratos_-_Dez-001"/>
      <sheetName val="Just_Nat_511"/>
      <sheetName val="Controle_Comp_1"/>
      <sheetName val="FEVEREIRO_-_DORM-LARGA1"/>
      <sheetName val="Progresso_Econômica_Projeto1"/>
      <sheetName val="CONTRATO_W1"/>
      <sheetName val="Tab__GConta_NOP2"/>
      <sheetName val="Tab__GConta_OP2"/>
      <sheetName val="Tab__GConta_OP_(2)2"/>
      <sheetName val="Números_da_Oficina2"/>
      <sheetName val="Lente_-_dipd3"/>
      <sheetName val="Lente_VALE3"/>
      <sheetName val="Premissas_Preenchimento_BAY2"/>
      <sheetName val="Avanço_Físico_IOI_BAY2"/>
      <sheetName val="Avanço_Econômico_IOI_BAY2"/>
      <sheetName val="Ad__Proj__Financ_IEF_BAY2"/>
      <sheetName val="Baseline_Físico_BAY2"/>
      <sheetName val="Baseline_Econômico_BAY2"/>
      <sheetName val="Milestones_BAY2"/>
      <sheetName val="Licencas_Bayovar2"/>
      <sheetName val="FAIXAS_-_META_VALE_BAYOVAR2"/>
      <sheetName val="Milestones_PRC2"/>
      <sheetName val="Premissas_Preenchimento_CLN2"/>
      <sheetName val="Avanço_Físico_IOI_CLN2"/>
      <sheetName val="Avanço_Econômico_IOI_CLN2"/>
      <sheetName val="Ad__Proj__Financ_IEF_CLN2"/>
      <sheetName val="Baseline_Físico_CLN2"/>
      <sheetName val="Baseline_Econômico_CLN2"/>
      <sheetName val="Milestones_CLN2"/>
      <sheetName val="FAIXAS_-_CALCULADORA_CLN_2"/>
      <sheetName val="DB_do_TST1"/>
      <sheetName val="DTOs_Tração1"/>
      <sheetName val="5_41"/>
      <sheetName val="Resultado_da_Simulação_D+12"/>
      <sheetName val="Viabilidade_Econômica2"/>
      <sheetName val="Operações_de_Swap1"/>
      <sheetName val="Banco_de_dados1"/>
      <sheetName val="Financials_USD$1"/>
      <sheetName val="Desembolso_Financeiro1"/>
      <sheetName val="Produção_1"/>
      <sheetName val="Diagrama_de_Causa_e_Efeito"/>
      <sheetName val="Causa_e_Medida"/>
      <sheetName val="Plano_de_Ação"/>
      <sheetName val="Controle_De_Inpeções32"/>
      <sheetName val="Controle_De_Inpeções_(2)32"/>
      <sheetName val="Controle_De_Inpeções_(3)32"/>
      <sheetName val="Imob_frota_GAVAG_32"/>
      <sheetName val="grafico-CARGA_GERAL32"/>
      <sheetName val="Restrições_de_Velocidade32"/>
      <sheetName val="Ultra_som_-_200732"/>
      <sheetName val="Trem_Hora_Parado32"/>
      <sheetName val="Ocorrências_Ferroviárias32"/>
      <sheetName val="Aprovisionamento_de_Materiais32"/>
      <sheetName val="Grafico_Geral_Orçamento32"/>
      <sheetName val="Check_List-_Gerrot32"/>
      <sheetName val="EAP_rev_0029"/>
      <sheetName val="CC_42429"/>
      <sheetName val="NÃO_CRÍTICOS29"/>
      <sheetName val="CONSOLIDADO_GAENY29"/>
      <sheetName val="ORÇADO_-_CONF__GIC29"/>
      <sheetName val="ALEXANDRE_-_NÃO_CRÍTICOS29"/>
      <sheetName val="LEONARDO__-_CRÍTICOS29"/>
      <sheetName val="LEONARDO__-_NÃO_CRÍTICOS29"/>
      <sheetName val="PAULO_-_CRÍTICOS29"/>
      <sheetName val="PAULO_-_NÃO_CRÍTICOS29"/>
      <sheetName val="Gestão_Econômica29"/>
      <sheetName val="INFO_29"/>
      <sheetName val="Evolução_Etapas_Cal_Mag28"/>
      <sheetName val="Evolução_Etapas_Cromo28"/>
      <sheetName val="Grupo_x_Justif28"/>
      <sheetName val="Disp_2005_FCA28"/>
      <sheetName val="Resumo_EFVM28"/>
      <sheetName val="thp_28"/>
      <sheetName val="Consolida_Investimento28"/>
      <sheetName val="consolidado_preventivas28"/>
      <sheetName val="Vg__Inventariados-dados28"/>
      <sheetName val="p_ação_3G_UT27"/>
      <sheetName val="p_ação_3G_UT_(2)27"/>
      <sheetName val="Painel_de_controle27"/>
      <sheetName val="MKBF_MI27"/>
      <sheetName val="MKBF_CG27"/>
      <sheetName val="Nº_de_Falhas_MI27"/>
      <sheetName val="Nº_de_Falhas_CG27"/>
      <sheetName val="Nº_de_Falhas_PA27"/>
      <sheetName val="Falhas_sup_Freio27"/>
      <sheetName val="Falhas_MI-sist_Freio27"/>
      <sheetName val="Falhas_CG-sist_Freio27"/>
      <sheetName val="Falhas_sup_Vagão27"/>
      <sheetName val="Falhas_MI-sist_Sup27"/>
      <sheetName val="Falhas_CG_-sist_Sup27"/>
      <sheetName val="Falhas_sup_CG27"/>
      <sheetName val="Falhas_sup_Rodeiro-MI_CG_PA27"/>
      <sheetName val="Falhas_CG-sist_Rodeiro27"/>
      <sheetName val="Falhas_MI-sist_Rodeiro27"/>
      <sheetName val="Falhas_PA-sist_Rodeiro27"/>
      <sheetName val="Falhas_sup_T&amp;T27"/>
      <sheetName val="Falhas_TT-MI27"/>
      <sheetName val="Falhas_TT-CG27"/>
      <sheetName val="Falhas_MI-sist_Truque27"/>
      <sheetName val="Falhas_CG-sist_Truque27"/>
      <sheetName val="Falhas_MI-sist_Tração27"/>
      <sheetName val="Falhas_CG-sist_Tração27"/>
      <sheetName val="POR_DIRETORIA27"/>
      <sheetName val="ROS_VV27"/>
      <sheetName val="Cronograma_de_Reuniões_LICL27"/>
      <sheetName val="Cronograma_de_Reuniões_LEFEL27"/>
      <sheetName val="Pauta_C_Geral_Ferrovia27"/>
      <sheetName val="Agenda_Logistica_201227"/>
      <sheetName val="Cashflow_(na)27"/>
      <sheetName val="Análise_Certificação_27"/>
      <sheetName val="bdados_200527"/>
      <sheetName val="AR_Signature_Page27"/>
      <sheetName val="Check_List27"/>
      <sheetName val="HISTORICO_DEF_X_REB27"/>
      <sheetName val="PAINEL_DE_FALHAS27"/>
      <sheetName val="_INDICADORES_FINANCEIROS27"/>
      <sheetName val="RECEITA_BRUTA27"/>
      <sheetName val="_COMPOSIÇÃO_DO_CPV_27"/>
      <sheetName val="_INDICADORES_DE_ENDIVIDAMENTO27"/>
      <sheetName val="MINERAIS_FERROSOS27"/>
      <sheetName val="BULK_MATERIALS27"/>
      <sheetName val="MINERAIS_NÃO_FERROSOS27"/>
      <sheetName val="DEMONSTRAÇÃO_DE_RESULTADO27"/>
      <sheetName val="_DESPESAS_FINANCEIRAS27"/>
      <sheetName val="_RESULTADO_DE_P__SOCIETÁRIAS27"/>
      <sheetName val="_BALANÇO_PATRIMONIAL27"/>
      <sheetName val="_FLUXO_DE_CAIXA27"/>
      <sheetName val="_VOLUME_outros27"/>
      <sheetName val="PRECOS_MEDIOS27"/>
      <sheetName val="Margens_Operacionais27"/>
      <sheetName val="Itens_de_controle27"/>
      <sheetName val="Check_Farol27"/>
      <sheetName val="Pessoal_CVRD27"/>
      <sheetName val="Composição_2011_Máx__Rev_227"/>
      <sheetName val="Demanda_de_inspeção27"/>
      <sheetName val="Composição_2011_Máx__Rev_327"/>
      <sheetName val="JAN_P2227"/>
      <sheetName val="JAN_P2127"/>
      <sheetName val="MELHORIAS_E_OPÇÕES27"/>
      <sheetName val="CVRDMenu_xls27"/>
      <sheetName val="Desenvolvimento_Ferroviário27"/>
      <sheetName val="Eng__Via_Permanente27"/>
      <sheetName val="Eng__Material_Rodante27"/>
      <sheetName val="Eng__Eletro_e_Operações27"/>
      <sheetName val="Resumo_Desenvolvimento27"/>
      <sheetName val="Resumo_VP27"/>
      <sheetName val="Resumo_Mat_Rodante27"/>
      <sheetName val="Resumo_Eletro27"/>
      <sheetName val="Usiminas_27"/>
      <sheetName val="CA_540927"/>
      <sheetName val="Simulador_OEE_sem_911_Nov_Dez27"/>
      <sheetName val="Plano_de_Ação_OMR_(2)25"/>
      <sheetName val="Plano_de_Ação_OMTT_(2)25"/>
      <sheetName val="O_indicador25"/>
      <sheetName val="Matriz_de_priorização_GUT25"/>
      <sheetName val="1_-_Resultados25"/>
      <sheetName val="MCS_FEV25"/>
      <sheetName val="MCS_AGO25"/>
      <sheetName val="BUILD_UP_-_Jan25"/>
      <sheetName val="PA_Est__Minimo25"/>
      <sheetName val="Identificação_do_Problema25"/>
      <sheetName val="Observação_do_Problema25"/>
      <sheetName val="Diagrama_de_Causa_e_Efeito_Ro25"/>
      <sheetName val="Técnica_dos_Por_Ques_Rode25"/>
      <sheetName val="Diagrama_de_Causa_e_Efeito_Tr40"/>
      <sheetName val="Diagrama_de_Causa_e_Efeito_Tr41"/>
      <sheetName val="Teste_porquês_truq_25"/>
      <sheetName val="Teste_porquês_Rod25"/>
      <sheetName val="Teste_porquês_Traç25"/>
      <sheetName val="Observação_do_Problema_(2)25"/>
      <sheetName val="Diagrama_de_Causa_e_Efeito__(34"/>
      <sheetName val="BUILD_UP_COMP_25"/>
      <sheetName val="2_-_BUILD_UP_-_Maio25"/>
      <sheetName val="MCS_MAR25"/>
      <sheetName val="MCS_ABRIL25"/>
      <sheetName val="MCS_ACUMULADO25"/>
      <sheetName val="MCS_MAIO25"/>
      <sheetName val="Plano_de_Ação_OMR25"/>
      <sheetName val="BD_Grafico25"/>
      <sheetName val="Produção_de_Março_-_OMR25"/>
      <sheetName val="Fila_de_Rodeiros25"/>
      <sheetName val="Usinados_Montagem25"/>
      <sheetName val="Perfil_de_Entrada_de_rodeiros25"/>
      <sheetName val="Análise_Extra25"/>
      <sheetName val="Plano_de_Ação_OMTT25"/>
      <sheetName val="3_-_PARETOS25"/>
      <sheetName val="MCS_JUNHO25"/>
      <sheetName val="2_-_BUILD_UP_-_Abr_(2)25"/>
      <sheetName val="Planos_de_ação5"/>
      <sheetName val="Build-up_US$_(2010)25"/>
      <sheetName val="Curva_25"/>
      <sheetName val="Painel_Engenharia_R$25"/>
      <sheetName val="Resumo_do_Painel25"/>
      <sheetName val="Resumo_IOI25"/>
      <sheetName val="Quadro_IOI_201425"/>
      <sheetName val="Curva_Baseline_201425"/>
      <sheetName val="Capex_Eco25"/>
      <sheetName val="Capex_Fin25"/>
      <sheetName val="Curva_Eco_Investimento25"/>
      <sheetName val="Curva_Fin_Investimento25"/>
      <sheetName val="Curva_Despesa25"/>
      <sheetName val="Ferrovia_Análise_Tendência25"/>
      <sheetName val="Dinâm_IOI_fabio25"/>
      <sheetName val="CONTRATOS_EEFC25"/>
      <sheetName val="ANALISE_EXC__MÊS25"/>
      <sheetName val="RESUMO_DESAFIO25"/>
      <sheetName val="2011_Curvas_Fin25"/>
      <sheetName val="Saldos_PA's25"/>
      <sheetName val="2012_Curvas_Fin_(R$)25"/>
      <sheetName val="Ramal_(temp)25"/>
      <sheetName val="Ramal_-_Pacotes25"/>
      <sheetName val="Linhas__Ramais25"/>
      <sheetName val="Owner_Costs25"/>
      <sheetName val="Desembolso_R$25"/>
      <sheetName val="Controle_Pagamentos25"/>
      <sheetName val="CONTRATOS_TFPM25"/>
      <sheetName val="2_-_BUILD_UP_-_Julho5"/>
      <sheetName val="MCS_JULHO5"/>
      <sheetName val="Rateio_Eco_-_Fin_-_Fis3"/>
      <sheetName val="EST__CAPEX_eco_fin3"/>
      <sheetName val="Cálculo_Reajuste3"/>
      <sheetName val="Estrutura_SAP3"/>
      <sheetName val="Principais_Contratos3"/>
      <sheetName val="PA_e_TAREFA3"/>
      <sheetName val="CP_-_Sintético3"/>
      <sheetName val="Gerrot_GAPPG5"/>
      <sheetName val="Acidentes_CPT_e_SPT_-_SUPV_5"/>
      <sheetName val="Ocorrências_Ferroviárias-SUPV_5"/>
      <sheetName val="Custeio_Fixo_-_SUPV_5"/>
      <sheetName val="Pessoal_-_SUPV_5"/>
      <sheetName val="Conhecendo_a_composição_M14"/>
      <sheetName val="Insumos_e_Produtos4"/>
      <sheetName val="Itens_de_Controle_-_Nice4"/>
      <sheetName val="PA_-_Receita_Líquida_Guseiros4"/>
      <sheetName val="PA_-_Gusa_Norte_(2)4"/>
      <sheetName val="Just_Nat_57_B4"/>
      <sheetName val="Solicitação_Gestão3"/>
      <sheetName val="JUST_NAT_523"/>
      <sheetName val="CUSTO_LARANJEIRAS3"/>
      <sheetName val="app_a,_10b3"/>
      <sheetName val="VP1_Corinto3"/>
      <sheetName val="Plan2_(2)5"/>
      <sheetName val="TC_IN4"/>
      <sheetName val="GAVNG_-EPI3"/>
      <sheetName val="invest_3"/>
      <sheetName val="_PIPEWORK_1__3"/>
      <sheetName val="Anomalia_Acao3"/>
      <sheetName val="Base_5"/>
      <sheetName val="MatrizDILN_(2)4"/>
      <sheetName val="Parâmetros_Caso_Base3"/>
      <sheetName val="BASE_DE_DADOS3"/>
      <sheetName val="MUTUAL_FUND_SALES_BY_QTR4"/>
      <sheetName val="ISS_VOL_MUTUAL_FUND_SALES4"/>
      <sheetName val="Graficos_acumulados_totalizado4"/>
      <sheetName val="Graficos_áreas4"/>
      <sheetName val="Indice_Precos_Mes3"/>
      <sheetName val="Seleção_Projetos5"/>
      <sheetName val="Misc__data3"/>
      <sheetName val="Ref_Numbers3"/>
      <sheetName val="Previsão_de_Vagões3"/>
      <sheetName val="1_Pgm3"/>
      <sheetName val="BANCO_DE_DADOS_ESTRUTURA3"/>
      <sheetName val="Price_List3"/>
      <sheetName val="Histograma_-_Detalhe4"/>
      <sheetName val="METRICAS_GVA3"/>
      <sheetName val="Descritivo_Fraturas_Centro3"/>
      <sheetName val="Apoio_Validação3"/>
      <sheetName val="Apoio_Etapa_6_-_Viagens3"/>
      <sheetName val="FCD_MFe5"/>
      <sheetName val="Edison_Correia3"/>
      <sheetName val="MH_Installations3"/>
      <sheetName val="ACOPL_ENG3"/>
      <sheetName val="Caract__Contratos_-_Dez-003"/>
      <sheetName val="Just_Nat_513"/>
      <sheetName val="Controle_Comp_3"/>
      <sheetName val="FEVEREIRO_-_DORM-LARGA3"/>
      <sheetName val="Progresso_Econômica_Projeto3"/>
      <sheetName val="CONTRATO_W3"/>
      <sheetName val="Tab__GConta_NOP4"/>
      <sheetName val="Tab__GConta_OP4"/>
      <sheetName val="Tab__GConta_OP_(2)4"/>
      <sheetName val="Números_da_Oficina4"/>
      <sheetName val="Lente_-_dipd5"/>
      <sheetName val="Lente_VALE5"/>
      <sheetName val="Premissas_Preenchimento_BAY4"/>
      <sheetName val="Avanço_Físico_IOI_BAY4"/>
      <sheetName val="Avanço_Econômico_IOI_BAY4"/>
      <sheetName val="Ad__Proj__Financ_IEF_BAY4"/>
      <sheetName val="Baseline_Físico_BAY4"/>
      <sheetName val="Baseline_Econômico_BAY4"/>
      <sheetName val="Milestones_BAY4"/>
      <sheetName val="Licencas_Bayovar4"/>
      <sheetName val="FAIXAS_-_META_VALE_BAYOVAR4"/>
      <sheetName val="Milestones_PRC4"/>
      <sheetName val="Premissas_Preenchimento_CLN4"/>
      <sheetName val="Avanço_Físico_IOI_CLN4"/>
      <sheetName val="Avanço_Econômico_IOI_CLN4"/>
      <sheetName val="Ad__Proj__Financ_IEF_CLN4"/>
      <sheetName val="Baseline_Físico_CLN4"/>
      <sheetName val="Baseline_Econômico_CLN4"/>
      <sheetName val="Milestones_CLN4"/>
      <sheetName val="FAIXAS_-_CALCULADORA_CLN_4"/>
      <sheetName val="DB_do_TST3"/>
      <sheetName val="DTOs_Tração3"/>
      <sheetName val="5_43"/>
      <sheetName val="Resultado_da_Simulação_D+14"/>
      <sheetName val="Viabilidade_Econômica4"/>
      <sheetName val="Operações_de_Swap3"/>
      <sheetName val="Banco_de_dados3"/>
      <sheetName val="Financials_USD$3"/>
      <sheetName val="Desembolso_Financeiro3"/>
      <sheetName val="Produção_3"/>
      <sheetName val="Diagrama_de_Causa_e_Efeito2"/>
      <sheetName val="Causa_e_Medida2"/>
      <sheetName val="Plano_de_Ação2"/>
      <sheetName val="Avanço_%2"/>
      <sheetName val="01_(2)2"/>
      <sheetName val="Controle_De_Inpeções31"/>
      <sheetName val="Controle_De_Inpeções_(2)31"/>
      <sheetName val="Controle_De_Inpeções_(3)31"/>
      <sheetName val="Imob_frota_GAVAG_31"/>
      <sheetName val="grafico-CARGA_GERAL31"/>
      <sheetName val="Restrições_de_Velocidade31"/>
      <sheetName val="Ultra_som_-_200731"/>
      <sheetName val="Trem_Hora_Parado31"/>
      <sheetName val="Ocorrências_Ferroviárias31"/>
      <sheetName val="Aprovisionamento_de_Materiais31"/>
      <sheetName val="Grafico_Geral_Orçamento31"/>
      <sheetName val="Check_List-_Gerrot31"/>
      <sheetName val="EAP_rev_0028"/>
      <sheetName val="CC_42428"/>
      <sheetName val="NÃO_CRÍTICOS28"/>
      <sheetName val="CONSOLIDADO_GAENY28"/>
      <sheetName val="ORÇADO_-_CONF__GIC28"/>
      <sheetName val="ALEXANDRE_-_NÃO_CRÍTICOS28"/>
      <sheetName val="LEONARDO__-_CRÍTICOS28"/>
      <sheetName val="LEONARDO__-_NÃO_CRÍTICOS28"/>
      <sheetName val="PAULO_-_CRÍTICOS28"/>
      <sheetName val="PAULO_-_NÃO_CRÍTICOS28"/>
      <sheetName val="Gestão_Econômica28"/>
      <sheetName val="INFO_28"/>
      <sheetName val="Evolução_Etapas_Cal_Mag27"/>
      <sheetName val="Evolução_Etapas_Cromo27"/>
      <sheetName val="Grupo_x_Justif27"/>
      <sheetName val="Disp_2005_FCA27"/>
      <sheetName val="Resumo_EFVM27"/>
      <sheetName val="thp_27"/>
      <sheetName val="Consolida_Investimento27"/>
      <sheetName val="consolidado_preventivas27"/>
      <sheetName val="Vg__Inventariados-dados27"/>
      <sheetName val="p_ação_3G_UT26"/>
      <sheetName val="p_ação_3G_UT_(2)26"/>
      <sheetName val="Painel_de_controle26"/>
      <sheetName val="MKBF_MI26"/>
      <sheetName val="MKBF_CG26"/>
      <sheetName val="Nº_de_Falhas_MI26"/>
      <sheetName val="Nº_de_Falhas_CG26"/>
      <sheetName val="Nº_de_Falhas_PA26"/>
      <sheetName val="Falhas_sup_Freio26"/>
      <sheetName val="Falhas_MI-sist_Freio26"/>
      <sheetName val="Falhas_CG-sist_Freio26"/>
      <sheetName val="Falhas_sup_Vagão26"/>
      <sheetName val="Falhas_MI-sist_Sup26"/>
      <sheetName val="Falhas_CG_-sist_Sup26"/>
      <sheetName val="Falhas_sup_CG26"/>
      <sheetName val="Falhas_sup_Rodeiro-MI_CG_PA26"/>
      <sheetName val="Falhas_CG-sist_Rodeiro26"/>
      <sheetName val="Falhas_MI-sist_Rodeiro26"/>
      <sheetName val="Falhas_PA-sist_Rodeiro26"/>
      <sheetName val="Falhas_sup_T&amp;T26"/>
      <sheetName val="Falhas_TT-MI26"/>
      <sheetName val="Falhas_TT-CG26"/>
      <sheetName val="Falhas_MI-sist_Truque26"/>
      <sheetName val="Falhas_CG-sist_Truque26"/>
      <sheetName val="Falhas_MI-sist_Tração26"/>
      <sheetName val="Falhas_CG-sist_Tração26"/>
      <sheetName val="POR_DIRETORIA26"/>
      <sheetName val="ROS_VV26"/>
      <sheetName val="Cronograma_de_Reuniões_LICL26"/>
      <sheetName val="Cronograma_de_Reuniões_LEFEL26"/>
      <sheetName val="Pauta_C_Geral_Ferrovia26"/>
      <sheetName val="Agenda_Logistica_201226"/>
      <sheetName val="Cashflow_(na)26"/>
      <sheetName val="Análise_Certificação_26"/>
      <sheetName val="bdados_200526"/>
      <sheetName val="AR_Signature_Page26"/>
      <sheetName val="Check_List26"/>
      <sheetName val="HISTORICO_DEF_X_REB26"/>
      <sheetName val="PAINEL_DE_FALHAS26"/>
      <sheetName val="_INDICADORES_FINANCEIROS26"/>
      <sheetName val="RECEITA_BRUTA26"/>
      <sheetName val="_COMPOSIÇÃO_DO_CPV_26"/>
      <sheetName val="_INDICADORES_DE_ENDIVIDAMENTO26"/>
      <sheetName val="MINERAIS_FERROSOS26"/>
      <sheetName val="BULK_MATERIALS26"/>
      <sheetName val="MINERAIS_NÃO_FERROSOS26"/>
      <sheetName val="DEMONSTRAÇÃO_DE_RESULTADO26"/>
      <sheetName val="_DESPESAS_FINANCEIRAS26"/>
      <sheetName val="_RESULTADO_DE_P__SOCIETÁRIAS26"/>
      <sheetName val="_BALANÇO_PATRIMONIAL26"/>
      <sheetName val="_FLUXO_DE_CAIXA26"/>
      <sheetName val="_VOLUME_outros26"/>
      <sheetName val="PRECOS_MEDIOS26"/>
      <sheetName val="Margens_Operacionais26"/>
      <sheetName val="Itens_de_controle26"/>
      <sheetName val="Check_Farol26"/>
      <sheetName val="Pessoal_CVRD26"/>
      <sheetName val="Composição_2011_Máx__Rev_226"/>
      <sheetName val="Demanda_de_inspeção26"/>
      <sheetName val="Composição_2011_Máx__Rev_326"/>
      <sheetName val="JAN_P2226"/>
      <sheetName val="JAN_P2126"/>
      <sheetName val="MELHORIAS_E_OPÇÕES26"/>
      <sheetName val="CVRDMenu_xls26"/>
      <sheetName val="Desenvolvimento_Ferroviário26"/>
      <sheetName val="Eng__Via_Permanente26"/>
      <sheetName val="Eng__Material_Rodante26"/>
      <sheetName val="Eng__Eletro_e_Operações26"/>
      <sheetName val="Resumo_Desenvolvimento26"/>
      <sheetName val="Resumo_VP26"/>
      <sheetName val="Resumo_Mat_Rodante26"/>
      <sheetName val="Resumo_Eletro26"/>
      <sheetName val="Usiminas_26"/>
      <sheetName val="CA_540926"/>
      <sheetName val="Simulador_OEE_sem_911_Nov_Dez26"/>
      <sheetName val="Plano_de_Ação_OMR_(2)24"/>
      <sheetName val="Plano_de_Ação_OMTT_(2)24"/>
      <sheetName val="O_indicador24"/>
      <sheetName val="Matriz_de_priorização_GUT24"/>
      <sheetName val="1_-_Resultados24"/>
      <sheetName val="MCS_FEV24"/>
      <sheetName val="MCS_AGO24"/>
      <sheetName val="BUILD_UP_-_Jan24"/>
      <sheetName val="PA_Est__Minimo24"/>
      <sheetName val="Identificação_do_Problema24"/>
      <sheetName val="Observação_do_Problema24"/>
      <sheetName val="Diagrama_de_Causa_e_Efeito_Ro24"/>
      <sheetName val="Técnica_dos_Por_Ques_Rode24"/>
      <sheetName val="Diagrama_de_Causa_e_Efeito_Tr38"/>
      <sheetName val="Diagrama_de_Causa_e_Efeito_Tr39"/>
      <sheetName val="Teste_porquês_truq_24"/>
      <sheetName val="Teste_porquês_Rod24"/>
      <sheetName val="Teste_porquês_Traç24"/>
      <sheetName val="Observação_do_Problema_(2)24"/>
      <sheetName val="Diagrama_de_Causa_e_Efeito__(33"/>
      <sheetName val="BUILD_UP_COMP_24"/>
      <sheetName val="2_-_BUILD_UP_-_Maio24"/>
      <sheetName val="MCS_MAR24"/>
      <sheetName val="MCS_ABRIL24"/>
      <sheetName val="MCS_ACUMULADO24"/>
      <sheetName val="MCS_MAIO24"/>
      <sheetName val="Plano_de_Ação_OMR24"/>
      <sheetName val="BD_Grafico24"/>
      <sheetName val="Produção_de_Março_-_OMR24"/>
      <sheetName val="Fila_de_Rodeiros24"/>
      <sheetName val="Usinados_Montagem24"/>
      <sheetName val="Perfil_de_Entrada_de_rodeiros24"/>
      <sheetName val="Análise_Extra24"/>
      <sheetName val="Plano_de_Ação_OMTT24"/>
      <sheetName val="3_-_PARETOS24"/>
      <sheetName val="MCS_JUNHO24"/>
      <sheetName val="2_-_BUILD_UP_-_Abr_(2)24"/>
      <sheetName val="Planos_de_ação4"/>
      <sheetName val="Build-up_US$_(2010)24"/>
      <sheetName val="Curva_24"/>
      <sheetName val="Painel_Engenharia_R$24"/>
      <sheetName val="Resumo_do_Painel24"/>
      <sheetName val="Resumo_IOI24"/>
      <sheetName val="Quadro_IOI_201424"/>
      <sheetName val="Curva_Baseline_201424"/>
      <sheetName val="Capex_Eco24"/>
      <sheetName val="Capex_Fin24"/>
      <sheetName val="Curva_Eco_Investimento24"/>
      <sheetName val="Curva_Fin_Investimento24"/>
      <sheetName val="Curva_Despesa24"/>
      <sheetName val="Ferrovia_Análise_Tendência24"/>
      <sheetName val="Dinâm_IOI_fabio24"/>
      <sheetName val="CONTRATOS_EEFC24"/>
      <sheetName val="ANALISE_EXC__MÊS24"/>
      <sheetName val="RESUMO_DESAFIO24"/>
      <sheetName val="2011_Curvas_Fin24"/>
      <sheetName val="Saldos_PA's24"/>
      <sheetName val="2012_Curvas_Fin_(R$)24"/>
      <sheetName val="Ramal_(temp)24"/>
      <sheetName val="Ramal_-_Pacotes24"/>
      <sheetName val="Linhas__Ramais24"/>
      <sheetName val="Owner_Costs24"/>
      <sheetName val="Desembolso_R$24"/>
      <sheetName val="Controle_Pagamentos24"/>
      <sheetName val="CONTRATOS_TFPM24"/>
      <sheetName val="2_-_BUILD_UP_-_Julho4"/>
      <sheetName val="MCS_JULHO4"/>
      <sheetName val="Rateio_Eco_-_Fin_-_Fis2"/>
      <sheetName val="EST__CAPEX_eco_fin2"/>
      <sheetName val="Cálculo_Reajuste2"/>
      <sheetName val="Estrutura_SAP2"/>
      <sheetName val="Principais_Contratos2"/>
      <sheetName val="PA_e_TAREFA2"/>
      <sheetName val="CP_-_Sintético2"/>
      <sheetName val="Gerrot_GAPPG4"/>
      <sheetName val="Acidentes_CPT_e_SPT_-_SUPV_4"/>
      <sheetName val="Ocorrências_Ferroviárias-SUPV_4"/>
      <sheetName val="Custeio_Fixo_-_SUPV_4"/>
      <sheetName val="Pessoal_-_SUPV_4"/>
      <sheetName val="Conhecendo_a_composição_M13"/>
      <sheetName val="Insumos_e_Produtos3"/>
      <sheetName val="Itens_de_Controle_-_Nice3"/>
      <sheetName val="PA_-_Receita_Líquida_Guseiros3"/>
      <sheetName val="PA_-_Gusa_Norte_(2)3"/>
      <sheetName val="Just_Nat_57_B3"/>
      <sheetName val="Solicitação_Gestão2"/>
      <sheetName val="JUST_NAT_522"/>
      <sheetName val="CUSTO_LARANJEIRAS2"/>
      <sheetName val="app_a,_10b2"/>
      <sheetName val="VP1_Corinto2"/>
      <sheetName val="Plan2_(2)4"/>
      <sheetName val="TC_IN3"/>
      <sheetName val="GAVNG_-EPI2"/>
      <sheetName val="invest_2"/>
      <sheetName val="_PIPEWORK_1__2"/>
      <sheetName val="Anomalia_Acao2"/>
      <sheetName val="Base_4"/>
      <sheetName val="MatrizDILN_(2)3"/>
      <sheetName val="Parâmetros_Caso_Base2"/>
      <sheetName val="BASE_DE_DADOS2"/>
      <sheetName val="MUTUAL_FUND_SALES_BY_QTR3"/>
      <sheetName val="ISS_VOL_MUTUAL_FUND_SALES3"/>
      <sheetName val="Graficos_acumulados_totalizado3"/>
      <sheetName val="Graficos_áreas3"/>
      <sheetName val="Indice_Precos_Mes2"/>
      <sheetName val="Seleção_Projetos4"/>
      <sheetName val="Misc__data2"/>
      <sheetName val="Ref_Numbers2"/>
      <sheetName val="Previsão_de_Vagões2"/>
      <sheetName val="1_Pgm2"/>
      <sheetName val="BANCO_DE_DADOS_ESTRUTURA2"/>
      <sheetName val="Price_List2"/>
      <sheetName val="Histograma_-_Detalhe3"/>
      <sheetName val="METRICAS_GVA2"/>
      <sheetName val="Descritivo_Fraturas_Centro2"/>
      <sheetName val="Apoio_Validação2"/>
      <sheetName val="Apoio_Etapa_6_-_Viagens2"/>
      <sheetName val="FCD_MFe4"/>
      <sheetName val="Edison_Correia2"/>
      <sheetName val="MH_Installations2"/>
      <sheetName val="ACOPL_ENG2"/>
      <sheetName val="Caract__Contratos_-_Dez-002"/>
      <sheetName val="Just_Nat_512"/>
      <sheetName val="Controle_Comp_2"/>
      <sheetName val="FEVEREIRO_-_DORM-LARGA2"/>
      <sheetName val="Progresso_Econômica_Projeto2"/>
      <sheetName val="CONTRATO_W2"/>
      <sheetName val="Tab__GConta_NOP3"/>
      <sheetName val="Tab__GConta_OP3"/>
      <sheetName val="Tab__GConta_OP_(2)3"/>
      <sheetName val="Números_da_Oficina3"/>
      <sheetName val="Lente_-_dipd4"/>
      <sheetName val="Lente_VALE4"/>
      <sheetName val="Premissas_Preenchimento_BAY3"/>
      <sheetName val="Avanço_Físico_IOI_BAY3"/>
      <sheetName val="Avanço_Econômico_IOI_BAY3"/>
      <sheetName val="Ad__Proj__Financ_IEF_BAY3"/>
      <sheetName val="Baseline_Físico_BAY3"/>
      <sheetName val="Baseline_Econômico_BAY3"/>
      <sheetName val="Milestones_BAY3"/>
      <sheetName val="Licencas_Bayovar3"/>
      <sheetName val="FAIXAS_-_META_VALE_BAYOVAR3"/>
      <sheetName val="Milestones_PRC3"/>
      <sheetName val="Premissas_Preenchimento_CLN3"/>
      <sheetName val="Avanço_Físico_IOI_CLN3"/>
      <sheetName val="Avanço_Econômico_IOI_CLN3"/>
      <sheetName val="Ad__Proj__Financ_IEF_CLN3"/>
      <sheetName val="Baseline_Físico_CLN3"/>
      <sheetName val="Baseline_Econômico_CLN3"/>
      <sheetName val="Milestones_CLN3"/>
      <sheetName val="FAIXAS_-_CALCULADORA_CLN_3"/>
      <sheetName val="DB_do_TST2"/>
      <sheetName val="DTOs_Tração2"/>
      <sheetName val="5_42"/>
      <sheetName val="Resultado_da_Simulação_D+13"/>
      <sheetName val="Viabilidade_Econômica3"/>
      <sheetName val="Operações_de_Swap2"/>
      <sheetName val="Banco_de_dados2"/>
      <sheetName val="Financials_USD$2"/>
      <sheetName val="Desembolso_Financeiro2"/>
      <sheetName val="Produção_2"/>
      <sheetName val="Diagrama_de_Causa_e_Efeito1"/>
      <sheetName val="Causa_e_Medida1"/>
      <sheetName val="Plano_de_Ação1"/>
      <sheetName val="Avanço_%1"/>
      <sheetName val="01_(2)1"/>
      <sheetName val="Controle_De_Inpeções33"/>
      <sheetName val="Controle_De_Inpeções_(2)33"/>
      <sheetName val="Controle_De_Inpeções_(3)33"/>
      <sheetName val="Imob_frota_GAVAG_33"/>
      <sheetName val="grafico-CARGA_GERAL33"/>
      <sheetName val="Restrições_de_Velocidade33"/>
      <sheetName val="Ultra_som_-_200733"/>
      <sheetName val="Trem_Hora_Parado33"/>
      <sheetName val="Ocorrências_Ferroviárias33"/>
      <sheetName val="Aprovisionamento_de_Materiais33"/>
      <sheetName val="Grafico_Geral_Orçamento33"/>
      <sheetName val="Check_List-_Gerrot33"/>
      <sheetName val="EAP_rev_0030"/>
      <sheetName val="CC_42430"/>
      <sheetName val="NÃO_CRÍTICOS30"/>
      <sheetName val="CONSOLIDADO_GAENY30"/>
      <sheetName val="ORÇADO_-_CONF__GIC30"/>
      <sheetName val="ALEXANDRE_-_NÃO_CRÍTICOS30"/>
      <sheetName val="LEONARDO__-_CRÍTICOS30"/>
      <sheetName val="LEONARDO__-_NÃO_CRÍTICOS30"/>
      <sheetName val="PAULO_-_CRÍTICOS30"/>
      <sheetName val="PAULO_-_NÃO_CRÍTICOS30"/>
      <sheetName val="Gestão_Econômica30"/>
      <sheetName val="INFO_30"/>
      <sheetName val="Evolução_Etapas_Cal_Mag29"/>
      <sheetName val="Evolução_Etapas_Cromo29"/>
      <sheetName val="Grupo_x_Justif29"/>
      <sheetName val="Disp_2005_FCA29"/>
      <sheetName val="Resumo_EFVM29"/>
      <sheetName val="thp_29"/>
      <sheetName val="Consolida_Investimento29"/>
      <sheetName val="consolidado_preventivas29"/>
      <sheetName val="Vg__Inventariados-dados29"/>
      <sheetName val="p_ação_3G_UT28"/>
      <sheetName val="p_ação_3G_UT_(2)28"/>
      <sheetName val="Painel_de_controle28"/>
      <sheetName val="MKBF_MI28"/>
      <sheetName val="MKBF_CG28"/>
      <sheetName val="Nº_de_Falhas_MI28"/>
      <sheetName val="Nº_de_Falhas_CG28"/>
      <sheetName val="Nº_de_Falhas_PA28"/>
      <sheetName val="Falhas_sup_Freio28"/>
      <sheetName val="Falhas_MI-sist_Freio28"/>
      <sheetName val="Falhas_CG-sist_Freio28"/>
      <sheetName val="Falhas_sup_Vagão28"/>
      <sheetName val="Falhas_MI-sist_Sup28"/>
      <sheetName val="Falhas_CG_-sist_Sup28"/>
      <sheetName val="Falhas_sup_CG28"/>
      <sheetName val="Falhas_sup_Rodeiro-MI_CG_PA28"/>
      <sheetName val="Falhas_CG-sist_Rodeiro28"/>
      <sheetName val="Falhas_MI-sist_Rodeiro28"/>
      <sheetName val="Falhas_PA-sist_Rodeiro28"/>
      <sheetName val="Falhas_sup_T&amp;T28"/>
      <sheetName val="Falhas_TT-MI28"/>
      <sheetName val="Falhas_TT-CG28"/>
      <sheetName val="Falhas_MI-sist_Truque28"/>
      <sheetName val="Falhas_CG-sist_Truque28"/>
      <sheetName val="Falhas_MI-sist_Tração28"/>
      <sheetName val="Falhas_CG-sist_Tração28"/>
      <sheetName val="POR_DIRETORIA28"/>
      <sheetName val="ROS_VV28"/>
      <sheetName val="Cronograma_de_Reuniões_LICL28"/>
      <sheetName val="Cronograma_de_Reuniões_LEFEL28"/>
      <sheetName val="Pauta_C_Geral_Ferrovia28"/>
      <sheetName val="Agenda_Logistica_201228"/>
      <sheetName val="Cashflow_(na)28"/>
      <sheetName val="Análise_Certificação_28"/>
      <sheetName val="bdados_200528"/>
      <sheetName val="AR_Signature_Page28"/>
      <sheetName val="Check_List28"/>
      <sheetName val="HISTORICO_DEF_X_REB28"/>
      <sheetName val="PAINEL_DE_FALHAS28"/>
      <sheetName val="_INDICADORES_FINANCEIROS28"/>
      <sheetName val="RECEITA_BRUTA28"/>
      <sheetName val="_COMPOSIÇÃO_DO_CPV_28"/>
      <sheetName val="_INDICADORES_DE_ENDIVIDAMENTO28"/>
      <sheetName val="MINERAIS_FERROSOS28"/>
      <sheetName val="BULK_MATERIALS28"/>
      <sheetName val="MINERAIS_NÃO_FERROSOS28"/>
      <sheetName val="DEMONSTRAÇÃO_DE_RESULTADO28"/>
      <sheetName val="_DESPESAS_FINANCEIRAS28"/>
      <sheetName val="_RESULTADO_DE_P__SOCIETÁRIAS28"/>
      <sheetName val="_BALANÇO_PATRIMONIAL28"/>
      <sheetName val="_FLUXO_DE_CAIXA28"/>
      <sheetName val="_VOLUME_outros28"/>
      <sheetName val="PRECOS_MEDIOS28"/>
      <sheetName val="Margens_Operacionais28"/>
      <sheetName val="Itens_de_controle28"/>
      <sheetName val="Check_Farol28"/>
      <sheetName val="Pessoal_CVRD28"/>
      <sheetName val="Composição_2011_Máx__Rev_228"/>
      <sheetName val="Demanda_de_inspeção28"/>
      <sheetName val="Composição_2011_Máx__Rev_328"/>
      <sheetName val="JAN_P2228"/>
      <sheetName val="JAN_P2128"/>
      <sheetName val="MELHORIAS_E_OPÇÕES28"/>
      <sheetName val="CVRDMenu_xls28"/>
      <sheetName val="Desenvolvimento_Ferroviário28"/>
      <sheetName val="Eng__Via_Permanente28"/>
      <sheetName val="Eng__Material_Rodante28"/>
      <sheetName val="Eng__Eletro_e_Operações28"/>
      <sheetName val="Resumo_Desenvolvimento28"/>
      <sheetName val="Resumo_VP28"/>
      <sheetName val="Resumo_Mat_Rodante28"/>
      <sheetName val="Resumo_Eletro28"/>
      <sheetName val="Usiminas_28"/>
      <sheetName val="CA_540928"/>
      <sheetName val="Simulador_OEE_sem_911_Nov_Dez28"/>
      <sheetName val="Plano_de_Ação_OMR_(2)26"/>
      <sheetName val="Plano_de_Ação_OMTT_(2)26"/>
      <sheetName val="O_indicador26"/>
      <sheetName val="Matriz_de_priorização_GUT26"/>
      <sheetName val="1_-_Resultados26"/>
      <sheetName val="MCS_FEV26"/>
      <sheetName val="MCS_AGO26"/>
      <sheetName val="BUILD_UP_-_Jan26"/>
      <sheetName val="PA_Est__Minimo26"/>
      <sheetName val="Identificação_do_Problema26"/>
      <sheetName val="Observação_do_Problema26"/>
      <sheetName val="Diagrama_de_Causa_e_Efeito_Ro26"/>
      <sheetName val="Técnica_dos_Por_Ques_Rode26"/>
      <sheetName val="Diagrama_de_Causa_e_Efeito_Tr42"/>
      <sheetName val="Diagrama_de_Causa_e_Efeito_Tr43"/>
      <sheetName val="Teste_porquês_truq_26"/>
      <sheetName val="Teste_porquês_Rod26"/>
      <sheetName val="Teste_porquês_Traç26"/>
      <sheetName val="Observação_do_Problema_(2)26"/>
      <sheetName val="Diagrama_de_Causa_e_Efeito__(35"/>
      <sheetName val="BUILD_UP_COMP_26"/>
      <sheetName val="2_-_BUILD_UP_-_Maio26"/>
      <sheetName val="MCS_MAR26"/>
      <sheetName val="MCS_ABRIL26"/>
      <sheetName val="MCS_ACUMULADO26"/>
      <sheetName val="MCS_MAIO26"/>
      <sheetName val="Plano_de_Ação_OMR26"/>
      <sheetName val="BD_Grafico26"/>
      <sheetName val="Produção_de_Março_-_OMR26"/>
      <sheetName val="Fila_de_Rodeiros26"/>
      <sheetName val="Usinados_Montagem26"/>
      <sheetName val="Perfil_de_Entrada_de_rodeiros26"/>
      <sheetName val="Análise_Extra26"/>
      <sheetName val="Plano_de_Ação_OMTT26"/>
      <sheetName val="3_-_PARETOS26"/>
      <sheetName val="MCS_JUNHO26"/>
      <sheetName val="2_-_BUILD_UP_-_Abr_(2)26"/>
      <sheetName val="Planos_de_ação6"/>
      <sheetName val="Build-up_US$_(2010)26"/>
      <sheetName val="Curva_26"/>
      <sheetName val="Painel_Engenharia_R$26"/>
      <sheetName val="Resumo_do_Painel26"/>
      <sheetName val="Resumo_IOI26"/>
      <sheetName val="Quadro_IOI_201426"/>
      <sheetName val="Curva_Baseline_201426"/>
      <sheetName val="Capex_Eco26"/>
      <sheetName val="Capex_Fin26"/>
      <sheetName val="Curva_Eco_Investimento26"/>
      <sheetName val="Curva_Fin_Investimento26"/>
      <sheetName val="Curva_Despesa26"/>
      <sheetName val="Ferrovia_Análise_Tendência26"/>
      <sheetName val="Dinâm_IOI_fabio26"/>
      <sheetName val="CONTRATOS_EEFC26"/>
      <sheetName val="ANALISE_EXC__MÊS26"/>
      <sheetName val="RESUMO_DESAFIO26"/>
      <sheetName val="2011_Curvas_Fin26"/>
      <sheetName val="Saldos_PA's26"/>
      <sheetName val="2012_Curvas_Fin_(R$)26"/>
      <sheetName val="Ramal_(temp)26"/>
      <sheetName val="Ramal_-_Pacotes26"/>
      <sheetName val="Linhas__Ramais26"/>
      <sheetName val="Owner_Costs26"/>
      <sheetName val="Desembolso_R$26"/>
      <sheetName val="Controle_Pagamentos26"/>
      <sheetName val="CONTRATOS_TFPM26"/>
      <sheetName val="2_-_BUILD_UP_-_Julho6"/>
      <sheetName val="MCS_JULHO6"/>
      <sheetName val="Rateio_Eco_-_Fin_-_Fis4"/>
      <sheetName val="EST__CAPEX_eco_fin4"/>
      <sheetName val="Cálculo_Reajuste4"/>
      <sheetName val="Estrutura_SAP4"/>
      <sheetName val="Principais_Contratos4"/>
      <sheetName val="PA_e_TAREFA4"/>
      <sheetName val="CP_-_Sintético4"/>
      <sheetName val="Gerrot_GAPPG6"/>
      <sheetName val="Acidentes_CPT_e_SPT_-_SUPV_6"/>
      <sheetName val="Ocorrências_Ferroviárias-SUPV_6"/>
      <sheetName val="Custeio_Fixo_-_SUPV_6"/>
      <sheetName val="Pessoal_-_SUPV_6"/>
      <sheetName val="Conhecendo_a_composição_M15"/>
      <sheetName val="Insumos_e_Produtos5"/>
      <sheetName val="Itens_de_Controle_-_Nice5"/>
      <sheetName val="PA_-_Receita_Líquida_Guseiros5"/>
      <sheetName val="PA_-_Gusa_Norte_(2)5"/>
      <sheetName val="Just_Nat_57_B5"/>
      <sheetName val="Solicitação_Gestão4"/>
      <sheetName val="JUST_NAT_524"/>
      <sheetName val="CUSTO_LARANJEIRAS4"/>
      <sheetName val="app_a,_10b4"/>
      <sheetName val="VP1_Corinto4"/>
      <sheetName val="Plan2_(2)6"/>
      <sheetName val="TC_IN5"/>
      <sheetName val="GAVNG_-EPI4"/>
      <sheetName val="invest_4"/>
      <sheetName val="_PIPEWORK_1__4"/>
      <sheetName val="Anomalia_Acao4"/>
      <sheetName val="Base_6"/>
      <sheetName val="MatrizDILN_(2)5"/>
      <sheetName val="Parâmetros_Caso_Base4"/>
      <sheetName val="BASE_DE_DADOS4"/>
      <sheetName val="MUTUAL_FUND_SALES_BY_QTR5"/>
      <sheetName val="ISS_VOL_MUTUAL_FUND_SALES5"/>
      <sheetName val="Graficos_acumulados_totalizado5"/>
      <sheetName val="Graficos_áreas5"/>
      <sheetName val="Indice_Precos_Mes4"/>
      <sheetName val="Seleção_Projetos6"/>
      <sheetName val="Misc__data4"/>
      <sheetName val="Ref_Numbers4"/>
      <sheetName val="Previsão_de_Vagões4"/>
      <sheetName val="1_Pgm4"/>
      <sheetName val="BANCO_DE_DADOS_ESTRUTURA4"/>
      <sheetName val="Price_List4"/>
      <sheetName val="Histograma_-_Detalhe5"/>
      <sheetName val="METRICAS_GVA4"/>
      <sheetName val="Descritivo_Fraturas_Centro4"/>
      <sheetName val="Apoio_Validação4"/>
      <sheetName val="Apoio_Etapa_6_-_Viagens4"/>
      <sheetName val="FCD_MFe6"/>
      <sheetName val="Edison_Correia4"/>
      <sheetName val="MH_Installations4"/>
      <sheetName val="ACOPL_ENG4"/>
      <sheetName val="Caract__Contratos_-_Dez-004"/>
      <sheetName val="Just_Nat_514"/>
      <sheetName val="Controle_Comp_4"/>
      <sheetName val="FEVEREIRO_-_DORM-LARGA4"/>
      <sheetName val="Progresso_Econômica_Projeto4"/>
      <sheetName val="CONTRATO_W4"/>
      <sheetName val="Tab__GConta_NOP5"/>
      <sheetName val="Tab__GConta_OP5"/>
      <sheetName val="Tab__GConta_OP_(2)5"/>
      <sheetName val="Números_da_Oficina5"/>
      <sheetName val="Lente_-_dipd6"/>
      <sheetName val="Lente_VALE6"/>
      <sheetName val="Premissas_Preenchimento_BAY5"/>
      <sheetName val="Avanço_Físico_IOI_BAY5"/>
      <sheetName val="Avanço_Econômico_IOI_BAY5"/>
      <sheetName val="Ad__Proj__Financ_IEF_BAY5"/>
      <sheetName val="Baseline_Físico_BAY5"/>
      <sheetName val="Baseline_Econômico_BAY5"/>
      <sheetName val="Milestones_BAY5"/>
      <sheetName val="Licencas_Bayovar5"/>
      <sheetName val="FAIXAS_-_META_VALE_BAYOVAR5"/>
      <sheetName val="Milestones_PRC5"/>
      <sheetName val="Premissas_Preenchimento_CLN5"/>
      <sheetName val="Avanço_Físico_IOI_CLN5"/>
      <sheetName val="Avanço_Econômico_IOI_CLN5"/>
      <sheetName val="Ad__Proj__Financ_IEF_CLN5"/>
      <sheetName val="Baseline_Físico_CLN5"/>
      <sheetName val="Baseline_Econômico_CLN5"/>
      <sheetName val="Milestones_CLN5"/>
      <sheetName val="FAIXAS_-_CALCULADORA_CLN_5"/>
      <sheetName val="DB_do_TST4"/>
      <sheetName val="DTOs_Tração4"/>
      <sheetName val="5_44"/>
      <sheetName val="Resultado_da_Simulação_D+15"/>
      <sheetName val="Viabilidade_Econômica5"/>
      <sheetName val="Operações_de_Swap4"/>
      <sheetName val="Banco_de_dados4"/>
      <sheetName val="Financials_USD$4"/>
      <sheetName val="Desembolso_Financeiro4"/>
      <sheetName val="Produção_4"/>
      <sheetName val="Diagrama_de_Causa_e_Efeito3"/>
      <sheetName val="Causa_e_Medida3"/>
      <sheetName val="Plano_de_Ação3"/>
      <sheetName val="Avanço_%3"/>
      <sheetName val="01_(2)3"/>
      <sheetName val="Controle_De_Inpeções34"/>
      <sheetName val="Controle_De_Inpeções_(2)34"/>
      <sheetName val="Controle_De_Inpeções_(3)34"/>
      <sheetName val="Imob_frota_GAVAG_34"/>
      <sheetName val="grafico-CARGA_GERAL34"/>
      <sheetName val="Restrições_de_Velocidade34"/>
      <sheetName val="Ultra_som_-_200734"/>
      <sheetName val="Trem_Hora_Parado34"/>
      <sheetName val="Ocorrências_Ferroviárias34"/>
      <sheetName val="Aprovisionamento_de_Materiais34"/>
      <sheetName val="Grafico_Geral_Orçamento34"/>
      <sheetName val="Check_List-_Gerrot34"/>
      <sheetName val="EAP_rev_0031"/>
      <sheetName val="CC_42431"/>
      <sheetName val="NÃO_CRÍTICOS31"/>
      <sheetName val="CONSOLIDADO_GAENY31"/>
      <sheetName val="ORÇADO_-_CONF__GIC31"/>
      <sheetName val="ALEXANDRE_-_NÃO_CRÍTICOS31"/>
      <sheetName val="LEONARDO__-_CRÍTICOS31"/>
      <sheetName val="LEONARDO__-_NÃO_CRÍTICOS31"/>
      <sheetName val="PAULO_-_CRÍTICOS31"/>
      <sheetName val="PAULO_-_NÃO_CRÍTICOS31"/>
      <sheetName val="Gestão_Econômica31"/>
      <sheetName val="INFO_31"/>
      <sheetName val="Evolução_Etapas_Cal_Mag30"/>
      <sheetName val="Evolução_Etapas_Cromo30"/>
      <sheetName val="Grupo_x_Justif30"/>
      <sheetName val="Disp_2005_FCA30"/>
      <sheetName val="Resumo_EFVM30"/>
      <sheetName val="thp_30"/>
      <sheetName val="Consolida_Investimento30"/>
      <sheetName val="consolidado_preventivas30"/>
      <sheetName val="Vg__Inventariados-dados30"/>
      <sheetName val="p_ação_3G_UT29"/>
      <sheetName val="p_ação_3G_UT_(2)29"/>
      <sheetName val="Painel_de_controle29"/>
      <sheetName val="MKBF_MI29"/>
      <sheetName val="MKBF_CG29"/>
      <sheetName val="Nº_de_Falhas_MI29"/>
      <sheetName val="Nº_de_Falhas_CG29"/>
      <sheetName val="Nº_de_Falhas_PA29"/>
      <sheetName val="Falhas_sup_Freio29"/>
      <sheetName val="Falhas_MI-sist_Freio29"/>
      <sheetName val="Falhas_CG-sist_Freio29"/>
      <sheetName val="Falhas_sup_Vagão29"/>
      <sheetName val="Falhas_MI-sist_Sup29"/>
      <sheetName val="Falhas_CG_-sist_Sup29"/>
      <sheetName val="Falhas_sup_CG29"/>
      <sheetName val="Falhas_sup_Rodeiro-MI_CG_PA29"/>
      <sheetName val="Falhas_CG-sist_Rodeiro29"/>
      <sheetName val="Falhas_MI-sist_Rodeiro29"/>
      <sheetName val="Falhas_PA-sist_Rodeiro29"/>
      <sheetName val="Falhas_sup_T&amp;T29"/>
      <sheetName val="Falhas_TT-MI29"/>
      <sheetName val="Falhas_TT-CG29"/>
      <sheetName val="Falhas_MI-sist_Truque29"/>
      <sheetName val="Falhas_CG-sist_Truque29"/>
      <sheetName val="Falhas_MI-sist_Tração29"/>
      <sheetName val="Falhas_CG-sist_Tração29"/>
      <sheetName val="POR_DIRETORIA29"/>
      <sheetName val="ROS_VV29"/>
      <sheetName val="Cronograma_de_Reuniões_LICL29"/>
      <sheetName val="Cronograma_de_Reuniões_LEFEL29"/>
      <sheetName val="Pauta_C_Geral_Ferrovia29"/>
      <sheetName val="Agenda_Logistica_201229"/>
      <sheetName val="Cashflow_(na)29"/>
      <sheetName val="Análise_Certificação_29"/>
      <sheetName val="bdados_200529"/>
      <sheetName val="AR_Signature_Page29"/>
      <sheetName val="Check_List29"/>
      <sheetName val="HISTORICO_DEF_X_REB29"/>
      <sheetName val="PAINEL_DE_FALHAS29"/>
      <sheetName val="_INDICADORES_FINANCEIROS29"/>
      <sheetName val="RECEITA_BRUTA29"/>
      <sheetName val="_COMPOSIÇÃO_DO_CPV_29"/>
      <sheetName val="_INDICADORES_DE_ENDIVIDAMENTO29"/>
      <sheetName val="MINERAIS_FERROSOS29"/>
      <sheetName val="BULK_MATERIALS29"/>
      <sheetName val="MINERAIS_NÃO_FERROSOS29"/>
      <sheetName val="DEMONSTRAÇÃO_DE_RESULTADO29"/>
      <sheetName val="_DESPESAS_FINANCEIRAS29"/>
      <sheetName val="_RESULTADO_DE_P__SOCIETÁRIAS29"/>
      <sheetName val="_BALANÇO_PATRIMONIAL29"/>
      <sheetName val="_FLUXO_DE_CAIXA29"/>
      <sheetName val="_VOLUME_outros29"/>
      <sheetName val="PRECOS_MEDIOS29"/>
      <sheetName val="Margens_Operacionais29"/>
      <sheetName val="Itens_de_controle29"/>
      <sheetName val="Check_Farol29"/>
      <sheetName val="Pessoal_CVRD29"/>
      <sheetName val="Composição_2011_Máx__Rev_229"/>
      <sheetName val="Demanda_de_inspeção29"/>
      <sheetName val="Composição_2011_Máx__Rev_329"/>
      <sheetName val="JAN_P2229"/>
      <sheetName val="JAN_P2129"/>
      <sheetName val="MELHORIAS_E_OPÇÕES29"/>
      <sheetName val="CVRDMenu_xls29"/>
      <sheetName val="Desenvolvimento_Ferroviário29"/>
      <sheetName val="Eng__Via_Permanente29"/>
      <sheetName val="Eng__Material_Rodante29"/>
      <sheetName val="Eng__Eletro_e_Operações29"/>
      <sheetName val="Resumo_Desenvolvimento29"/>
      <sheetName val="Resumo_VP29"/>
      <sheetName val="Resumo_Mat_Rodante29"/>
      <sheetName val="Resumo_Eletro29"/>
      <sheetName val="Usiminas_29"/>
      <sheetName val="CA_540929"/>
      <sheetName val="Simulador_OEE_sem_911_Nov_Dez29"/>
      <sheetName val="Plano_de_Ação_OMR_(2)27"/>
      <sheetName val="Plano_de_Ação_OMTT_(2)27"/>
      <sheetName val="O_indicador27"/>
      <sheetName val="Matriz_de_priorização_GUT27"/>
      <sheetName val="1_-_Resultados27"/>
      <sheetName val="MCS_FEV27"/>
      <sheetName val="MCS_AGO27"/>
      <sheetName val="BUILD_UP_-_Jan27"/>
      <sheetName val="PA_Est__Minimo27"/>
      <sheetName val="Identificação_do_Problema27"/>
      <sheetName val="Observação_do_Problema27"/>
      <sheetName val="Diagrama_de_Causa_e_Efeito_Ro27"/>
      <sheetName val="Técnica_dos_Por_Ques_Rode27"/>
      <sheetName val="Diagrama_de_Causa_e_Efeito_Tr44"/>
      <sheetName val="Diagrama_de_Causa_e_Efeito_Tr45"/>
      <sheetName val="Teste_porquês_truq_27"/>
      <sheetName val="Teste_porquês_Rod27"/>
      <sheetName val="Teste_porquês_Traç27"/>
      <sheetName val="Observação_do_Problema_(2)27"/>
      <sheetName val="Diagrama_de_Causa_e_Efeito__(36"/>
      <sheetName val="BUILD_UP_COMP_27"/>
      <sheetName val="2_-_BUILD_UP_-_Maio27"/>
      <sheetName val="MCS_MAR27"/>
      <sheetName val="MCS_ABRIL27"/>
      <sheetName val="MCS_ACUMULADO27"/>
      <sheetName val="MCS_MAIO27"/>
      <sheetName val="Plano_de_Ação_OMR27"/>
      <sheetName val="BD_Grafico27"/>
      <sheetName val="Produção_de_Março_-_OMR27"/>
      <sheetName val="Fila_de_Rodeiros27"/>
      <sheetName val="Usinados_Montagem27"/>
      <sheetName val="Perfil_de_Entrada_de_rodeiros27"/>
      <sheetName val="Análise_Extra27"/>
      <sheetName val="Plano_de_Ação_OMTT27"/>
      <sheetName val="3_-_PARETOS27"/>
      <sheetName val="MCS_JUNHO27"/>
      <sheetName val="2_-_BUILD_UP_-_Abr_(2)27"/>
      <sheetName val="Planos_de_ação7"/>
      <sheetName val="Build-up_US$_(2010)27"/>
      <sheetName val="Curva_27"/>
      <sheetName val="Painel_Engenharia_R$27"/>
      <sheetName val="Resumo_do_Painel27"/>
      <sheetName val="Resumo_IOI27"/>
      <sheetName val="Quadro_IOI_201427"/>
      <sheetName val="Curva_Baseline_201427"/>
      <sheetName val="Capex_Eco27"/>
      <sheetName val="Capex_Fin27"/>
      <sheetName val="Curva_Eco_Investimento27"/>
      <sheetName val="Curva_Fin_Investimento27"/>
      <sheetName val="Curva_Despesa27"/>
      <sheetName val="Ferrovia_Análise_Tendência27"/>
      <sheetName val="Dinâm_IOI_fabio27"/>
      <sheetName val="CONTRATOS_EEFC27"/>
      <sheetName val="ANALISE_EXC__MÊS27"/>
      <sheetName val="RESUMO_DESAFIO27"/>
      <sheetName val="2011_Curvas_Fin27"/>
      <sheetName val="Saldos_PA's27"/>
      <sheetName val="2012_Curvas_Fin_(R$)27"/>
      <sheetName val="Ramal_(temp)27"/>
      <sheetName val="Ramal_-_Pacotes27"/>
      <sheetName val="Linhas__Ramais27"/>
      <sheetName val="Owner_Costs27"/>
      <sheetName val="Desembolso_R$27"/>
      <sheetName val="Controle_Pagamentos27"/>
      <sheetName val="CONTRATOS_TFPM27"/>
      <sheetName val="2_-_BUILD_UP_-_Julho7"/>
      <sheetName val="MCS_JULHO7"/>
      <sheetName val="Rateio_Eco_-_Fin_-_Fis5"/>
      <sheetName val="EST__CAPEX_eco_fin5"/>
      <sheetName val="Cálculo_Reajuste5"/>
      <sheetName val="Estrutura_SAP5"/>
      <sheetName val="Principais_Contratos5"/>
      <sheetName val="PA_e_TAREFA5"/>
      <sheetName val="CP_-_Sintético5"/>
      <sheetName val="Gerrot_GAPPG7"/>
      <sheetName val="Acidentes_CPT_e_SPT_-_SUPV_7"/>
      <sheetName val="Ocorrências_Ferroviárias-SUPV_7"/>
      <sheetName val="Custeio_Fixo_-_SUPV_7"/>
      <sheetName val="Pessoal_-_SUPV_7"/>
      <sheetName val="Conhecendo_a_composição_M16"/>
      <sheetName val="Insumos_e_Produtos6"/>
      <sheetName val="Itens_de_Controle_-_Nice6"/>
      <sheetName val="PA_-_Receita_Líquida_Guseiros6"/>
      <sheetName val="PA_-_Gusa_Norte_(2)6"/>
      <sheetName val="Just_Nat_57_B6"/>
      <sheetName val="Solicitação_Gestão5"/>
      <sheetName val="JUST_NAT_525"/>
      <sheetName val="CUSTO_LARANJEIRAS5"/>
      <sheetName val="app_a,_10b5"/>
      <sheetName val="VP1_Corinto5"/>
      <sheetName val="Plan2_(2)7"/>
      <sheetName val="TC_IN6"/>
      <sheetName val="GAVNG_-EPI5"/>
      <sheetName val="invest_5"/>
      <sheetName val="_PIPEWORK_1__5"/>
      <sheetName val="Anomalia_Acao5"/>
      <sheetName val="Base_7"/>
      <sheetName val="MatrizDILN_(2)6"/>
      <sheetName val="Parâmetros_Caso_Base5"/>
      <sheetName val="BASE_DE_DADOS5"/>
      <sheetName val="MUTUAL_FUND_SALES_BY_QTR6"/>
      <sheetName val="ISS_VOL_MUTUAL_FUND_SALES6"/>
      <sheetName val="Graficos_acumulados_totalizado6"/>
      <sheetName val="Graficos_áreas6"/>
      <sheetName val="Indice_Precos_Mes5"/>
      <sheetName val="Seleção_Projetos7"/>
      <sheetName val="Misc__data5"/>
      <sheetName val="Ref_Numbers5"/>
      <sheetName val="Previsão_de_Vagões5"/>
      <sheetName val="1_Pgm5"/>
      <sheetName val="BANCO_DE_DADOS_ESTRUTURA5"/>
      <sheetName val="Price_List5"/>
      <sheetName val="Histograma_-_Detalhe6"/>
      <sheetName val="METRICAS_GVA5"/>
      <sheetName val="Descritivo_Fraturas_Centro5"/>
      <sheetName val="Apoio_Validação5"/>
      <sheetName val="Apoio_Etapa_6_-_Viagens5"/>
      <sheetName val="FCD_MFe7"/>
      <sheetName val="Edison_Correia5"/>
      <sheetName val="MH_Installations5"/>
      <sheetName val="ACOPL_ENG5"/>
      <sheetName val="Caract__Contratos_-_Dez-005"/>
      <sheetName val="Just_Nat_515"/>
      <sheetName val="Controle_Comp_5"/>
      <sheetName val="FEVEREIRO_-_DORM-LARGA5"/>
      <sheetName val="Progresso_Econômica_Projeto5"/>
      <sheetName val="CONTRATO_W5"/>
      <sheetName val="Tab__GConta_NOP6"/>
      <sheetName val="Tab__GConta_OP6"/>
      <sheetName val="Tab__GConta_OP_(2)6"/>
      <sheetName val="Números_da_Oficina6"/>
      <sheetName val="Lente_-_dipd7"/>
      <sheetName val="Lente_VALE7"/>
      <sheetName val="Premissas_Preenchimento_BAY6"/>
      <sheetName val="Avanço_Físico_IOI_BAY6"/>
      <sheetName val="Avanço_Econômico_IOI_BAY6"/>
      <sheetName val="Ad__Proj__Financ_IEF_BAY6"/>
      <sheetName val="Baseline_Físico_BAY6"/>
      <sheetName val="Baseline_Econômico_BAY6"/>
      <sheetName val="Milestones_BAY6"/>
      <sheetName val="Licencas_Bayovar6"/>
      <sheetName val="FAIXAS_-_META_VALE_BAYOVAR6"/>
      <sheetName val="Milestones_PRC6"/>
      <sheetName val="Premissas_Preenchimento_CLN6"/>
      <sheetName val="Avanço_Físico_IOI_CLN6"/>
      <sheetName val="Avanço_Econômico_IOI_CLN6"/>
      <sheetName val="Ad__Proj__Financ_IEF_CLN6"/>
      <sheetName val="Baseline_Físico_CLN6"/>
      <sheetName val="Baseline_Econômico_CLN6"/>
      <sheetName val="Milestones_CLN6"/>
      <sheetName val="FAIXAS_-_CALCULADORA_CLN_6"/>
      <sheetName val="DB_do_TST5"/>
      <sheetName val="DTOs_Tração5"/>
      <sheetName val="5_45"/>
      <sheetName val="Resultado_da_Simulação_D+16"/>
      <sheetName val="Viabilidade_Econômica6"/>
      <sheetName val="Operações_de_Swap5"/>
      <sheetName val="Banco_de_dados5"/>
      <sheetName val="Financials_USD$5"/>
      <sheetName val="Desembolso_Financeiro5"/>
      <sheetName val="Produção_5"/>
      <sheetName val="Diagrama_de_Causa_e_Efeito4"/>
      <sheetName val="Causa_e_Medida4"/>
      <sheetName val="Plano_de_Ação4"/>
      <sheetName val="Avanço_%4"/>
      <sheetName val="01_(2)4"/>
      <sheetName val="Controle_De_Inpeções36"/>
      <sheetName val="Controle_De_Inpeções_(2)36"/>
      <sheetName val="Controle_De_Inpeções_(3)36"/>
      <sheetName val="Imob_frota_GAVAG_36"/>
      <sheetName val="grafico-CARGA_GERAL36"/>
      <sheetName val="Restrições_de_Velocidade36"/>
      <sheetName val="Ultra_som_-_200736"/>
      <sheetName val="Trem_Hora_Parado36"/>
      <sheetName val="Ocorrências_Ferroviárias36"/>
      <sheetName val="Aprovisionamento_de_Materiais36"/>
      <sheetName val="Grafico_Geral_Orçamento36"/>
      <sheetName val="Check_List-_Gerrot36"/>
      <sheetName val="EAP_rev_0033"/>
      <sheetName val="CC_42433"/>
      <sheetName val="NÃO_CRÍTICOS33"/>
      <sheetName val="CONSOLIDADO_GAENY33"/>
      <sheetName val="ORÇADO_-_CONF__GIC33"/>
      <sheetName val="ALEXANDRE_-_NÃO_CRÍTICOS33"/>
      <sheetName val="LEONARDO__-_CRÍTICOS33"/>
      <sheetName val="LEONARDO__-_NÃO_CRÍTICOS33"/>
      <sheetName val="PAULO_-_CRÍTICOS33"/>
      <sheetName val="PAULO_-_NÃO_CRÍTICOS33"/>
      <sheetName val="Gestão_Econômica33"/>
      <sheetName val="INFO_33"/>
      <sheetName val="Evolução_Etapas_Cal_Mag32"/>
      <sheetName val="Evolução_Etapas_Cromo32"/>
      <sheetName val="Grupo_x_Justif32"/>
      <sheetName val="Disp_2005_FCA32"/>
      <sheetName val="Resumo_EFVM32"/>
      <sheetName val="thp_32"/>
      <sheetName val="Consolida_Investimento32"/>
      <sheetName val="consolidado_preventivas32"/>
      <sheetName val="Vg__Inventariados-dados32"/>
      <sheetName val="p_ação_3G_UT31"/>
      <sheetName val="p_ação_3G_UT_(2)31"/>
      <sheetName val="Painel_de_controle31"/>
      <sheetName val="MKBF_MI31"/>
      <sheetName val="MKBF_CG31"/>
      <sheetName val="Nº_de_Falhas_MI31"/>
      <sheetName val="Nº_de_Falhas_CG31"/>
      <sheetName val="Nº_de_Falhas_PA31"/>
      <sheetName val="Falhas_sup_Freio31"/>
      <sheetName val="Falhas_MI-sist_Freio31"/>
      <sheetName val="Falhas_CG-sist_Freio31"/>
      <sheetName val="Falhas_sup_Vagão31"/>
      <sheetName val="Falhas_MI-sist_Sup31"/>
      <sheetName val="Falhas_CG_-sist_Sup31"/>
      <sheetName val="Falhas_sup_CG31"/>
      <sheetName val="Falhas_sup_Rodeiro-MI_CG_PA31"/>
      <sheetName val="Falhas_CG-sist_Rodeiro31"/>
      <sheetName val="Falhas_MI-sist_Rodeiro31"/>
      <sheetName val="Falhas_PA-sist_Rodeiro31"/>
      <sheetName val="Falhas_sup_T&amp;T31"/>
      <sheetName val="Falhas_TT-MI31"/>
      <sheetName val="Falhas_TT-CG31"/>
      <sheetName val="Falhas_MI-sist_Truque31"/>
      <sheetName val="Falhas_CG-sist_Truque31"/>
      <sheetName val="Falhas_MI-sist_Tração31"/>
      <sheetName val="Falhas_CG-sist_Tração31"/>
      <sheetName val="POR_DIRETORIA31"/>
      <sheetName val="ROS_VV31"/>
      <sheetName val="Cronograma_de_Reuniões_LICL31"/>
      <sheetName val="Cronograma_de_Reuniões_LEFEL31"/>
      <sheetName val="Pauta_C_Geral_Ferrovia31"/>
      <sheetName val="Agenda_Logistica_201231"/>
      <sheetName val="Cashflow_(na)31"/>
      <sheetName val="Análise_Certificação_31"/>
      <sheetName val="bdados_200531"/>
      <sheetName val="AR_Signature_Page31"/>
      <sheetName val="Check_List31"/>
      <sheetName val="HISTORICO_DEF_X_REB31"/>
      <sheetName val="PAINEL_DE_FALHAS31"/>
      <sheetName val="_INDICADORES_FINANCEIROS31"/>
      <sheetName val="RECEITA_BRUTA31"/>
      <sheetName val="_COMPOSIÇÃO_DO_CPV_31"/>
      <sheetName val="_INDICADORES_DE_ENDIVIDAMENTO31"/>
      <sheetName val="MINERAIS_FERROSOS31"/>
      <sheetName val="BULK_MATERIALS31"/>
      <sheetName val="MINERAIS_NÃO_FERROSOS31"/>
      <sheetName val="DEMONSTRAÇÃO_DE_RESULTADO31"/>
      <sheetName val="_DESPESAS_FINANCEIRAS31"/>
      <sheetName val="_RESULTADO_DE_P__SOCIETÁRIAS31"/>
      <sheetName val="_BALANÇO_PATRIMONIAL31"/>
      <sheetName val="_FLUXO_DE_CAIXA31"/>
      <sheetName val="_VOLUME_outros31"/>
      <sheetName val="PRECOS_MEDIOS31"/>
      <sheetName val="Margens_Operacionais31"/>
      <sheetName val="Itens_de_controle31"/>
      <sheetName val="Check_Farol31"/>
      <sheetName val="Pessoal_CVRD31"/>
      <sheetName val="Composição_2011_Máx__Rev_231"/>
      <sheetName val="Demanda_de_inspeção31"/>
      <sheetName val="Composição_2011_Máx__Rev_331"/>
      <sheetName val="JAN_P2231"/>
      <sheetName val="JAN_P2131"/>
      <sheetName val="MELHORIAS_E_OPÇÕES31"/>
      <sheetName val="CVRDMenu_xls31"/>
      <sheetName val="Desenvolvimento_Ferroviário31"/>
      <sheetName val="Eng__Via_Permanente31"/>
      <sheetName val="Eng__Material_Rodante31"/>
      <sheetName val="Eng__Eletro_e_Operações31"/>
      <sheetName val="Resumo_Desenvolvimento31"/>
      <sheetName val="Resumo_VP31"/>
      <sheetName val="Resumo_Mat_Rodante31"/>
      <sheetName val="Resumo_Eletro31"/>
      <sheetName val="Usiminas_31"/>
      <sheetName val="CA_540931"/>
      <sheetName val="Simulador_OEE_sem_911_Nov_Dez31"/>
      <sheetName val="Plano_de_Ação_OMR_(2)29"/>
      <sheetName val="Plano_de_Ação_OMTT_(2)29"/>
      <sheetName val="O_indicador29"/>
      <sheetName val="Matriz_de_priorização_GUT29"/>
      <sheetName val="1_-_Resultados29"/>
      <sheetName val="MCS_FEV29"/>
      <sheetName val="MCS_AGO29"/>
      <sheetName val="BUILD_UP_-_Jan29"/>
      <sheetName val="PA_Est__Minimo29"/>
      <sheetName val="Identificação_do_Problema29"/>
      <sheetName val="Observação_do_Problema29"/>
      <sheetName val="Diagrama_de_Causa_e_Efeito_Ro29"/>
      <sheetName val="Técnica_dos_Por_Ques_Rode29"/>
      <sheetName val="Diagrama_de_Causa_e_Efeito_Tr48"/>
      <sheetName val="Diagrama_de_Causa_e_Efeito_Tr49"/>
      <sheetName val="Teste_porquês_truq_29"/>
      <sheetName val="Teste_porquês_Rod29"/>
      <sheetName val="Teste_porquês_Traç29"/>
      <sheetName val="Observação_do_Problema_(2)29"/>
      <sheetName val="Diagrama_de_Causa_e_Efeito__(38"/>
      <sheetName val="BUILD_UP_COMP_29"/>
      <sheetName val="2_-_BUILD_UP_-_Maio29"/>
      <sheetName val="MCS_MAR29"/>
      <sheetName val="MCS_ABRIL29"/>
      <sheetName val="MCS_ACUMULADO29"/>
      <sheetName val="MCS_MAIO29"/>
      <sheetName val="Plano_de_Ação_OMR29"/>
      <sheetName val="BD_Grafico29"/>
      <sheetName val="Produção_de_Março_-_OMR29"/>
      <sheetName val="Fila_de_Rodeiros29"/>
      <sheetName val="Usinados_Montagem29"/>
      <sheetName val="Perfil_de_Entrada_de_rodeiros29"/>
      <sheetName val="Análise_Extra29"/>
      <sheetName val="Plano_de_Ação_OMTT29"/>
      <sheetName val="3_-_PARETOS29"/>
      <sheetName val="MCS_JUNHO29"/>
      <sheetName val="2_-_BUILD_UP_-_Abr_(2)29"/>
      <sheetName val="Planos_de_ação9"/>
      <sheetName val="Build-up_US$_(2010)29"/>
      <sheetName val="Curva_29"/>
      <sheetName val="Painel_Engenharia_R$29"/>
      <sheetName val="Resumo_do_Painel29"/>
      <sheetName val="Resumo_IOI29"/>
      <sheetName val="Quadro_IOI_201429"/>
      <sheetName val="Curva_Baseline_201429"/>
      <sheetName val="Capex_Eco29"/>
      <sheetName val="Capex_Fin29"/>
      <sheetName val="Curva_Eco_Investimento29"/>
      <sheetName val="Curva_Fin_Investimento29"/>
      <sheetName val="Curva_Despesa29"/>
      <sheetName val="Ferrovia_Análise_Tendência29"/>
      <sheetName val="Dinâm_IOI_fabio29"/>
      <sheetName val="CONTRATOS_EEFC29"/>
      <sheetName val="ANALISE_EXC__MÊS29"/>
      <sheetName val="RESUMO_DESAFIO29"/>
      <sheetName val="2011_Curvas_Fin29"/>
      <sheetName val="Saldos_PA's29"/>
      <sheetName val="2012_Curvas_Fin_(R$)29"/>
      <sheetName val="Ramal_(temp)29"/>
      <sheetName val="Ramal_-_Pacotes29"/>
      <sheetName val="Linhas__Ramais29"/>
      <sheetName val="Owner_Costs29"/>
      <sheetName val="Desembolso_R$29"/>
      <sheetName val="Controle_Pagamentos29"/>
      <sheetName val="CONTRATOS_TFPM29"/>
      <sheetName val="2_-_BUILD_UP_-_Julho9"/>
      <sheetName val="MCS_JULHO9"/>
      <sheetName val="Rateio_Eco_-_Fin_-_Fis7"/>
      <sheetName val="EST__CAPEX_eco_fin7"/>
      <sheetName val="Cálculo_Reajuste7"/>
      <sheetName val="Estrutura_SAP7"/>
      <sheetName val="Principais_Contratos7"/>
      <sheetName val="PA_e_TAREFA7"/>
      <sheetName val="CP_-_Sintético7"/>
      <sheetName val="Gerrot_GAPPG9"/>
      <sheetName val="Acidentes_CPT_e_SPT_-_SUPV_9"/>
      <sheetName val="Ocorrências_Ferroviárias-SUPV_9"/>
      <sheetName val="Custeio_Fixo_-_SUPV_9"/>
      <sheetName val="Pessoal_-_SUPV_9"/>
      <sheetName val="Conhecendo_a_composição_M18"/>
      <sheetName val="Insumos_e_Produtos8"/>
      <sheetName val="Itens_de_Controle_-_Nice8"/>
      <sheetName val="PA_-_Receita_Líquida_Guseiros8"/>
      <sheetName val="PA_-_Gusa_Norte_(2)8"/>
      <sheetName val="Just_Nat_57_B8"/>
      <sheetName val="Solicitação_Gestão7"/>
      <sheetName val="JUST_NAT_527"/>
      <sheetName val="CUSTO_LARANJEIRAS7"/>
      <sheetName val="app_a,_10b7"/>
      <sheetName val="VP1_Corinto7"/>
      <sheetName val="Plan2_(2)9"/>
      <sheetName val="TC_IN8"/>
      <sheetName val="GAVNG_-EPI7"/>
      <sheetName val="invest_7"/>
      <sheetName val="_PIPEWORK_1__7"/>
      <sheetName val="Anomalia_Acao7"/>
      <sheetName val="Base_9"/>
      <sheetName val="MatrizDILN_(2)8"/>
      <sheetName val="Parâmetros_Caso_Base7"/>
      <sheetName val="BASE_DE_DADOS7"/>
      <sheetName val="MUTUAL_FUND_SALES_BY_QTR8"/>
      <sheetName val="ISS_VOL_MUTUAL_FUND_SALES8"/>
      <sheetName val="Graficos_acumulados_totalizado8"/>
      <sheetName val="Graficos_áreas8"/>
      <sheetName val="Indice_Precos_Mes7"/>
      <sheetName val="Seleção_Projetos9"/>
      <sheetName val="Misc__data7"/>
      <sheetName val="Ref_Numbers7"/>
      <sheetName val="Previsão_de_Vagões7"/>
      <sheetName val="1_Pgm7"/>
      <sheetName val="BANCO_DE_DADOS_ESTRUTURA7"/>
      <sheetName val="Price_List7"/>
      <sheetName val="Histograma_-_Detalhe8"/>
      <sheetName val="METRICAS_GVA7"/>
      <sheetName val="Descritivo_Fraturas_Centro7"/>
      <sheetName val="Apoio_Validação7"/>
      <sheetName val="Apoio_Etapa_6_-_Viagens7"/>
      <sheetName val="FCD_MFe9"/>
      <sheetName val="Edison_Correia7"/>
      <sheetName val="MH_Installations7"/>
      <sheetName val="ACOPL_ENG7"/>
      <sheetName val="Caract__Contratos_-_Dez-007"/>
      <sheetName val="Just_Nat_517"/>
      <sheetName val="Controle_Comp_7"/>
      <sheetName val="FEVEREIRO_-_DORM-LARGA7"/>
      <sheetName val="Progresso_Econômica_Projeto7"/>
      <sheetName val="CONTRATO_W7"/>
      <sheetName val="Tab__GConta_NOP8"/>
      <sheetName val="Tab__GConta_OP8"/>
      <sheetName val="Tab__GConta_OP_(2)8"/>
      <sheetName val="Números_da_Oficina8"/>
      <sheetName val="Lente_-_dipd9"/>
      <sheetName val="Lente_VALE9"/>
      <sheetName val="Premissas_Preenchimento_BAY8"/>
      <sheetName val="Avanço_Físico_IOI_BAY8"/>
      <sheetName val="Avanço_Econômico_IOI_BAY8"/>
      <sheetName val="Ad__Proj__Financ_IEF_BAY8"/>
      <sheetName val="Baseline_Físico_BAY8"/>
      <sheetName val="Baseline_Econômico_BAY8"/>
      <sheetName val="Milestones_BAY8"/>
      <sheetName val="Licencas_Bayovar8"/>
      <sheetName val="FAIXAS_-_META_VALE_BAYOVAR8"/>
      <sheetName val="Milestones_PRC8"/>
      <sheetName val="Premissas_Preenchimento_CLN8"/>
      <sheetName val="Avanço_Físico_IOI_CLN8"/>
      <sheetName val="Avanço_Econômico_IOI_CLN8"/>
      <sheetName val="Ad__Proj__Financ_IEF_CLN8"/>
      <sheetName val="Baseline_Físico_CLN8"/>
      <sheetName val="Baseline_Econômico_CLN8"/>
      <sheetName val="Milestones_CLN8"/>
      <sheetName val="FAIXAS_-_CALCULADORA_CLN_8"/>
      <sheetName val="DB_do_TST7"/>
      <sheetName val="DTOs_Tração7"/>
      <sheetName val="5_47"/>
      <sheetName val="Resultado_da_Simulação_D+18"/>
      <sheetName val="Viabilidade_Econômica8"/>
      <sheetName val="Operações_de_Swap7"/>
      <sheetName val="Banco_de_dados7"/>
      <sheetName val="Financials_USD$7"/>
      <sheetName val="Desembolso_Financeiro7"/>
      <sheetName val="Produção_7"/>
      <sheetName val="Diagrama_de_Causa_e_Efeito6"/>
      <sheetName val="Causa_e_Medida6"/>
      <sheetName val="Plano_de_Ação6"/>
      <sheetName val="Avanço_%6"/>
      <sheetName val="01_(2)6"/>
      <sheetName val="Controle_De_Inpeções35"/>
      <sheetName val="Controle_De_Inpeções_(2)35"/>
      <sheetName val="Controle_De_Inpeções_(3)35"/>
      <sheetName val="Imob_frota_GAVAG_35"/>
      <sheetName val="grafico-CARGA_GERAL35"/>
      <sheetName val="Restrições_de_Velocidade35"/>
      <sheetName val="Ultra_som_-_200735"/>
      <sheetName val="Trem_Hora_Parado35"/>
      <sheetName val="Ocorrências_Ferroviárias35"/>
      <sheetName val="Aprovisionamento_de_Materiais35"/>
      <sheetName val="Grafico_Geral_Orçamento35"/>
      <sheetName val="Check_List-_Gerrot35"/>
      <sheetName val="EAP_rev_0032"/>
      <sheetName val="CC_42432"/>
      <sheetName val="NÃO_CRÍTICOS32"/>
      <sheetName val="CONSOLIDADO_GAENY32"/>
      <sheetName val="ORÇADO_-_CONF__GIC32"/>
      <sheetName val="ALEXANDRE_-_NÃO_CRÍTICOS32"/>
      <sheetName val="LEONARDO__-_CRÍTICOS32"/>
      <sheetName val="LEONARDO__-_NÃO_CRÍTICOS32"/>
      <sheetName val="PAULO_-_CRÍTICOS32"/>
      <sheetName val="PAULO_-_NÃO_CRÍTICOS32"/>
      <sheetName val="Gestão_Econômica32"/>
      <sheetName val="INFO_32"/>
      <sheetName val="Evolução_Etapas_Cal_Mag31"/>
      <sheetName val="Evolução_Etapas_Cromo31"/>
      <sheetName val="Grupo_x_Justif31"/>
      <sheetName val="Disp_2005_FCA31"/>
      <sheetName val="Resumo_EFVM31"/>
      <sheetName val="thp_31"/>
      <sheetName val="Consolida_Investimento31"/>
      <sheetName val="consolidado_preventivas31"/>
      <sheetName val="Vg__Inventariados-dados31"/>
      <sheetName val="p_ação_3G_UT30"/>
      <sheetName val="p_ação_3G_UT_(2)30"/>
      <sheetName val="Painel_de_controle30"/>
      <sheetName val="MKBF_MI30"/>
      <sheetName val="MKBF_CG30"/>
      <sheetName val="Nº_de_Falhas_MI30"/>
      <sheetName val="Nº_de_Falhas_CG30"/>
      <sheetName val="Nº_de_Falhas_PA30"/>
      <sheetName val="Falhas_sup_Freio30"/>
      <sheetName val="Falhas_MI-sist_Freio30"/>
      <sheetName val="Falhas_CG-sist_Freio30"/>
      <sheetName val="Falhas_sup_Vagão30"/>
      <sheetName val="Falhas_MI-sist_Sup30"/>
      <sheetName val="Falhas_CG_-sist_Sup30"/>
      <sheetName val="Falhas_sup_CG30"/>
      <sheetName val="Falhas_sup_Rodeiro-MI_CG_PA30"/>
      <sheetName val="Falhas_CG-sist_Rodeiro30"/>
      <sheetName val="Falhas_MI-sist_Rodeiro30"/>
      <sheetName val="Falhas_PA-sist_Rodeiro30"/>
      <sheetName val="Falhas_sup_T&amp;T30"/>
      <sheetName val="Falhas_TT-MI30"/>
      <sheetName val="Falhas_TT-CG30"/>
      <sheetName val="Falhas_MI-sist_Truque30"/>
      <sheetName val="Falhas_CG-sist_Truque30"/>
      <sheetName val="Falhas_MI-sist_Tração30"/>
      <sheetName val="Falhas_CG-sist_Tração30"/>
      <sheetName val="POR_DIRETORIA30"/>
      <sheetName val="ROS_VV30"/>
      <sheetName val="Cronograma_de_Reuniões_LICL30"/>
      <sheetName val="Cronograma_de_Reuniões_LEFEL30"/>
      <sheetName val="Pauta_C_Geral_Ferrovia30"/>
      <sheetName val="Agenda_Logistica_201230"/>
      <sheetName val="Cashflow_(na)30"/>
      <sheetName val="Análise_Certificação_30"/>
      <sheetName val="bdados_200530"/>
      <sheetName val="AR_Signature_Page30"/>
      <sheetName val="Check_List30"/>
      <sheetName val="HISTORICO_DEF_X_REB30"/>
      <sheetName val="PAINEL_DE_FALHAS30"/>
      <sheetName val="_INDICADORES_FINANCEIROS30"/>
      <sheetName val="RECEITA_BRUTA30"/>
      <sheetName val="_COMPOSIÇÃO_DO_CPV_30"/>
      <sheetName val="_INDICADORES_DE_ENDIVIDAMENTO30"/>
      <sheetName val="MINERAIS_FERROSOS30"/>
      <sheetName val="BULK_MATERIALS30"/>
      <sheetName val="MINERAIS_NÃO_FERROSOS30"/>
      <sheetName val="DEMONSTRAÇÃO_DE_RESULTADO30"/>
      <sheetName val="_DESPESAS_FINANCEIRAS30"/>
      <sheetName val="_RESULTADO_DE_P__SOCIETÁRIAS30"/>
      <sheetName val="_BALANÇO_PATRIMONIAL30"/>
      <sheetName val="_FLUXO_DE_CAIXA30"/>
      <sheetName val="_VOLUME_outros30"/>
      <sheetName val="PRECOS_MEDIOS30"/>
      <sheetName val="Margens_Operacionais30"/>
      <sheetName val="Itens_de_controle30"/>
      <sheetName val="Check_Farol30"/>
      <sheetName val="Pessoal_CVRD30"/>
      <sheetName val="Composição_2011_Máx__Rev_230"/>
      <sheetName val="Demanda_de_inspeção30"/>
      <sheetName val="Composição_2011_Máx__Rev_330"/>
      <sheetName val="JAN_P2230"/>
      <sheetName val="JAN_P2130"/>
      <sheetName val="MELHORIAS_E_OPÇÕES30"/>
      <sheetName val="CVRDMenu_xls30"/>
      <sheetName val="Desenvolvimento_Ferroviário30"/>
      <sheetName val="Eng__Via_Permanente30"/>
      <sheetName val="Eng__Material_Rodante30"/>
      <sheetName val="Eng__Eletro_e_Operações30"/>
      <sheetName val="Resumo_Desenvolvimento30"/>
      <sheetName val="Resumo_VP30"/>
      <sheetName val="Resumo_Mat_Rodante30"/>
      <sheetName val="Resumo_Eletro30"/>
      <sheetName val="Usiminas_30"/>
      <sheetName val="CA_540930"/>
      <sheetName val="Simulador_OEE_sem_911_Nov_Dez30"/>
      <sheetName val="Plano_de_Ação_OMR_(2)28"/>
      <sheetName val="Plano_de_Ação_OMTT_(2)28"/>
      <sheetName val="O_indicador28"/>
      <sheetName val="Matriz_de_priorização_GUT28"/>
      <sheetName val="1_-_Resultados28"/>
      <sheetName val="MCS_FEV28"/>
      <sheetName val="MCS_AGO28"/>
      <sheetName val="BUILD_UP_-_Jan28"/>
      <sheetName val="PA_Est__Minimo28"/>
      <sheetName val="Identificação_do_Problema28"/>
      <sheetName val="Observação_do_Problema28"/>
      <sheetName val="Diagrama_de_Causa_e_Efeito_Ro28"/>
      <sheetName val="Técnica_dos_Por_Ques_Rode28"/>
      <sheetName val="Diagrama_de_Causa_e_Efeito_Tr46"/>
      <sheetName val="Diagrama_de_Causa_e_Efeito_Tr47"/>
      <sheetName val="Teste_porquês_truq_28"/>
      <sheetName val="Teste_porquês_Rod28"/>
      <sheetName val="Teste_porquês_Traç28"/>
      <sheetName val="Observação_do_Problema_(2)28"/>
      <sheetName val="Diagrama_de_Causa_e_Efeito__(37"/>
      <sheetName val="BUILD_UP_COMP_28"/>
      <sheetName val="2_-_BUILD_UP_-_Maio28"/>
      <sheetName val="MCS_MAR28"/>
      <sheetName val="MCS_ABRIL28"/>
      <sheetName val="MCS_ACUMULADO28"/>
      <sheetName val="MCS_MAIO28"/>
      <sheetName val="Plano_de_Ação_OMR28"/>
      <sheetName val="BD_Grafico28"/>
      <sheetName val="Produção_de_Março_-_OMR28"/>
      <sheetName val="Fila_de_Rodeiros28"/>
      <sheetName val="Usinados_Montagem28"/>
      <sheetName val="Perfil_de_Entrada_de_rodeiros28"/>
      <sheetName val="Análise_Extra28"/>
      <sheetName val="Plano_de_Ação_OMTT28"/>
      <sheetName val="3_-_PARETOS28"/>
      <sheetName val="MCS_JUNHO28"/>
      <sheetName val="2_-_BUILD_UP_-_Abr_(2)28"/>
      <sheetName val="Planos_de_ação8"/>
      <sheetName val="Build-up_US$_(2010)28"/>
      <sheetName val="Curva_28"/>
      <sheetName val="Painel_Engenharia_R$28"/>
      <sheetName val="Resumo_do_Painel28"/>
      <sheetName val="Resumo_IOI28"/>
      <sheetName val="Quadro_IOI_201428"/>
      <sheetName val="Curva_Baseline_201428"/>
      <sheetName val="Capex_Eco28"/>
      <sheetName val="Capex_Fin28"/>
      <sheetName val="Curva_Eco_Investimento28"/>
      <sheetName val="Curva_Fin_Investimento28"/>
      <sheetName val="Curva_Despesa28"/>
      <sheetName val="Ferrovia_Análise_Tendência28"/>
      <sheetName val="Dinâm_IOI_fabio28"/>
      <sheetName val="CONTRATOS_EEFC28"/>
      <sheetName val="ANALISE_EXC__MÊS28"/>
      <sheetName val="RESUMO_DESAFIO28"/>
      <sheetName val="2011_Curvas_Fin28"/>
      <sheetName val="Saldos_PA's28"/>
      <sheetName val="2012_Curvas_Fin_(R$)28"/>
      <sheetName val="Ramal_(temp)28"/>
      <sheetName val="Ramal_-_Pacotes28"/>
      <sheetName val="Linhas__Ramais28"/>
      <sheetName val="Owner_Costs28"/>
      <sheetName val="Desembolso_R$28"/>
      <sheetName val="Controle_Pagamentos28"/>
      <sheetName val="CONTRATOS_TFPM28"/>
      <sheetName val="2_-_BUILD_UP_-_Julho8"/>
      <sheetName val="MCS_JULHO8"/>
      <sheetName val="Rateio_Eco_-_Fin_-_Fis6"/>
      <sheetName val="EST__CAPEX_eco_fin6"/>
      <sheetName val="Cálculo_Reajuste6"/>
      <sheetName val="Estrutura_SAP6"/>
      <sheetName val="Principais_Contratos6"/>
      <sheetName val="PA_e_TAREFA6"/>
      <sheetName val="CP_-_Sintético6"/>
      <sheetName val="Gerrot_GAPPG8"/>
      <sheetName val="Acidentes_CPT_e_SPT_-_SUPV_8"/>
      <sheetName val="Ocorrências_Ferroviárias-SUPV_8"/>
      <sheetName val="Custeio_Fixo_-_SUPV_8"/>
      <sheetName val="Pessoal_-_SUPV_8"/>
      <sheetName val="Conhecendo_a_composição_M17"/>
      <sheetName val="Insumos_e_Produtos7"/>
      <sheetName val="Itens_de_Controle_-_Nice7"/>
      <sheetName val="PA_-_Receita_Líquida_Guseiros7"/>
      <sheetName val="PA_-_Gusa_Norte_(2)7"/>
      <sheetName val="Just_Nat_57_B7"/>
      <sheetName val="Solicitação_Gestão6"/>
      <sheetName val="JUST_NAT_526"/>
      <sheetName val="CUSTO_LARANJEIRAS6"/>
      <sheetName val="app_a,_10b6"/>
      <sheetName val="VP1_Corinto6"/>
      <sheetName val="Plan2_(2)8"/>
      <sheetName val="TC_IN7"/>
      <sheetName val="GAVNG_-EPI6"/>
      <sheetName val="invest_6"/>
      <sheetName val="_PIPEWORK_1__6"/>
      <sheetName val="Anomalia_Acao6"/>
      <sheetName val="Base_8"/>
      <sheetName val="MatrizDILN_(2)7"/>
      <sheetName val="Parâmetros_Caso_Base6"/>
      <sheetName val="BASE_DE_DADOS6"/>
      <sheetName val="MUTUAL_FUND_SALES_BY_QTR7"/>
      <sheetName val="ISS_VOL_MUTUAL_FUND_SALES7"/>
      <sheetName val="Graficos_acumulados_totalizado7"/>
      <sheetName val="Graficos_áreas7"/>
      <sheetName val="Indice_Precos_Mes6"/>
      <sheetName val="Seleção_Projetos8"/>
      <sheetName val="Misc__data6"/>
      <sheetName val="Ref_Numbers6"/>
      <sheetName val="Previsão_de_Vagões6"/>
      <sheetName val="1_Pgm6"/>
      <sheetName val="BANCO_DE_DADOS_ESTRUTURA6"/>
      <sheetName val="Price_List6"/>
      <sheetName val="Histograma_-_Detalhe7"/>
      <sheetName val="METRICAS_GVA6"/>
      <sheetName val="Descritivo_Fraturas_Centro6"/>
      <sheetName val="Apoio_Validação6"/>
      <sheetName val="Apoio_Etapa_6_-_Viagens6"/>
      <sheetName val="FCD_MFe8"/>
      <sheetName val="Edison_Correia6"/>
      <sheetName val="MH_Installations6"/>
      <sheetName val="ACOPL_ENG6"/>
      <sheetName val="Caract__Contratos_-_Dez-006"/>
      <sheetName val="Just_Nat_516"/>
      <sheetName val="Controle_Comp_6"/>
      <sheetName val="FEVEREIRO_-_DORM-LARGA6"/>
      <sheetName val="Progresso_Econômica_Projeto6"/>
      <sheetName val="CONTRATO_W6"/>
      <sheetName val="Tab__GConta_NOP7"/>
      <sheetName val="Tab__GConta_OP7"/>
      <sheetName val="Tab__GConta_OP_(2)7"/>
      <sheetName val="Números_da_Oficina7"/>
      <sheetName val="Lente_-_dipd8"/>
      <sheetName val="Lente_VALE8"/>
      <sheetName val="Premissas_Preenchimento_BAY7"/>
      <sheetName val="Avanço_Físico_IOI_BAY7"/>
      <sheetName val="Avanço_Econômico_IOI_BAY7"/>
      <sheetName val="Ad__Proj__Financ_IEF_BAY7"/>
      <sheetName val="Baseline_Físico_BAY7"/>
      <sheetName val="Baseline_Econômico_BAY7"/>
      <sheetName val="Milestones_BAY7"/>
      <sheetName val="Licencas_Bayovar7"/>
      <sheetName val="FAIXAS_-_META_VALE_BAYOVAR7"/>
      <sheetName val="Milestones_PRC7"/>
      <sheetName val="Premissas_Preenchimento_CLN7"/>
      <sheetName val="Avanço_Físico_IOI_CLN7"/>
      <sheetName val="Avanço_Econômico_IOI_CLN7"/>
      <sheetName val="Ad__Proj__Financ_IEF_CLN7"/>
      <sheetName val="Baseline_Físico_CLN7"/>
      <sheetName val="Baseline_Econômico_CLN7"/>
      <sheetName val="Milestones_CLN7"/>
      <sheetName val="FAIXAS_-_CALCULADORA_CLN_7"/>
      <sheetName val="DB_do_TST6"/>
      <sheetName val="DTOs_Tração6"/>
      <sheetName val="5_46"/>
      <sheetName val="Resultado_da_Simulação_D+17"/>
      <sheetName val="Viabilidade_Econômica7"/>
      <sheetName val="Operações_de_Swap6"/>
      <sheetName val="Banco_de_dados6"/>
      <sheetName val="Financials_USD$6"/>
      <sheetName val="Desembolso_Financeiro6"/>
      <sheetName val="Produção_6"/>
      <sheetName val="Diagrama_de_Causa_e_Efeito5"/>
      <sheetName val="Causa_e_Medida5"/>
      <sheetName val="Plano_de_Ação5"/>
      <sheetName val="Avanço_%5"/>
      <sheetName val="01_(2)5"/>
      <sheetName val="Controle_De_Inpeções37"/>
      <sheetName val="Controle_De_Inpeções_(2)37"/>
      <sheetName val="Controle_De_Inpeções_(3)37"/>
      <sheetName val="Imob_frota_GAVAG_37"/>
      <sheetName val="grafico-CARGA_GERAL37"/>
      <sheetName val="Restrições_de_Velocidade37"/>
      <sheetName val="Ultra_som_-_200737"/>
      <sheetName val="Trem_Hora_Parado37"/>
      <sheetName val="Ocorrências_Ferroviárias37"/>
      <sheetName val="Aprovisionamento_de_Materiais37"/>
      <sheetName val="Grafico_Geral_Orçamento37"/>
      <sheetName val="Check_List-_Gerrot37"/>
      <sheetName val="EAP_rev_0034"/>
      <sheetName val="CC_42434"/>
      <sheetName val="NÃO_CRÍTICOS34"/>
      <sheetName val="CONSOLIDADO_GAENY34"/>
      <sheetName val="ORÇADO_-_CONF__GIC34"/>
      <sheetName val="ALEXANDRE_-_NÃO_CRÍTICOS34"/>
      <sheetName val="LEONARDO__-_CRÍTICOS34"/>
      <sheetName val="LEONARDO__-_NÃO_CRÍTICOS34"/>
      <sheetName val="PAULO_-_CRÍTICOS34"/>
      <sheetName val="PAULO_-_NÃO_CRÍTICOS34"/>
      <sheetName val="Gestão_Econômica34"/>
      <sheetName val="INFO_34"/>
      <sheetName val="Evolução_Etapas_Cal_Mag33"/>
      <sheetName val="Evolução_Etapas_Cromo33"/>
      <sheetName val="Grupo_x_Justif33"/>
      <sheetName val="Disp_2005_FCA33"/>
      <sheetName val="Resumo_EFVM33"/>
      <sheetName val="thp_33"/>
      <sheetName val="Consolida_Investimento33"/>
      <sheetName val="consolidado_preventivas33"/>
      <sheetName val="Vg__Inventariados-dados33"/>
      <sheetName val="p_ação_3G_UT32"/>
      <sheetName val="p_ação_3G_UT_(2)32"/>
      <sheetName val="Painel_de_controle32"/>
      <sheetName val="MKBF_MI32"/>
      <sheetName val="MKBF_CG32"/>
      <sheetName val="Nº_de_Falhas_MI32"/>
      <sheetName val="Nº_de_Falhas_CG32"/>
      <sheetName val="Nº_de_Falhas_PA32"/>
      <sheetName val="Falhas_sup_Freio32"/>
      <sheetName val="Falhas_MI-sist_Freio32"/>
      <sheetName val="Falhas_CG-sist_Freio32"/>
      <sheetName val="Falhas_sup_Vagão32"/>
      <sheetName val="Falhas_MI-sist_Sup32"/>
      <sheetName val="Falhas_CG_-sist_Sup32"/>
      <sheetName val="Falhas_sup_CG32"/>
      <sheetName val="Falhas_sup_Rodeiro-MI_CG_PA32"/>
      <sheetName val="Falhas_CG-sist_Rodeiro32"/>
      <sheetName val="Falhas_MI-sist_Rodeiro32"/>
      <sheetName val="Falhas_PA-sist_Rodeiro32"/>
      <sheetName val="Falhas_sup_T&amp;T32"/>
      <sheetName val="Falhas_TT-MI32"/>
      <sheetName val="Falhas_TT-CG32"/>
      <sheetName val="Falhas_MI-sist_Truque32"/>
      <sheetName val="Falhas_CG-sist_Truque32"/>
      <sheetName val="Falhas_MI-sist_Tração32"/>
      <sheetName val="Falhas_CG-sist_Tração32"/>
      <sheetName val="POR_DIRETORIA32"/>
      <sheetName val="ROS_VV32"/>
      <sheetName val="Cronograma_de_Reuniões_LICL32"/>
      <sheetName val="Cronograma_de_Reuniões_LEFEL32"/>
      <sheetName val="Pauta_C_Geral_Ferrovia32"/>
      <sheetName val="Agenda_Logistica_201232"/>
      <sheetName val="Cashflow_(na)32"/>
      <sheetName val="Análise_Certificação_32"/>
      <sheetName val="bdados_200532"/>
      <sheetName val="AR_Signature_Page32"/>
      <sheetName val="Check_List32"/>
      <sheetName val="HISTORICO_DEF_X_REB32"/>
      <sheetName val="PAINEL_DE_FALHAS32"/>
      <sheetName val="_INDICADORES_FINANCEIROS32"/>
      <sheetName val="RECEITA_BRUTA32"/>
      <sheetName val="_COMPOSIÇÃO_DO_CPV_32"/>
      <sheetName val="_INDICADORES_DE_ENDIVIDAMENTO32"/>
      <sheetName val="MINERAIS_FERROSOS32"/>
      <sheetName val="BULK_MATERIALS32"/>
      <sheetName val="MINERAIS_NÃO_FERROSOS32"/>
      <sheetName val="DEMONSTRAÇÃO_DE_RESULTADO32"/>
      <sheetName val="_DESPESAS_FINANCEIRAS32"/>
      <sheetName val="_RESULTADO_DE_P__SOCIETÁRIAS32"/>
      <sheetName val="_BALANÇO_PATRIMONIAL32"/>
      <sheetName val="_FLUXO_DE_CAIXA32"/>
      <sheetName val="_VOLUME_outros32"/>
      <sheetName val="PRECOS_MEDIOS32"/>
      <sheetName val="Margens_Operacionais32"/>
      <sheetName val="Itens_de_controle32"/>
      <sheetName val="Check_Farol32"/>
      <sheetName val="Pessoal_CVRD32"/>
      <sheetName val="Composição_2011_Máx__Rev_232"/>
      <sheetName val="Demanda_de_inspeção32"/>
      <sheetName val="Composição_2011_Máx__Rev_332"/>
      <sheetName val="JAN_P2232"/>
      <sheetName val="JAN_P2132"/>
      <sheetName val="MELHORIAS_E_OPÇÕES32"/>
      <sheetName val="CVRDMenu_xls32"/>
      <sheetName val="Desenvolvimento_Ferroviário32"/>
      <sheetName val="Eng__Via_Permanente32"/>
      <sheetName val="Eng__Material_Rodante32"/>
      <sheetName val="Eng__Eletro_e_Operações32"/>
      <sheetName val="Resumo_Desenvolvimento32"/>
      <sheetName val="Resumo_VP32"/>
      <sheetName val="Resumo_Mat_Rodante32"/>
      <sheetName val="Resumo_Eletro32"/>
      <sheetName val="Usiminas_32"/>
      <sheetName val="CA_540932"/>
      <sheetName val="Simulador_OEE_sem_911_Nov_Dez32"/>
      <sheetName val="Plano_de_Ação_OMR_(2)30"/>
      <sheetName val="Plano_de_Ação_OMTT_(2)30"/>
      <sheetName val="O_indicador30"/>
      <sheetName val="Matriz_de_priorização_GUT30"/>
      <sheetName val="1_-_Resultados30"/>
      <sheetName val="MCS_FEV30"/>
      <sheetName val="MCS_AGO30"/>
      <sheetName val="BUILD_UP_-_Jan30"/>
      <sheetName val="PA_Est__Minimo30"/>
      <sheetName val="Identificação_do_Problema30"/>
      <sheetName val="Observação_do_Problema30"/>
      <sheetName val="Diagrama_de_Causa_e_Efeito_Ro30"/>
      <sheetName val="Técnica_dos_Por_Ques_Rode30"/>
      <sheetName val="Diagrama_de_Causa_e_Efeito_Tr50"/>
      <sheetName val="Diagrama_de_Causa_e_Efeito_Tr51"/>
      <sheetName val="Teste_porquês_truq_30"/>
      <sheetName val="Teste_porquês_Rod30"/>
      <sheetName val="Teste_porquês_Traç30"/>
      <sheetName val="Observação_do_Problema_(2)30"/>
      <sheetName val="Diagrama_de_Causa_e_Efeito__(39"/>
      <sheetName val="BUILD_UP_COMP_30"/>
      <sheetName val="2_-_BUILD_UP_-_Maio30"/>
      <sheetName val="MCS_MAR30"/>
      <sheetName val="MCS_ABRIL30"/>
      <sheetName val="MCS_ACUMULADO30"/>
      <sheetName val="MCS_MAIO30"/>
      <sheetName val="Plano_de_Ação_OMR30"/>
      <sheetName val="BD_Grafico30"/>
      <sheetName val="Produção_de_Março_-_OMR30"/>
      <sheetName val="Fila_de_Rodeiros30"/>
      <sheetName val="Usinados_Montagem30"/>
      <sheetName val="Perfil_de_Entrada_de_rodeiros30"/>
      <sheetName val="Análise_Extra30"/>
      <sheetName val="Plano_de_Ação_OMTT30"/>
      <sheetName val="3_-_PARETOS30"/>
      <sheetName val="MCS_JUNHO30"/>
      <sheetName val="2_-_BUILD_UP_-_Abr_(2)30"/>
      <sheetName val="Planos_de_ação10"/>
      <sheetName val="Build-up_US$_(2010)30"/>
      <sheetName val="Curva_30"/>
      <sheetName val="Painel_Engenharia_R$30"/>
      <sheetName val="Resumo_do_Painel30"/>
      <sheetName val="Resumo_IOI30"/>
      <sheetName val="Quadro_IOI_201430"/>
      <sheetName val="Curva_Baseline_201430"/>
      <sheetName val="Capex_Eco30"/>
      <sheetName val="Capex_Fin30"/>
      <sheetName val="Curva_Eco_Investimento30"/>
      <sheetName val="Curva_Fin_Investimento30"/>
      <sheetName val="Curva_Despesa30"/>
      <sheetName val="Ferrovia_Análise_Tendência30"/>
      <sheetName val="Dinâm_IOI_fabio30"/>
      <sheetName val="CONTRATOS_EEFC30"/>
      <sheetName val="ANALISE_EXC__MÊS30"/>
      <sheetName val="RESUMO_DESAFIO30"/>
      <sheetName val="2011_Curvas_Fin30"/>
      <sheetName val="Saldos_PA's30"/>
      <sheetName val="2012_Curvas_Fin_(R$)30"/>
      <sheetName val="Ramal_(temp)30"/>
      <sheetName val="Ramal_-_Pacotes30"/>
      <sheetName val="Linhas__Ramais30"/>
      <sheetName val="Owner_Costs30"/>
      <sheetName val="Desembolso_R$30"/>
      <sheetName val="Controle_Pagamentos30"/>
      <sheetName val="CONTRATOS_TFPM30"/>
      <sheetName val="2_-_BUILD_UP_-_Julho10"/>
      <sheetName val="MCS_JULHO10"/>
      <sheetName val="Rateio_Eco_-_Fin_-_Fis8"/>
      <sheetName val="EST__CAPEX_eco_fin8"/>
      <sheetName val="Cálculo_Reajuste8"/>
      <sheetName val="Estrutura_SAP8"/>
      <sheetName val="Principais_Contratos8"/>
      <sheetName val="PA_e_TAREFA8"/>
      <sheetName val="CP_-_Sintético8"/>
      <sheetName val="Gerrot_GAPPG10"/>
      <sheetName val="Acidentes_CPT_e_SPT_-_SUPV_10"/>
      <sheetName val="Ocorrências_Ferroviárias-SUPV10"/>
      <sheetName val="Custeio_Fixo_-_SUPV_10"/>
      <sheetName val="Pessoal_-_SUPV_10"/>
      <sheetName val="Conhecendo_a_composição_M19"/>
      <sheetName val="Insumos_e_Produtos9"/>
      <sheetName val="Itens_de_Controle_-_Nice9"/>
      <sheetName val="PA_-_Receita_Líquida_Guseiros9"/>
      <sheetName val="PA_-_Gusa_Norte_(2)9"/>
      <sheetName val="Just_Nat_57_B9"/>
      <sheetName val="Solicitação_Gestão8"/>
      <sheetName val="JUST_NAT_528"/>
      <sheetName val="CUSTO_LARANJEIRAS8"/>
      <sheetName val="app_a,_10b8"/>
      <sheetName val="VP1_Corinto8"/>
      <sheetName val="Plan2_(2)10"/>
      <sheetName val="TC_IN9"/>
      <sheetName val="GAVNG_-EPI8"/>
      <sheetName val="invest_8"/>
      <sheetName val="_PIPEWORK_1__8"/>
      <sheetName val="Anomalia_Acao8"/>
      <sheetName val="Base_10"/>
      <sheetName val="MatrizDILN_(2)9"/>
      <sheetName val="Parâmetros_Caso_Base8"/>
      <sheetName val="BASE_DE_DADOS8"/>
      <sheetName val="MUTUAL_FUND_SALES_BY_QTR9"/>
      <sheetName val="ISS_VOL_MUTUAL_FUND_SALES9"/>
      <sheetName val="Graficos_acumulados_totalizado9"/>
      <sheetName val="Graficos_áreas9"/>
      <sheetName val="Indice_Precos_Mes8"/>
      <sheetName val="Seleção_Projetos10"/>
      <sheetName val="Misc__data8"/>
      <sheetName val="Ref_Numbers8"/>
      <sheetName val="Previsão_de_Vagões8"/>
      <sheetName val="1_Pgm8"/>
      <sheetName val="BANCO_DE_DADOS_ESTRUTURA8"/>
      <sheetName val="Price_List8"/>
      <sheetName val="Histograma_-_Detalhe9"/>
      <sheetName val="METRICAS_GVA8"/>
      <sheetName val="Descritivo_Fraturas_Centro8"/>
      <sheetName val="Apoio_Validação8"/>
      <sheetName val="Apoio_Etapa_6_-_Viagens8"/>
      <sheetName val="FCD_MFe10"/>
      <sheetName val="Edison_Correia8"/>
      <sheetName val="MH_Installations8"/>
      <sheetName val="ACOPL_ENG8"/>
      <sheetName val="Caract__Contratos_-_Dez-008"/>
      <sheetName val="Just_Nat_518"/>
      <sheetName val="Controle_Comp_8"/>
      <sheetName val="FEVEREIRO_-_DORM-LARGA8"/>
      <sheetName val="Progresso_Econômica_Projeto8"/>
      <sheetName val="CONTRATO_W8"/>
      <sheetName val="Tab__GConta_NOP9"/>
      <sheetName val="Tab__GConta_OP9"/>
      <sheetName val="Tab__GConta_OP_(2)9"/>
      <sheetName val="Números_da_Oficina9"/>
      <sheetName val="Lente_-_dipd10"/>
      <sheetName val="Lente_VALE10"/>
      <sheetName val="Premissas_Preenchimento_BAY9"/>
      <sheetName val="Avanço_Físico_IOI_BAY9"/>
      <sheetName val="Avanço_Econômico_IOI_BAY9"/>
      <sheetName val="Ad__Proj__Financ_IEF_BAY9"/>
      <sheetName val="Baseline_Físico_BAY9"/>
      <sheetName val="Baseline_Econômico_BAY9"/>
      <sheetName val="Milestones_BAY9"/>
      <sheetName val="Licencas_Bayovar9"/>
      <sheetName val="FAIXAS_-_META_VALE_BAYOVAR9"/>
      <sheetName val="Milestones_PRC9"/>
      <sheetName val="Premissas_Preenchimento_CLN9"/>
      <sheetName val="Avanço_Físico_IOI_CLN9"/>
      <sheetName val="Avanço_Econômico_IOI_CLN9"/>
      <sheetName val="Ad__Proj__Financ_IEF_CLN9"/>
      <sheetName val="Baseline_Físico_CLN9"/>
      <sheetName val="Baseline_Econômico_CLN9"/>
      <sheetName val="Milestones_CLN9"/>
      <sheetName val="FAIXAS_-_CALCULADORA_CLN_9"/>
      <sheetName val="DB_do_TST8"/>
      <sheetName val="DTOs_Tração8"/>
      <sheetName val="5_48"/>
      <sheetName val="Resultado_da_Simulação_D+19"/>
      <sheetName val="Viabilidade_Econômica9"/>
      <sheetName val="Operações_de_Swap8"/>
      <sheetName val="Banco_de_dados8"/>
      <sheetName val="Financials_USD$8"/>
      <sheetName val="Desembolso_Financeiro8"/>
      <sheetName val="Produção_8"/>
      <sheetName val="Diagrama_de_Causa_e_Efeito7"/>
      <sheetName val="Causa_e_Medida7"/>
      <sheetName val="Plano_de_Ação7"/>
      <sheetName val="Avanço_%7"/>
      <sheetName val="01_(2)7"/>
      <sheetName val="Controle_De_Inpeções38"/>
      <sheetName val="Controle_De_Inpeções_(2)38"/>
      <sheetName val="Controle_De_Inpeções_(3)38"/>
      <sheetName val="Imob_frota_GAVAG_38"/>
      <sheetName val="grafico-CARGA_GERAL38"/>
      <sheetName val="Restrições_de_Velocidade38"/>
      <sheetName val="Ultra_som_-_200738"/>
      <sheetName val="Trem_Hora_Parado38"/>
      <sheetName val="Ocorrências_Ferroviárias38"/>
      <sheetName val="Aprovisionamento_de_Materiais38"/>
      <sheetName val="Grafico_Geral_Orçamento38"/>
      <sheetName val="Check_List-_Gerrot38"/>
      <sheetName val="EAP_rev_0035"/>
      <sheetName val="CC_42435"/>
      <sheetName val="NÃO_CRÍTICOS35"/>
      <sheetName val="CONSOLIDADO_GAENY35"/>
      <sheetName val="ORÇADO_-_CONF__GIC35"/>
      <sheetName val="ALEXANDRE_-_NÃO_CRÍTICOS35"/>
      <sheetName val="LEONARDO__-_CRÍTICOS35"/>
      <sheetName val="LEONARDO__-_NÃO_CRÍTICOS35"/>
      <sheetName val="PAULO_-_CRÍTICOS35"/>
      <sheetName val="PAULO_-_NÃO_CRÍTICOS35"/>
      <sheetName val="Gestão_Econômica35"/>
      <sheetName val="INFO_35"/>
      <sheetName val="Evolução_Etapas_Cal_Mag34"/>
      <sheetName val="Evolução_Etapas_Cromo34"/>
      <sheetName val="Grupo_x_Justif34"/>
      <sheetName val="Disp_2005_FCA34"/>
      <sheetName val="Resumo_EFVM34"/>
      <sheetName val="thp_34"/>
      <sheetName val="Consolida_Investimento34"/>
      <sheetName val="consolidado_preventivas34"/>
      <sheetName val="Vg__Inventariados-dados34"/>
      <sheetName val="p_ação_3G_UT33"/>
      <sheetName val="p_ação_3G_UT_(2)33"/>
      <sheetName val="Painel_de_controle33"/>
      <sheetName val="MKBF_MI33"/>
      <sheetName val="MKBF_CG33"/>
      <sheetName val="Nº_de_Falhas_MI33"/>
      <sheetName val="Nº_de_Falhas_CG33"/>
      <sheetName val="Nº_de_Falhas_PA33"/>
      <sheetName val="Falhas_sup_Freio33"/>
      <sheetName val="Falhas_MI-sist_Freio33"/>
      <sheetName val="Falhas_CG-sist_Freio33"/>
      <sheetName val="Falhas_sup_Vagão33"/>
      <sheetName val="Falhas_MI-sist_Sup33"/>
      <sheetName val="Falhas_CG_-sist_Sup33"/>
      <sheetName val="Falhas_sup_CG33"/>
      <sheetName val="Falhas_sup_Rodeiro-MI_CG_PA33"/>
      <sheetName val="Falhas_CG-sist_Rodeiro33"/>
      <sheetName val="Falhas_MI-sist_Rodeiro33"/>
      <sheetName val="Falhas_PA-sist_Rodeiro33"/>
      <sheetName val="Falhas_sup_T&amp;T33"/>
      <sheetName val="Falhas_TT-MI33"/>
      <sheetName val="Falhas_TT-CG33"/>
      <sheetName val="Falhas_MI-sist_Truque33"/>
      <sheetName val="Falhas_CG-sist_Truque33"/>
      <sheetName val="Falhas_MI-sist_Tração33"/>
      <sheetName val="Falhas_CG-sist_Tração33"/>
      <sheetName val="POR_DIRETORIA33"/>
      <sheetName val="ROS_VV33"/>
      <sheetName val="Cronograma_de_Reuniões_LICL33"/>
      <sheetName val="Cronograma_de_Reuniões_LEFEL33"/>
      <sheetName val="Pauta_C_Geral_Ferrovia33"/>
      <sheetName val="Agenda_Logistica_201233"/>
      <sheetName val="Cashflow_(na)33"/>
      <sheetName val="Análise_Certificação_33"/>
      <sheetName val="bdados_200533"/>
      <sheetName val="AR_Signature_Page33"/>
      <sheetName val="Check_List33"/>
      <sheetName val="HISTORICO_DEF_X_REB33"/>
      <sheetName val="PAINEL_DE_FALHAS33"/>
      <sheetName val="_INDICADORES_FINANCEIROS33"/>
      <sheetName val="RECEITA_BRUTA33"/>
      <sheetName val="_COMPOSIÇÃO_DO_CPV_33"/>
      <sheetName val="_INDICADORES_DE_ENDIVIDAMENTO33"/>
      <sheetName val="MINERAIS_FERROSOS33"/>
      <sheetName val="BULK_MATERIALS33"/>
      <sheetName val="MINERAIS_NÃO_FERROSOS33"/>
      <sheetName val="DEMONSTRAÇÃO_DE_RESULTADO33"/>
      <sheetName val="_DESPESAS_FINANCEIRAS33"/>
      <sheetName val="_RESULTADO_DE_P__SOCIETÁRIAS33"/>
      <sheetName val="_BALANÇO_PATRIMONIAL33"/>
      <sheetName val="_FLUXO_DE_CAIXA33"/>
      <sheetName val="_VOLUME_outros33"/>
      <sheetName val="PRECOS_MEDIOS33"/>
      <sheetName val="Margens_Operacionais33"/>
      <sheetName val="Itens_de_controle33"/>
      <sheetName val="Check_Farol33"/>
      <sheetName val="Pessoal_CVRD33"/>
      <sheetName val="Composição_2011_Máx__Rev_233"/>
      <sheetName val="Demanda_de_inspeção33"/>
      <sheetName val="Composição_2011_Máx__Rev_333"/>
      <sheetName val="JAN_P2233"/>
      <sheetName val="JAN_P2133"/>
      <sheetName val="MELHORIAS_E_OPÇÕES33"/>
      <sheetName val="CVRDMenu_xls33"/>
      <sheetName val="Desenvolvimento_Ferroviário33"/>
      <sheetName val="Eng__Via_Permanente33"/>
      <sheetName val="Eng__Material_Rodante33"/>
      <sheetName val="Eng__Eletro_e_Operações33"/>
      <sheetName val="Resumo_Desenvolvimento33"/>
      <sheetName val="Resumo_VP33"/>
      <sheetName val="Resumo_Mat_Rodante33"/>
      <sheetName val="Resumo_Eletro33"/>
      <sheetName val="Usiminas_33"/>
      <sheetName val="CA_540933"/>
      <sheetName val="Simulador_OEE_sem_911_Nov_Dez33"/>
      <sheetName val="Plano_de_Ação_OMR_(2)31"/>
      <sheetName val="Plano_de_Ação_OMTT_(2)31"/>
      <sheetName val="O_indicador31"/>
      <sheetName val="Matriz_de_priorização_GUT31"/>
      <sheetName val="1_-_Resultados31"/>
      <sheetName val="MCS_FEV31"/>
      <sheetName val="MCS_AGO31"/>
      <sheetName val="BUILD_UP_-_Jan31"/>
      <sheetName val="PA_Est__Minimo31"/>
      <sheetName val="Identificação_do_Problema31"/>
      <sheetName val="Observação_do_Problema31"/>
      <sheetName val="Diagrama_de_Causa_e_Efeito_Ro31"/>
      <sheetName val="Técnica_dos_Por_Ques_Rode31"/>
      <sheetName val="Diagrama_de_Causa_e_Efeito_Tr52"/>
      <sheetName val="Diagrama_de_Causa_e_Efeito_Tr53"/>
      <sheetName val="Teste_porquês_truq_31"/>
      <sheetName val="Teste_porquês_Rod31"/>
      <sheetName val="Teste_porquês_Traç31"/>
      <sheetName val="Observação_do_Problema_(2)31"/>
      <sheetName val="Diagrama_de_Causa_e_Efeito__(40"/>
      <sheetName val="BUILD_UP_COMP_31"/>
      <sheetName val="2_-_BUILD_UP_-_Maio31"/>
      <sheetName val="MCS_MAR31"/>
      <sheetName val="MCS_ABRIL31"/>
      <sheetName val="MCS_ACUMULADO31"/>
      <sheetName val="MCS_MAIO31"/>
      <sheetName val="Plano_de_Ação_OMR31"/>
      <sheetName val="BD_Grafico31"/>
      <sheetName val="Produção_de_Março_-_OMR31"/>
      <sheetName val="Fila_de_Rodeiros31"/>
      <sheetName val="Usinados_Montagem31"/>
      <sheetName val="Perfil_de_Entrada_de_rodeiros31"/>
      <sheetName val="Análise_Extra31"/>
      <sheetName val="Plano_de_Ação_OMTT31"/>
      <sheetName val="3_-_PARETOS31"/>
      <sheetName val="MCS_JUNHO31"/>
      <sheetName val="2_-_BUILD_UP_-_Abr_(2)31"/>
      <sheetName val="Planos_de_ação11"/>
      <sheetName val="Build-up_US$_(2010)31"/>
      <sheetName val="Curva_31"/>
      <sheetName val="Painel_Engenharia_R$31"/>
      <sheetName val="Resumo_do_Painel31"/>
      <sheetName val="Resumo_IOI31"/>
      <sheetName val="Quadro_IOI_201431"/>
      <sheetName val="Curva_Baseline_201431"/>
      <sheetName val="Capex_Eco31"/>
      <sheetName val="Capex_Fin31"/>
      <sheetName val="Curva_Eco_Investimento31"/>
      <sheetName val="Curva_Fin_Investimento31"/>
      <sheetName val="Curva_Despesa31"/>
      <sheetName val="Ferrovia_Análise_Tendência31"/>
      <sheetName val="Dinâm_IOI_fabio31"/>
      <sheetName val="CONTRATOS_EEFC31"/>
      <sheetName val="ANALISE_EXC__MÊS31"/>
      <sheetName val="RESUMO_DESAFIO31"/>
      <sheetName val="2011_Curvas_Fin31"/>
      <sheetName val="Saldos_PA's31"/>
      <sheetName val="2012_Curvas_Fin_(R$)31"/>
      <sheetName val="Ramal_(temp)31"/>
      <sheetName val="Ramal_-_Pacotes31"/>
      <sheetName val="Linhas__Ramais31"/>
      <sheetName val="Owner_Costs31"/>
      <sheetName val="Desembolso_R$31"/>
      <sheetName val="Controle_Pagamentos31"/>
      <sheetName val="CONTRATOS_TFPM31"/>
      <sheetName val="2_-_BUILD_UP_-_Julho11"/>
      <sheetName val="MCS_JULHO11"/>
      <sheetName val="Rateio_Eco_-_Fin_-_Fis9"/>
      <sheetName val="EST__CAPEX_eco_fin9"/>
      <sheetName val="Cálculo_Reajuste9"/>
      <sheetName val="Estrutura_SAP9"/>
      <sheetName val="Principais_Contratos9"/>
      <sheetName val="PA_e_TAREFA9"/>
      <sheetName val="CP_-_Sintético9"/>
      <sheetName val="Gerrot_GAPPG11"/>
      <sheetName val="Acidentes_CPT_e_SPT_-_SUPV_11"/>
      <sheetName val="Ocorrências_Ferroviárias-SUPV11"/>
      <sheetName val="Custeio_Fixo_-_SUPV_11"/>
      <sheetName val="Pessoal_-_SUPV_11"/>
      <sheetName val="Conhecendo_a_composição_M110"/>
      <sheetName val="Insumos_e_Produtos10"/>
      <sheetName val="Itens_de_Controle_-_Nice10"/>
      <sheetName val="PA_-_Receita_Líquida_Guseiros10"/>
      <sheetName val="PA_-_Gusa_Norte_(2)10"/>
      <sheetName val="Just_Nat_57_B10"/>
      <sheetName val="Solicitação_Gestão9"/>
      <sheetName val="JUST_NAT_529"/>
      <sheetName val="CUSTO_LARANJEIRAS9"/>
      <sheetName val="app_a,_10b9"/>
      <sheetName val="VP1_Corinto9"/>
      <sheetName val="Plan2_(2)11"/>
      <sheetName val="TC_IN10"/>
      <sheetName val="GAVNG_-EPI9"/>
      <sheetName val="invest_9"/>
      <sheetName val="_PIPEWORK_1__9"/>
      <sheetName val="Anomalia_Acao9"/>
      <sheetName val="Base_11"/>
      <sheetName val="MatrizDILN_(2)10"/>
      <sheetName val="Parâmetros_Caso_Base9"/>
      <sheetName val="BASE_DE_DADOS9"/>
      <sheetName val="MUTUAL_FUND_SALES_BY_QTR10"/>
      <sheetName val="ISS_VOL_MUTUAL_FUND_SALES10"/>
      <sheetName val="Graficos_acumulados_totalizad10"/>
      <sheetName val="Graficos_áreas10"/>
      <sheetName val="Indice_Precos_Mes9"/>
      <sheetName val="Seleção_Projetos11"/>
      <sheetName val="Misc__data9"/>
      <sheetName val="Ref_Numbers9"/>
      <sheetName val="Previsão_de_Vagões9"/>
      <sheetName val="1_Pgm9"/>
      <sheetName val="BANCO_DE_DADOS_ESTRUTURA9"/>
      <sheetName val="Price_List9"/>
      <sheetName val="Histograma_-_Detalhe10"/>
      <sheetName val="METRICAS_GVA9"/>
      <sheetName val="Descritivo_Fraturas_Centro9"/>
      <sheetName val="Apoio_Validação9"/>
      <sheetName val="Apoio_Etapa_6_-_Viagens9"/>
      <sheetName val="FCD_MFe11"/>
      <sheetName val="Edison_Correia9"/>
      <sheetName val="MH_Installations9"/>
      <sheetName val="ACOPL_ENG9"/>
      <sheetName val="Caract__Contratos_-_Dez-009"/>
      <sheetName val="Just_Nat_519"/>
      <sheetName val="Controle_Comp_9"/>
      <sheetName val="FEVEREIRO_-_DORM-LARGA9"/>
      <sheetName val="Progresso_Econômica_Projeto9"/>
      <sheetName val="CONTRATO_W9"/>
      <sheetName val="Tab__GConta_NOP10"/>
      <sheetName val="Tab__GConta_OP10"/>
      <sheetName val="Tab__GConta_OP_(2)10"/>
      <sheetName val="Números_da_Oficina10"/>
      <sheetName val="Lente_-_dipd11"/>
      <sheetName val="Lente_VALE11"/>
      <sheetName val="Premissas_Preenchimento_BAY10"/>
      <sheetName val="Avanço_Físico_IOI_BAY10"/>
      <sheetName val="Avanço_Econômico_IOI_BAY10"/>
      <sheetName val="Ad__Proj__Financ_IEF_BAY10"/>
      <sheetName val="Baseline_Físico_BAY10"/>
      <sheetName val="Baseline_Econômico_BAY10"/>
      <sheetName val="Milestones_BAY10"/>
      <sheetName val="Licencas_Bayovar10"/>
      <sheetName val="FAIXAS_-_META_VALE_BAYOVAR10"/>
      <sheetName val="Milestones_PRC10"/>
      <sheetName val="Premissas_Preenchimento_CLN10"/>
      <sheetName val="Avanço_Físico_IOI_CLN10"/>
      <sheetName val="Avanço_Econômico_IOI_CLN10"/>
      <sheetName val="Ad__Proj__Financ_IEF_CLN10"/>
      <sheetName val="Baseline_Físico_CLN10"/>
      <sheetName val="Baseline_Econômico_CLN10"/>
      <sheetName val="Milestones_CLN10"/>
      <sheetName val="FAIXAS_-_CALCULADORA_CLN_10"/>
      <sheetName val="DB_do_TST9"/>
      <sheetName val="DTOs_Tração9"/>
      <sheetName val="5_49"/>
      <sheetName val="Resultado_da_Simulação_D+110"/>
      <sheetName val="Viabilidade_Econômica10"/>
      <sheetName val="Operações_de_Swap9"/>
      <sheetName val="Banco_de_dados9"/>
      <sheetName val="Financials_USD$9"/>
      <sheetName val="Desembolso_Financeiro9"/>
      <sheetName val="Produção_9"/>
      <sheetName val="Diagrama_de_Causa_e_Efeito8"/>
      <sheetName val="Causa_e_Medida8"/>
      <sheetName val="Plano_de_Ação8"/>
      <sheetName val="Avanço_%8"/>
      <sheetName val="01_(2)8"/>
      <sheetName val="LEGENDA"/>
      <sheetName val="Aderência Trens"/>
      <sheetName val="Evolução Eventos Ciclos"/>
      <sheetName val="Evolução Ritmo Nordeste"/>
      <sheetName val="130459_x0000__x0009__x0000_ꈦ_x0000__x0000__x0000_࢈ᄟ_x0000__x0000__x0000__x0000__x0000__x0000__x0000__x0000__x0000__x0000_ꊀԲ_x0000__x0000__x0000__x0000_"/>
      <sheetName val="1"/>
      <sheetName val="MOTIVO HE"/>
      <sheetName val="SEDES"/>
      <sheetName val="Inputs_Unidades_Geradoras"/>
      <sheetName val="MdO_Apoio"/>
      <sheetName val="GCE ID 14-RAC"/>
      <sheetName val="Formulario"/>
      <sheetName val="Dev.SAC "/>
      <sheetName val="Farol de Metas"/>
      <sheetName val="9.1 Investimento_Resumo"/>
      <sheetName val="Marcos Consolidado"/>
      <sheetName val="Plano de Ação Consolidado"/>
      <sheetName val="Ev. Jan DBM"/>
      <sheetName val="TargetIS"/>
      <sheetName val="CurVal"/>
      <sheetName val="Ass."/>
      <sheetName val="Categorias"/>
      <sheetName val="Distribuidor Semana"/>
      <sheetName val="Sensitivity"/>
      <sheetName val="Cost Variables"/>
      <sheetName val="Qual_Me"/>
      <sheetName val="Parameters"/>
      <sheetName val="Feriados"/>
      <sheetName val="Defense Comps"/>
      <sheetName val="BD_Carreg"/>
      <sheetName val="Fopag"/>
      <sheetName val="3. Abordagem de implantação"/>
      <sheetName val="D2 DCF"/>
      <sheetName val="Auto de Linha Nordeste 2"/>
      <sheetName val="BS-USR$"/>
      <sheetName val="RPD"/>
      <sheetName val="Frota"/>
      <sheetName val="Prev Compnentes DASH_CL"/>
      <sheetName val="GRAFICO"/>
      <sheetName val="130459_x0000_ _x0000_ꈦ_x0000__x0000__x0000_࢈ᄟ_x0000__x0000__x0000__x0000__x0000__x0000__x0000__x0000__x0000__x0000_ꊀԲ_x0000__x0000__x0000__x0000_"/>
      <sheetName val="Planilha1"/>
      <sheetName val="Disciplina"/>
      <sheetName val="Status"/>
      <sheetName val=""/>
      <sheetName val="__susbhma0_dados_GEVIS_INFO_GEV"/>
      <sheetName val="Canteiro"/>
      <sheetName val="PRECOS"/>
      <sheetName val="TD"/>
      <sheetName val="TD Minerioe Carga Geral"/>
      <sheetName val="Mat Estocaveis Minerio e Carga"/>
      <sheetName val="TD Passageiro"/>
      <sheetName val="Mat Estocaveis Passageiros"/>
      <sheetName val="Planejamento Vagões 2020"/>
      <sheetName val="Historico Causas Ruptura  Est"/>
      <sheetName val="TD Causas Ruptura"/>
      <sheetName val="Calc Indicadores"/>
      <sheetName val="Quant. Amostragem"/>
      <sheetName val=" Alteração Planejamento"/>
      <sheetName val="Exp"/>
      <sheetName val="RATEIMP"/>
      <sheetName val="Contas - Oracle x SAP"/>
      <sheetName val="BDJ"/>
      <sheetName val="Turno"/>
      <sheetName val="AnaliseFenomeno_-_LRX_(2)"/>
      <sheetName val="130459 ꈦ࢈ᄟꊀԲ"/>
      <sheetName val="Aderência_Trens"/>
      <sheetName val="Evolução_Eventos_Ciclos"/>
      <sheetName val="Evolução_Ritmo_Nordeste"/>
      <sheetName val="130459_ꈦ࢈ᄟꊀԲ"/>
      <sheetName val="Marcos_Consolidado"/>
      <sheetName val="Plano_de_Ação_Consolidado"/>
      <sheetName val="Ev__Jan_DBM"/>
      <sheetName val="Padrão_Auditado"/>
      <sheetName val="GCE_ID_14-RAC"/>
      <sheetName val="Dev_SAC_"/>
      <sheetName val="Farol_de_Metas"/>
      <sheetName val="Ass_"/>
      <sheetName val="Distribuidor_Semana"/>
      <sheetName val="Cost_Variables"/>
      <sheetName val="Defense_Comps"/>
      <sheetName val="3__Abordagem_de_implantação"/>
      <sheetName val="D2_DCF"/>
      <sheetName val="Auto_de_Linha_Nordeste_2"/>
      <sheetName val="MOTIVO_HE"/>
      <sheetName val="Prev_Compnentes_DASH_CL"/>
      <sheetName val="//prdapws01/Meus documentos/Nun"/>
      <sheetName val="//prdapws01/Meus_documentos/Nun"/>
      <sheetName val="Disp 2004"/>
      <sheetName val="Tabela_aux organograma"/>
      <sheetName val="Operating Statement"/>
      <sheetName val="Source Info"/>
      <sheetName val="Entrada"/>
      <sheetName val="Registro de Riscos"/>
      <sheetName val="//prdapws01/TEMP/Anne/CHECKS QU"/>
      <sheetName val="recap"/>
      <sheetName val="Variaveis CELESC Operacional"/>
      <sheetName val="Gastos Comercializadora"/>
      <sheetName val="Rasc"/>
      <sheetName val="Critérios"/>
      <sheetName val="Controle_De_Inpeções39"/>
      <sheetName val="Controle_De_Inpeções_(2)39"/>
      <sheetName val="Controle_De_Inpeções_(3)39"/>
      <sheetName val="Imob_frota_GAVAG_39"/>
      <sheetName val="grafico-CARGA_GERAL39"/>
      <sheetName val="Restrições_de_Velocidade39"/>
      <sheetName val="Ultra_som_-_200739"/>
      <sheetName val="Trem_Hora_Parado39"/>
      <sheetName val="Ocorrências_Ferroviárias39"/>
      <sheetName val="Aprovisionamento_de_Materiais39"/>
      <sheetName val="Grafico_Geral_Orçamento39"/>
      <sheetName val="Check_List-_Gerrot39"/>
      <sheetName val="Evolução_Etapas_Cal_Mag35"/>
      <sheetName val="Evolução_Etapas_Cromo35"/>
      <sheetName val="EAP_rev_0036"/>
      <sheetName val="CC_42436"/>
      <sheetName val="NÃO_CRÍTICOS36"/>
      <sheetName val="CONSOLIDADO_GAENY36"/>
      <sheetName val="ORÇADO_-_CONF__GIC36"/>
      <sheetName val="ALEXANDRE_-_NÃO_CRÍTICOS36"/>
      <sheetName val="LEONARDO__-_CRÍTICOS36"/>
      <sheetName val="LEONARDO__-_NÃO_CRÍTICOS36"/>
      <sheetName val="PAULO_-_CRÍTICOS36"/>
      <sheetName val="PAULO_-_NÃO_CRÍTICOS36"/>
      <sheetName val="Gestão_Econômica36"/>
      <sheetName val="INFO_36"/>
      <sheetName val="consolidado_preventivas35"/>
      <sheetName val="Grupo_x_Justif35"/>
      <sheetName val="Disp_2005_FCA35"/>
      <sheetName val="Resumo_EFVM35"/>
      <sheetName val="thp_35"/>
      <sheetName val="Consolida_Investimento35"/>
      <sheetName val="Vg__Inventariados-dados35"/>
      <sheetName val="ROS_VV34"/>
      <sheetName val="POR_DIRETORIA34"/>
      <sheetName val="p_ação_3G_UT34"/>
      <sheetName val="p_ação_3G_UT_(2)34"/>
      <sheetName val="Painel_de_controle34"/>
      <sheetName val="MKBF_MI34"/>
      <sheetName val="MKBF_CG34"/>
      <sheetName val="Nº_de_Falhas_MI34"/>
      <sheetName val="Nº_de_Falhas_CG34"/>
      <sheetName val="Nº_de_Falhas_PA34"/>
      <sheetName val="Falhas_sup_Freio34"/>
      <sheetName val="Falhas_MI-sist_Freio34"/>
      <sheetName val="Falhas_CG-sist_Freio34"/>
      <sheetName val="Falhas_sup_Vagão34"/>
      <sheetName val="Falhas_MI-sist_Sup34"/>
      <sheetName val="Falhas_CG_-sist_Sup34"/>
      <sheetName val="Falhas_sup_CG34"/>
      <sheetName val="Falhas_sup_Rodeiro-MI_CG_PA34"/>
      <sheetName val="Falhas_CG-sist_Rodeiro34"/>
      <sheetName val="Falhas_MI-sist_Rodeiro34"/>
      <sheetName val="Falhas_PA-sist_Rodeiro34"/>
      <sheetName val="Falhas_sup_T&amp;T34"/>
      <sheetName val="Falhas_TT-MI34"/>
      <sheetName val="Falhas_TT-CG34"/>
      <sheetName val="Falhas_MI-sist_Truque34"/>
      <sheetName val="Falhas_CG-sist_Truque34"/>
      <sheetName val="Falhas_MI-sist_Tração34"/>
      <sheetName val="Falhas_CG-sist_Tração34"/>
      <sheetName val="Cronograma_de_Reuniões_LICL34"/>
      <sheetName val="Cronograma_de_Reuniões_LEFEL34"/>
      <sheetName val="Pauta_C_Geral_Ferrovia34"/>
      <sheetName val="Agenda_Logistica_201234"/>
      <sheetName val="Cashflow_(na)34"/>
      <sheetName val="Análise_Certificação_34"/>
      <sheetName val="bdados_200534"/>
      <sheetName val="HISTORICO_DEF_X_REB34"/>
      <sheetName val="PAINEL_DE_FALHAS34"/>
      <sheetName val="AR_Signature_Page34"/>
      <sheetName val="_INDICADORES_FINANCEIROS34"/>
      <sheetName val="RECEITA_BRUTA34"/>
      <sheetName val="_COMPOSIÇÃO_DO_CPV_34"/>
      <sheetName val="_INDICADORES_DE_ENDIVIDAMENTO34"/>
      <sheetName val="MINERAIS_FERROSOS34"/>
      <sheetName val="BULK_MATERIALS34"/>
      <sheetName val="MINERAIS_NÃO_FERROSOS34"/>
      <sheetName val="DEMONSTRAÇÃO_DE_RESULTADO34"/>
      <sheetName val="_DESPESAS_FINANCEIRAS34"/>
      <sheetName val="_RESULTADO_DE_P__SOCIETÁRIAS34"/>
      <sheetName val="_BALANÇO_PATRIMONIAL34"/>
      <sheetName val="_FLUXO_DE_CAIXA34"/>
      <sheetName val="_VOLUME_outros34"/>
      <sheetName val="PRECOS_MEDIOS34"/>
      <sheetName val="Margens_Operacionais34"/>
      <sheetName val="Check_List34"/>
      <sheetName val="Itens_de_controle34"/>
      <sheetName val="Check_Farol34"/>
      <sheetName val="Pessoal_CVRD34"/>
      <sheetName val="Composição_2011_Máx__Rev_234"/>
      <sheetName val="Demanda_de_inspeção34"/>
      <sheetName val="Composição_2011_Máx__Rev_334"/>
      <sheetName val="JAN_P2234"/>
      <sheetName val="JAN_P2134"/>
      <sheetName val="MELHORIAS_E_OPÇÕES34"/>
      <sheetName val="CVRDMenu_xls34"/>
      <sheetName val="Desenvolvimento_Ferroviário34"/>
      <sheetName val="Eng__Via_Permanente34"/>
      <sheetName val="Eng__Material_Rodante34"/>
      <sheetName val="Eng__Eletro_e_Operações34"/>
      <sheetName val="Resumo_Desenvolvimento34"/>
      <sheetName val="Resumo_VP34"/>
      <sheetName val="Resumo_Mat_Rodante34"/>
      <sheetName val="Resumo_Eletro34"/>
      <sheetName val="Usiminas_34"/>
      <sheetName val="Simulador_OEE_sem_911_Nov_Dez34"/>
      <sheetName val="CA_540934"/>
      <sheetName val="Plano_de_Ação_OMR_(2)32"/>
      <sheetName val="Plano_de_Ação_OMTT_(2)32"/>
      <sheetName val="O_indicador32"/>
      <sheetName val="Matriz_de_priorização_GUT32"/>
      <sheetName val="1_-_Resultados32"/>
      <sheetName val="MCS_FEV32"/>
      <sheetName val="MCS_AGO32"/>
      <sheetName val="BUILD_UP_-_Jan32"/>
      <sheetName val="PA_Est__Minimo32"/>
      <sheetName val="Identificação_do_Problema32"/>
      <sheetName val="Observação_do_Problema32"/>
      <sheetName val="Diagrama_de_Causa_e_Efeito_Ro32"/>
      <sheetName val="Técnica_dos_Por_Ques_Rode32"/>
      <sheetName val="Diagrama_de_Causa_e_Efeito_Tr54"/>
      <sheetName val="Diagrama_de_Causa_e_Efeito_Tr55"/>
      <sheetName val="Teste_porquês_truq_32"/>
      <sheetName val="Teste_porquês_Rod32"/>
      <sheetName val="Teste_porquês_Traç32"/>
      <sheetName val="Observação_do_Problema_(2)32"/>
      <sheetName val="Diagrama_de_Causa_e_Efeito__(41"/>
      <sheetName val="BUILD_UP_COMP_32"/>
      <sheetName val="2_-_BUILD_UP_-_Maio32"/>
      <sheetName val="MCS_MAR32"/>
      <sheetName val="MCS_ABRIL32"/>
      <sheetName val="MCS_ACUMULADO32"/>
      <sheetName val="MCS_MAIO32"/>
      <sheetName val="Plano_de_Ação_OMR32"/>
      <sheetName val="BD_Grafico32"/>
      <sheetName val="Produção_de_Março_-_OMR32"/>
      <sheetName val="Fila_de_Rodeiros32"/>
      <sheetName val="Usinados_Montagem32"/>
      <sheetName val="Perfil_de_Entrada_de_rodeiros32"/>
      <sheetName val="Análise_Extra32"/>
      <sheetName val="Plano_de_Ação_OMTT32"/>
      <sheetName val="3_-_PARETOS32"/>
      <sheetName val="MCS_JUNHO32"/>
      <sheetName val="2_-_BUILD_UP_-_Abr_(2)32"/>
      <sheetName val="Planos_de_ação12"/>
      <sheetName val="Build-up_US$_(2010)32"/>
      <sheetName val="Curva_32"/>
      <sheetName val="Painel_Engenharia_R$32"/>
      <sheetName val="Resumo_do_Painel32"/>
      <sheetName val="Resumo_IOI32"/>
      <sheetName val="Quadro_IOI_201432"/>
      <sheetName val="Curva_Baseline_201432"/>
      <sheetName val="Capex_Eco32"/>
      <sheetName val="Capex_Fin32"/>
      <sheetName val="Curva_Eco_Investimento32"/>
      <sheetName val="Curva_Fin_Investimento32"/>
      <sheetName val="Curva_Despesa32"/>
      <sheetName val="Ferrovia_Análise_Tendência32"/>
      <sheetName val="Dinâm_IOI_fabio32"/>
      <sheetName val="CONTRATOS_EEFC32"/>
      <sheetName val="ANALISE_EXC__MÊS32"/>
      <sheetName val="RESUMO_DESAFIO32"/>
      <sheetName val="2011_Curvas_Fin32"/>
      <sheetName val="Saldos_PA's32"/>
      <sheetName val="2012_Curvas_Fin_(R$)32"/>
      <sheetName val="Ramal_(temp)32"/>
      <sheetName val="Ramal_-_Pacotes32"/>
      <sheetName val="Linhas__Ramais32"/>
      <sheetName val="Owner_Costs32"/>
      <sheetName val="Desembolso_R$32"/>
      <sheetName val="Controle_Pagamentos32"/>
      <sheetName val="CONTRATOS_TFPM32"/>
      <sheetName val="2_-_BUILD_UP_-_Julho12"/>
      <sheetName val="MCS_JULHO12"/>
      <sheetName val="Rateio_Eco_-_Fin_-_Fis10"/>
      <sheetName val="EST__CAPEX_eco_fin10"/>
      <sheetName val="Cálculo_Reajuste10"/>
      <sheetName val="Estrutura_SAP10"/>
      <sheetName val="Principais_Contratos10"/>
      <sheetName val="PA_e_TAREFA10"/>
      <sheetName val="CP_-_Sintético10"/>
      <sheetName val="Gerrot_GAPPG12"/>
      <sheetName val="Acidentes_CPT_e_SPT_-_SUPV_12"/>
      <sheetName val="Ocorrências_Ferroviárias-SUPV12"/>
      <sheetName val="Custeio_Fixo_-_SUPV_12"/>
      <sheetName val="Pessoal_-_SUPV_12"/>
      <sheetName val="Conhecendo_a_composição_M111"/>
      <sheetName val="Insumos_e_Produtos11"/>
      <sheetName val="Itens_de_Controle_-_Nice11"/>
      <sheetName val="PA_-_Receita_Líquida_Guseiros11"/>
      <sheetName val="PA_-_Gusa_Norte_(2)11"/>
      <sheetName val="Just_Nat_57_B11"/>
      <sheetName val="Solicitação_Gestão10"/>
      <sheetName val="JUST_NAT_5210"/>
      <sheetName val="CUSTO_LARANJEIRAS10"/>
      <sheetName val="app_a,_10b10"/>
      <sheetName val="VP1_Corinto10"/>
      <sheetName val="Plan2_(2)12"/>
      <sheetName val="TC_IN11"/>
      <sheetName val="GAVNG_-EPI10"/>
      <sheetName val="invest_10"/>
      <sheetName val="_PIPEWORK_1__10"/>
      <sheetName val="Anomalia_Acao10"/>
      <sheetName val="Base_12"/>
      <sheetName val="MatrizDILN_(2)11"/>
      <sheetName val="Parâmetros_Caso_Base10"/>
      <sheetName val="BASE_DE_DADOS10"/>
      <sheetName val="MUTUAL_FUND_SALES_BY_QTR11"/>
      <sheetName val="ISS_VOL_MUTUAL_FUND_SALES11"/>
      <sheetName val="Graficos_acumulados_totalizad11"/>
      <sheetName val="Graficos_áreas11"/>
      <sheetName val="Indice_Precos_Mes10"/>
      <sheetName val="Seleção_Projetos12"/>
      <sheetName val="Misc__data10"/>
      <sheetName val="Ref_Numbers10"/>
      <sheetName val="Previsão_de_Vagões10"/>
      <sheetName val="1_Pgm10"/>
      <sheetName val="BANCO_DE_DADOS_ESTRUTURA10"/>
      <sheetName val="Price_List10"/>
      <sheetName val="Histograma_-_Detalhe11"/>
      <sheetName val="METRICAS_GVA10"/>
      <sheetName val="Descritivo_Fraturas_Centro10"/>
      <sheetName val="Apoio_Validação10"/>
      <sheetName val="Apoio_Etapa_6_-_Viagens10"/>
      <sheetName val="FCD_MFe12"/>
      <sheetName val="Edison_Correia10"/>
      <sheetName val="MH_Installations10"/>
      <sheetName val="ACOPL_ENG10"/>
      <sheetName val="Caract__Contratos_-_Dez-0010"/>
      <sheetName val="Just_Nat_5110"/>
      <sheetName val="Controle_Comp_10"/>
      <sheetName val="FEVEREIRO_-_DORM-LARGA10"/>
      <sheetName val="Progresso_Econômica_Projeto10"/>
      <sheetName val="CONTRATO_W10"/>
      <sheetName val="Tab__GConta_NOP11"/>
      <sheetName val="Tab__GConta_OP11"/>
      <sheetName val="Tab__GConta_OP_(2)11"/>
      <sheetName val="Números_da_Oficina11"/>
      <sheetName val="Lente_-_dipd12"/>
      <sheetName val="Lente_VALE12"/>
      <sheetName val="Premissas_Preenchimento_BAY11"/>
      <sheetName val="Avanço_Físico_IOI_BAY11"/>
      <sheetName val="Avanço_Econômico_IOI_BAY11"/>
      <sheetName val="Ad__Proj__Financ_IEF_BAY11"/>
      <sheetName val="Baseline_Físico_BAY11"/>
      <sheetName val="Baseline_Econômico_BAY11"/>
      <sheetName val="Milestones_BAY11"/>
      <sheetName val="Licencas_Bayovar11"/>
      <sheetName val="FAIXAS_-_META_VALE_BAYOVAR11"/>
      <sheetName val="Milestones_PRC11"/>
      <sheetName val="Premissas_Preenchimento_CLN11"/>
      <sheetName val="Avanço_Físico_IOI_CLN11"/>
      <sheetName val="Avanço_Econômico_IOI_CLN11"/>
      <sheetName val="Ad__Proj__Financ_IEF_CLN11"/>
      <sheetName val="Baseline_Físico_CLN11"/>
      <sheetName val="Baseline_Econômico_CLN11"/>
      <sheetName val="Milestones_CLN11"/>
      <sheetName val="FAIXAS_-_CALCULADORA_CLN_11"/>
      <sheetName val="DB_do_TST10"/>
      <sheetName val="DTOs_Tração10"/>
      <sheetName val="5_410"/>
      <sheetName val="Resultado_da_Simulação_D+111"/>
      <sheetName val="Viabilidade_Econômica11"/>
      <sheetName val="Operações_de_Swap10"/>
      <sheetName val="Banco_de_dados10"/>
      <sheetName val="Financials_USD$10"/>
      <sheetName val="Desembolso_Financeiro10"/>
      <sheetName val="Produção_10"/>
      <sheetName val="Diagrama_de_Causa_e_Efeito9"/>
      <sheetName val="Causa_e_Medida9"/>
      <sheetName val="Plano_de_Ação9"/>
      <sheetName val="Avanço_%9"/>
      <sheetName val="01_(2)9"/>
      <sheetName val="Projeção_Falhas"/>
      <sheetName val="Projeção_Falhas_(2)"/>
      <sheetName val="entrega_duplic__(2)"/>
      <sheetName val="BASE_DE_ATIVOS_(2)"/>
      <sheetName val="2015_C11_14_(2)"/>
      <sheetName val="2016_C11_14_(2)"/>
      <sheetName val="2017_C11_14_(2)"/>
      <sheetName val="2018_C11_14_(2)"/>
      <sheetName val="2019_C11_14_(2)"/>
      <sheetName val="FROTA_LOCOS_2014_(2)"/>
      <sheetName val="Bordo_Veíc__Aux_(2)"/>
      <sheetName val="Conversão_para_Ativos_(2)"/>
      <sheetName val="MAN__CORRETIVA"/>
      <sheetName val="Demanda_Manutenção"/>
      <sheetName val="2014_C11_14_(2)"/>
      <sheetName val="2015_C11_14"/>
      <sheetName val="2016_C11_14"/>
      <sheetName val="2017_C11_14"/>
      <sheetName val="2018_C11_14"/>
      <sheetName val="2019_C11_14"/>
      <sheetName val="EQUIP_INSTALADO_EM_LOCOMOTIVA"/>
      <sheetName val="BORDO_LOCOS_2012"/>
      <sheetName val="FROTA_LOCOS_2014"/>
      <sheetName val="BORDO_AS_e_MGP_2014"/>
      <sheetName val="V__Auxiliar"/>
      <sheetName val="Bordo_Veíc__Aux"/>
      <sheetName val="2014_C11_14"/>
      <sheetName val="2015_C11_13"/>
      <sheetName val="2016_C11_13"/>
      <sheetName val="2017_C11_13"/>
      <sheetName val="2018_C11_13"/>
      <sheetName val="2019_C11_13"/>
      <sheetName val="Controle_De_Inpeções40"/>
      <sheetName val="Controle_De_Inpeções_(2)40"/>
      <sheetName val="Controle_De_Inpeções_(3)40"/>
      <sheetName val="Imob_frota_GAVAG_40"/>
      <sheetName val="grafico-CARGA_GERAL40"/>
      <sheetName val="Restrições_de_Velocidade40"/>
      <sheetName val="Ultra_som_-_200740"/>
      <sheetName val="Trem_Hora_Parado40"/>
      <sheetName val="Ocorrências_Ferroviárias40"/>
      <sheetName val="Aprovisionamento_de_Materiais40"/>
      <sheetName val="Grafico_Geral_Orçamento40"/>
      <sheetName val="Check_List-_Gerrot40"/>
      <sheetName val="Evolução_Etapas_Cal_Mag36"/>
      <sheetName val="Evolução_Etapas_Cromo36"/>
      <sheetName val="EAP_rev_0037"/>
      <sheetName val="CC_42437"/>
      <sheetName val="NÃO_CRÍTICOS37"/>
      <sheetName val="CONSOLIDADO_GAENY37"/>
      <sheetName val="ORÇADO_-_CONF__GIC37"/>
      <sheetName val="ALEXANDRE_-_NÃO_CRÍTICOS37"/>
      <sheetName val="LEONARDO__-_CRÍTICOS37"/>
      <sheetName val="LEONARDO__-_NÃO_CRÍTICOS37"/>
      <sheetName val="PAULO_-_CRÍTICOS37"/>
      <sheetName val="PAULO_-_NÃO_CRÍTICOS37"/>
      <sheetName val="Gestão_Econômica37"/>
      <sheetName val="INFO_37"/>
      <sheetName val="consolidado_preventivas36"/>
      <sheetName val="Grupo_x_Justif36"/>
      <sheetName val="Disp_2005_FCA36"/>
      <sheetName val="Resumo_EFVM36"/>
      <sheetName val="thp_36"/>
      <sheetName val="Consolida_Investimento36"/>
      <sheetName val="Vg__Inventariados-dados36"/>
      <sheetName val="ROS_VV35"/>
      <sheetName val="POR_DIRETORIA35"/>
      <sheetName val="p_ação_3G_UT35"/>
      <sheetName val="p_ação_3G_UT_(2)35"/>
      <sheetName val="Painel_de_controle35"/>
      <sheetName val="MKBF_MI35"/>
      <sheetName val="MKBF_CG35"/>
      <sheetName val="Nº_de_Falhas_MI35"/>
      <sheetName val="Nº_de_Falhas_CG35"/>
      <sheetName val="Nº_de_Falhas_PA35"/>
      <sheetName val="Falhas_sup_Freio35"/>
      <sheetName val="Falhas_MI-sist_Freio35"/>
      <sheetName val="Falhas_CG-sist_Freio35"/>
      <sheetName val="Falhas_sup_Vagão35"/>
      <sheetName val="Falhas_MI-sist_Sup35"/>
      <sheetName val="Falhas_CG_-sist_Sup35"/>
      <sheetName val="Falhas_sup_CG35"/>
      <sheetName val="Falhas_sup_Rodeiro-MI_CG_PA35"/>
      <sheetName val="Falhas_CG-sist_Rodeiro35"/>
      <sheetName val="Falhas_MI-sist_Rodeiro35"/>
      <sheetName val="Falhas_PA-sist_Rodeiro35"/>
      <sheetName val="Falhas_sup_T&amp;T35"/>
      <sheetName val="Falhas_TT-MI35"/>
      <sheetName val="Falhas_TT-CG35"/>
      <sheetName val="Falhas_MI-sist_Truque35"/>
      <sheetName val="Falhas_CG-sist_Truque35"/>
      <sheetName val="Falhas_MI-sist_Tração35"/>
      <sheetName val="Falhas_CG-sist_Tração35"/>
      <sheetName val="Cronograma_de_Reuniões_LICL35"/>
      <sheetName val="Cronograma_de_Reuniões_LEFEL35"/>
      <sheetName val="Pauta_C_Geral_Ferrovia35"/>
      <sheetName val="Agenda_Logistica_201235"/>
      <sheetName val="Cashflow_(na)35"/>
      <sheetName val="Análise_Certificação_35"/>
      <sheetName val="bdados_200535"/>
      <sheetName val="HISTORICO_DEF_X_REB35"/>
      <sheetName val="PAINEL_DE_FALHAS35"/>
      <sheetName val="AR_Signature_Page35"/>
      <sheetName val="_INDICADORES_FINANCEIROS35"/>
      <sheetName val="RECEITA_BRUTA35"/>
      <sheetName val="_COMPOSIÇÃO_DO_CPV_35"/>
      <sheetName val="_INDICADORES_DE_ENDIVIDAMENTO35"/>
      <sheetName val="MINERAIS_FERROSOS35"/>
      <sheetName val="BULK_MATERIALS35"/>
      <sheetName val="MINERAIS_NÃO_FERROSOS35"/>
      <sheetName val="DEMONSTRAÇÃO_DE_RESULTADO35"/>
      <sheetName val="_DESPESAS_FINANCEIRAS35"/>
      <sheetName val="_RESULTADO_DE_P__SOCIETÁRIAS35"/>
      <sheetName val="_BALANÇO_PATRIMONIAL35"/>
      <sheetName val="_FLUXO_DE_CAIXA35"/>
      <sheetName val="_VOLUME_outros35"/>
      <sheetName val="PRECOS_MEDIOS35"/>
      <sheetName val="Margens_Operacionais35"/>
      <sheetName val="Check_List35"/>
      <sheetName val="Itens_de_controle35"/>
      <sheetName val="Check_Farol35"/>
      <sheetName val="Pessoal_CVRD35"/>
      <sheetName val="Composição_2011_Máx__Rev_235"/>
      <sheetName val="Demanda_de_inspeção35"/>
      <sheetName val="Composição_2011_Máx__Rev_335"/>
      <sheetName val="JAN_P2235"/>
      <sheetName val="JAN_P2135"/>
      <sheetName val="MELHORIAS_E_OPÇÕES35"/>
      <sheetName val="CVRDMenu_xls35"/>
      <sheetName val="Desenvolvimento_Ferroviário35"/>
      <sheetName val="Eng__Via_Permanente35"/>
      <sheetName val="Eng__Material_Rodante35"/>
      <sheetName val="Eng__Eletro_e_Operações35"/>
      <sheetName val="Resumo_Desenvolvimento35"/>
      <sheetName val="Resumo_VP35"/>
      <sheetName val="Resumo_Mat_Rodante35"/>
      <sheetName val="Resumo_Eletro35"/>
      <sheetName val="Usiminas_35"/>
      <sheetName val="Simulador_OEE_sem_911_Nov_Dez35"/>
      <sheetName val="CA_540935"/>
      <sheetName val="Plano_de_Ação_OMR_(2)33"/>
      <sheetName val="Plano_de_Ação_OMTT_(2)33"/>
      <sheetName val="O_indicador33"/>
      <sheetName val="Matriz_de_priorização_GUT33"/>
      <sheetName val="1_-_Resultados33"/>
      <sheetName val="MCS_FEV33"/>
      <sheetName val="MCS_AGO33"/>
      <sheetName val="BUILD_UP_-_Jan33"/>
      <sheetName val="PA_Est__Minimo33"/>
      <sheetName val="Identificação_do_Problema33"/>
      <sheetName val="Observação_do_Problema33"/>
      <sheetName val="Diagrama_de_Causa_e_Efeito_Ro33"/>
      <sheetName val="Técnica_dos_Por_Ques_Rode33"/>
      <sheetName val="Diagrama_de_Causa_e_Efeito_Tr56"/>
      <sheetName val="Diagrama_de_Causa_e_Efeito_Tr57"/>
      <sheetName val="Teste_porquês_truq_33"/>
      <sheetName val="Teste_porquês_Rod33"/>
      <sheetName val="Teste_porquês_Traç33"/>
      <sheetName val="Observação_do_Problema_(2)33"/>
      <sheetName val="Diagrama_de_Causa_e_Efeito__(42"/>
      <sheetName val="BUILD_UP_COMP_33"/>
      <sheetName val="2_-_BUILD_UP_-_Maio33"/>
      <sheetName val="MCS_MAR33"/>
      <sheetName val="MCS_ABRIL33"/>
      <sheetName val="MCS_ACUMULADO33"/>
      <sheetName val="MCS_MAIO33"/>
      <sheetName val="Plano_de_Ação_OMR33"/>
      <sheetName val="BD_Grafico33"/>
      <sheetName val="Produção_de_Março_-_OMR33"/>
      <sheetName val="Fila_de_Rodeiros33"/>
      <sheetName val="Usinados_Montagem33"/>
      <sheetName val="Perfil_de_Entrada_de_rodeiros33"/>
      <sheetName val="Análise_Extra33"/>
      <sheetName val="Plano_de_Ação_OMTT33"/>
      <sheetName val="3_-_PARETOS33"/>
      <sheetName val="MCS_JUNHO33"/>
      <sheetName val="2_-_BUILD_UP_-_Abr_(2)33"/>
      <sheetName val="Planos_de_ação13"/>
      <sheetName val="Build-up_US$_(2010)33"/>
      <sheetName val="Curva_33"/>
      <sheetName val="Painel_Engenharia_R$33"/>
      <sheetName val="Resumo_do_Painel33"/>
      <sheetName val="Resumo_IOI33"/>
      <sheetName val="Quadro_IOI_201433"/>
      <sheetName val="Curva_Baseline_201433"/>
      <sheetName val="Capex_Eco33"/>
      <sheetName val="Capex_Fin33"/>
      <sheetName val="Curva_Eco_Investimento33"/>
      <sheetName val="Curva_Fin_Investimento33"/>
      <sheetName val="Curva_Despesa33"/>
      <sheetName val="Ferrovia_Análise_Tendência33"/>
      <sheetName val="Dinâm_IOI_fabio33"/>
      <sheetName val="CONTRATOS_EEFC33"/>
      <sheetName val="ANALISE_EXC__MÊS33"/>
      <sheetName val="RESUMO_DESAFIO33"/>
      <sheetName val="2011_Curvas_Fin33"/>
      <sheetName val="Saldos_PA's33"/>
      <sheetName val="2012_Curvas_Fin_(R$)33"/>
      <sheetName val="Ramal_(temp)33"/>
      <sheetName val="Ramal_-_Pacotes33"/>
      <sheetName val="Linhas__Ramais33"/>
      <sheetName val="Owner_Costs33"/>
      <sheetName val="Desembolso_R$33"/>
      <sheetName val="Controle_Pagamentos33"/>
      <sheetName val="CONTRATOS_TFPM33"/>
      <sheetName val="2_-_BUILD_UP_-_Julho13"/>
      <sheetName val="MCS_JULHO13"/>
      <sheetName val="Rateio_Eco_-_Fin_-_Fis11"/>
      <sheetName val="EST__CAPEX_eco_fin11"/>
      <sheetName val="Cálculo_Reajuste11"/>
      <sheetName val="Estrutura_SAP11"/>
      <sheetName val="Principais_Contratos11"/>
      <sheetName val="PA_e_TAREFA11"/>
      <sheetName val="CP_-_Sintético11"/>
      <sheetName val="Gerrot_GAPPG13"/>
      <sheetName val="Acidentes_CPT_e_SPT_-_SUPV_13"/>
      <sheetName val="Ocorrências_Ferroviárias-SUPV13"/>
      <sheetName val="Custeio_Fixo_-_SUPV_13"/>
      <sheetName val="Pessoal_-_SUPV_13"/>
      <sheetName val="Conhecendo_a_composição_M112"/>
      <sheetName val="Insumos_e_Produtos12"/>
      <sheetName val="Itens_de_Controle_-_Nice12"/>
      <sheetName val="PA_-_Receita_Líquida_Guseiros12"/>
      <sheetName val="PA_-_Gusa_Norte_(2)12"/>
      <sheetName val="Just_Nat_57_B12"/>
      <sheetName val="Solicitação_Gestão11"/>
      <sheetName val="JUST_NAT_5211"/>
      <sheetName val="CUSTO_LARANJEIRAS11"/>
      <sheetName val="app_a,_10b11"/>
      <sheetName val="VP1_Corinto11"/>
      <sheetName val="Plan2_(2)13"/>
      <sheetName val="TC_IN12"/>
      <sheetName val="GAVNG_-EPI11"/>
      <sheetName val="invest_11"/>
      <sheetName val="_PIPEWORK_1__11"/>
      <sheetName val="Anomalia_Acao11"/>
      <sheetName val="Base_13"/>
      <sheetName val="MatrizDILN_(2)12"/>
      <sheetName val="Parâmetros_Caso_Base11"/>
      <sheetName val="BASE_DE_DADOS11"/>
      <sheetName val="MUTUAL_FUND_SALES_BY_QTR12"/>
      <sheetName val="ISS_VOL_MUTUAL_FUND_SALES12"/>
      <sheetName val="Graficos_acumulados_totalizad12"/>
      <sheetName val="Graficos_áreas12"/>
      <sheetName val="Indice_Precos_Mes11"/>
      <sheetName val="Seleção_Projetos13"/>
      <sheetName val="Misc__data11"/>
      <sheetName val="Ref_Numbers11"/>
      <sheetName val="Previsão_de_Vagões11"/>
      <sheetName val="1_Pgm11"/>
      <sheetName val="BANCO_DE_DADOS_ESTRUTURA11"/>
      <sheetName val="Price_List11"/>
      <sheetName val="Histograma_-_Detalhe12"/>
      <sheetName val="METRICAS_GVA11"/>
      <sheetName val="Descritivo_Fraturas_Centro11"/>
      <sheetName val="Apoio_Validação11"/>
      <sheetName val="Apoio_Etapa_6_-_Viagens11"/>
      <sheetName val="FCD_MFe13"/>
      <sheetName val="Edison_Correia11"/>
      <sheetName val="MH_Installations11"/>
      <sheetName val="ACOPL_ENG11"/>
      <sheetName val="Caract__Contratos_-_Dez-0011"/>
      <sheetName val="Just_Nat_5111"/>
      <sheetName val="Controle_Comp_11"/>
      <sheetName val="FEVEREIRO_-_DORM-LARGA11"/>
      <sheetName val="Progresso_Econômica_Projeto11"/>
      <sheetName val="CONTRATO_W11"/>
      <sheetName val="Tab__GConta_NOP12"/>
      <sheetName val="Tab__GConta_OP12"/>
      <sheetName val="Tab__GConta_OP_(2)12"/>
      <sheetName val="Números_da_Oficina12"/>
      <sheetName val="Lente_-_dipd13"/>
      <sheetName val="Lente_VALE13"/>
      <sheetName val="Premissas_Preenchimento_BAY12"/>
      <sheetName val="Avanço_Físico_IOI_BAY12"/>
      <sheetName val="Avanço_Econômico_IOI_BAY12"/>
      <sheetName val="Ad__Proj__Financ_IEF_BAY12"/>
      <sheetName val="Baseline_Físico_BAY12"/>
      <sheetName val="Baseline_Econômico_BAY12"/>
      <sheetName val="Milestones_BAY12"/>
      <sheetName val="Licencas_Bayovar12"/>
      <sheetName val="FAIXAS_-_META_VALE_BAYOVAR12"/>
      <sheetName val="Milestones_PRC12"/>
      <sheetName val="Premissas_Preenchimento_CLN12"/>
      <sheetName val="Avanço_Físico_IOI_CLN12"/>
      <sheetName val="Avanço_Econômico_IOI_CLN12"/>
      <sheetName val="Ad__Proj__Financ_IEF_CLN12"/>
      <sheetName val="Baseline_Físico_CLN12"/>
      <sheetName val="Baseline_Econômico_CLN12"/>
      <sheetName val="Milestones_CLN12"/>
      <sheetName val="FAIXAS_-_CALCULADORA_CLN_12"/>
      <sheetName val="DB_do_TST11"/>
      <sheetName val="DTOs_Tração11"/>
      <sheetName val="5_411"/>
      <sheetName val="Resultado_da_Simulação_D+112"/>
      <sheetName val="Viabilidade_Econômica12"/>
      <sheetName val="Operações_de_Swap11"/>
      <sheetName val="Banco_de_dados11"/>
      <sheetName val="Financials_USD$11"/>
      <sheetName val="Desembolso_Financeiro11"/>
      <sheetName val="Produção_11"/>
      <sheetName val="Diagrama_de_Causa_e_Efeito10"/>
      <sheetName val="Causa_e_Medida10"/>
      <sheetName val="Plano_de_Ação10"/>
      <sheetName val="Avanço_%10"/>
      <sheetName val="01_(2)10"/>
      <sheetName val="Projeção_Falhas1"/>
      <sheetName val="Projeção_Falhas_(2)1"/>
      <sheetName val="entrega_duplic__(2)1"/>
      <sheetName val="BASE_DE_ATIVOS_(2)1"/>
      <sheetName val="2015_C11_14_(2)1"/>
      <sheetName val="2016_C11_14_(2)1"/>
      <sheetName val="2017_C11_14_(2)1"/>
      <sheetName val="2018_C11_14_(2)1"/>
      <sheetName val="2019_C11_14_(2)1"/>
      <sheetName val="FROTA_LOCOS_2014_(2)1"/>
      <sheetName val="Bordo_Veíc__Aux_(2)1"/>
      <sheetName val="Conversão_para_Ativos_(2)1"/>
      <sheetName val="MAN__CORRETIVA1"/>
      <sheetName val="Demanda_Manutenção1"/>
      <sheetName val="2014_C11_14_(2)1"/>
      <sheetName val="2015_C11_141"/>
      <sheetName val="2016_C11_141"/>
      <sheetName val="2017_C11_141"/>
      <sheetName val="2018_C11_141"/>
      <sheetName val="2019_C11_141"/>
      <sheetName val="EQUIP_INSTALADO_EM_LOCOMOTIVA1"/>
      <sheetName val="BORDO_LOCOS_20121"/>
      <sheetName val="FROTA_LOCOS_20141"/>
      <sheetName val="BORDO_AS_e_MGP_20141"/>
      <sheetName val="V__Auxiliar1"/>
      <sheetName val="Bordo_Veíc__Aux1"/>
      <sheetName val="2014_C11_141"/>
      <sheetName val="2015_C11_131"/>
      <sheetName val="2016_C11_131"/>
      <sheetName val="2017_C11_131"/>
      <sheetName val="2018_C11_131"/>
      <sheetName val="2019_C11_131"/>
      <sheetName val="Prazo Contratual"/>
      <sheetName val="TREIN"/>
      <sheetName val="AGE"/>
      <sheetName val="EVO_1i_M"/>
      <sheetName val="EVO_1i_M_PGUO"/>
      <sheetName val="EVO_1i_P"/>
      <sheetName val="EVO_2i_M"/>
      <sheetName val="EVO_2i_P"/>
      <sheetName val="DADOS_NOVOS"/>
      <sheetName val="Taxa FNS"/>
      <sheetName val=" Gráfico Taxa FNS"/>
      <sheetName val="Acidentes"/>
      <sheetName val="PTM acm."/>
      <sheetName val="PTM"/>
      <sheetName val="QA FNS"/>
      <sheetName val="Cronograma Global"/>
      <sheetName val="Ações de QA"/>
      <sheetName val="Inspeções"/>
      <sheetName val="Desvios"/>
      <sheetName val="BM 7"/>
      <sheetName val="Resumo do Contrato"/>
      <sheetName val="EMPILHADEIRA SMQ003"/>
      <sheetName val="Resumo do Contrato "/>
      <sheetName val="Rateio 17-08-2020"/>
      <sheetName val="C.C"/>
      <sheetName val="Rateio 17-06-2020"/>
      <sheetName val="Controle_De_Inpeções41"/>
      <sheetName val="Controle_De_Inpeções_(2)41"/>
      <sheetName val="Controle_De_Inpeções_(3)41"/>
      <sheetName val="Imob_frota_GAVAG_41"/>
      <sheetName val="grafico-CARGA_GERAL41"/>
      <sheetName val="Restrições_de_Velocidade41"/>
      <sheetName val="Ultra_som_-_200741"/>
      <sheetName val="Trem_Hora_Parado41"/>
      <sheetName val="Ocorrências_Ferroviárias41"/>
      <sheetName val="Aprovisionamento_de_Materiais41"/>
      <sheetName val="Grafico_Geral_Orçamento41"/>
      <sheetName val="Check_List-_Gerrot41"/>
      <sheetName val="EAP_rev_0038"/>
      <sheetName val="CC_42438"/>
      <sheetName val="NÃO_CRÍTICOS38"/>
      <sheetName val="CONSOLIDADO_GAENY38"/>
      <sheetName val="ORÇADO_-_CONF__GIC38"/>
      <sheetName val="ALEXANDRE_-_NÃO_CRÍTICOS38"/>
      <sheetName val="LEONARDO__-_CRÍTICOS38"/>
      <sheetName val="LEONARDO__-_NÃO_CRÍTICOS38"/>
      <sheetName val="PAULO_-_CRÍTICOS38"/>
      <sheetName val="PAULO_-_NÃO_CRÍTICOS38"/>
      <sheetName val="Gestão_Econômica38"/>
      <sheetName val="INFO_38"/>
      <sheetName val="Evolução_Etapas_Cal_Mag37"/>
      <sheetName val="Evolução_Etapas_Cromo37"/>
      <sheetName val="Grupo_x_Justif37"/>
      <sheetName val="Disp_2005_FCA37"/>
      <sheetName val="Resumo_EFVM37"/>
      <sheetName val="thp_37"/>
      <sheetName val="Consolida_Investimento37"/>
      <sheetName val="consolidado_preventivas37"/>
      <sheetName val="Vg__Inventariados-dados37"/>
      <sheetName val="Painel_de_controle36"/>
      <sheetName val="MKBF_MI36"/>
      <sheetName val="MKBF_CG36"/>
      <sheetName val="Nº_de_Falhas_MI36"/>
      <sheetName val="Nº_de_Falhas_CG36"/>
      <sheetName val="Nº_de_Falhas_PA36"/>
      <sheetName val="Falhas_sup_Freio36"/>
      <sheetName val="Falhas_MI-sist_Freio36"/>
      <sheetName val="Falhas_CG-sist_Freio36"/>
      <sheetName val="Falhas_sup_Vagão36"/>
      <sheetName val="Falhas_MI-sist_Sup36"/>
      <sheetName val="Falhas_CG_-sist_Sup36"/>
      <sheetName val="Falhas_sup_CG36"/>
      <sheetName val="Falhas_sup_Rodeiro-MI_CG_PA36"/>
      <sheetName val="Falhas_CG-sist_Rodeiro36"/>
      <sheetName val="Falhas_MI-sist_Rodeiro36"/>
      <sheetName val="Falhas_PA-sist_Rodeiro36"/>
      <sheetName val="Falhas_sup_T&amp;T36"/>
      <sheetName val="Falhas_TT-MI36"/>
      <sheetName val="Falhas_TT-CG36"/>
      <sheetName val="Falhas_MI-sist_Truque36"/>
      <sheetName val="Falhas_CG-sist_Truque36"/>
      <sheetName val="Falhas_MI-sist_Tração36"/>
      <sheetName val="Falhas_CG-sist_Tração36"/>
      <sheetName val="POR_DIRETORIA36"/>
      <sheetName val="p_ação_3G_UT36"/>
      <sheetName val="p_ação_3G_UT_(2)36"/>
      <sheetName val="ROS_VV36"/>
      <sheetName val="HISTORICO_DEF_X_REB36"/>
      <sheetName val="PAINEL_DE_FALHAS36"/>
      <sheetName val="Cronograma_de_Reuniões_LICL36"/>
      <sheetName val="Cronograma_de_Reuniões_LEFEL36"/>
      <sheetName val="Pauta_C_Geral_Ferrovia36"/>
      <sheetName val="Agenda_Logistica_201236"/>
      <sheetName val="AR_Signature_Page36"/>
      <sheetName val="_INDICADORES_FINANCEIROS36"/>
      <sheetName val="RECEITA_BRUTA36"/>
      <sheetName val="_COMPOSIÇÃO_DO_CPV_36"/>
      <sheetName val="_INDICADORES_DE_ENDIVIDAMENTO36"/>
      <sheetName val="MINERAIS_FERROSOS36"/>
      <sheetName val="BULK_MATERIALS36"/>
      <sheetName val="MINERAIS_NÃO_FERROSOS36"/>
      <sheetName val="DEMONSTRAÇÃO_DE_RESULTADO36"/>
      <sheetName val="_DESPESAS_FINANCEIRAS36"/>
      <sheetName val="_RESULTADO_DE_P__SOCIETÁRIAS36"/>
      <sheetName val="_BALANÇO_PATRIMONIAL36"/>
      <sheetName val="_FLUXO_DE_CAIXA36"/>
      <sheetName val="_VOLUME_outros36"/>
      <sheetName val="PRECOS_MEDIOS36"/>
      <sheetName val="Margens_Operacionais36"/>
      <sheetName val="Cashflow_(na)36"/>
      <sheetName val="Análise_Certificação_36"/>
      <sheetName val="bdados_200536"/>
      <sheetName val="Check_List36"/>
      <sheetName val="Itens_de_controle36"/>
      <sheetName val="Check_Farol36"/>
      <sheetName val="Pessoal_CVRD36"/>
      <sheetName val="Composição_2011_Máx__Rev_236"/>
      <sheetName val="Demanda_de_inspeção36"/>
      <sheetName val="Composição_2011_Máx__Rev_336"/>
      <sheetName val="JAN_P2236"/>
      <sheetName val="JAN_P2136"/>
      <sheetName val="MELHORIAS_E_OPÇÕES36"/>
      <sheetName val="CVRDMenu_xls36"/>
      <sheetName val="Usiminas_36"/>
      <sheetName val="Desenvolvimento_Ferroviário36"/>
      <sheetName val="Eng__Via_Permanente36"/>
      <sheetName val="Eng__Material_Rodante36"/>
      <sheetName val="Eng__Eletro_e_Operações36"/>
      <sheetName val="Resumo_Desenvolvimento36"/>
      <sheetName val="Resumo_VP36"/>
      <sheetName val="Resumo_Mat_Rodante36"/>
      <sheetName val="Resumo_Eletro36"/>
      <sheetName val="CA_540936"/>
      <sheetName val="Simulador_OEE_sem_911_Nov_Dez36"/>
      <sheetName val="Plano_de_Ação_OMR_(2)34"/>
      <sheetName val="Plano_de_Ação_OMTT_(2)34"/>
      <sheetName val="O_indicador34"/>
      <sheetName val="Matriz_de_priorização_GUT34"/>
      <sheetName val="1_-_Resultados34"/>
      <sheetName val="MCS_FEV34"/>
      <sheetName val="MCS_AGO34"/>
      <sheetName val="BUILD_UP_-_Jan34"/>
      <sheetName val="PA_Est__Minimo34"/>
      <sheetName val="Identificação_do_Problema34"/>
      <sheetName val="Observação_do_Problema34"/>
      <sheetName val="Diagrama_de_Causa_e_Efeito_Ro34"/>
      <sheetName val="Técnica_dos_Por_Ques_Rode34"/>
      <sheetName val="Diagrama_de_Causa_e_Efeito_Tr58"/>
      <sheetName val="Diagrama_de_Causa_e_Efeito_Tr59"/>
      <sheetName val="Teste_porquês_truq_34"/>
      <sheetName val="Teste_porquês_Rod34"/>
      <sheetName val="Teste_porquês_Traç34"/>
      <sheetName val="Observação_do_Problema_(2)34"/>
      <sheetName val="Diagrama_de_Causa_e_Efeito__(43"/>
      <sheetName val="BUILD_UP_COMP_34"/>
      <sheetName val="2_-_BUILD_UP_-_Maio34"/>
      <sheetName val="MCS_MAR34"/>
      <sheetName val="MCS_ABRIL34"/>
      <sheetName val="MCS_ACUMULADO34"/>
      <sheetName val="MCS_MAIO34"/>
      <sheetName val="Plano_de_Ação_OMR34"/>
      <sheetName val="BD_Grafico34"/>
      <sheetName val="Produção_de_Março_-_OMR34"/>
      <sheetName val="Fila_de_Rodeiros34"/>
      <sheetName val="Usinados_Montagem34"/>
      <sheetName val="Perfil_de_Entrada_de_rodeiros34"/>
      <sheetName val="Análise_Extra34"/>
      <sheetName val="Plano_de_Ação_OMTT34"/>
      <sheetName val="3_-_PARETOS34"/>
      <sheetName val="MCS_JUNHO34"/>
      <sheetName val="2_-_BUILD_UP_-_Abr_(2)34"/>
      <sheetName val="Planos_de_ação14"/>
      <sheetName val="Build-up_US$_(2010)34"/>
      <sheetName val="Curva_34"/>
      <sheetName val="Painel_Engenharia_R$34"/>
      <sheetName val="Resumo_do_Painel34"/>
      <sheetName val="Resumo_IOI34"/>
      <sheetName val="Quadro_IOI_201434"/>
      <sheetName val="Curva_Baseline_201434"/>
      <sheetName val="Capex_Eco34"/>
      <sheetName val="Capex_Fin34"/>
      <sheetName val="Curva_Eco_Investimento34"/>
      <sheetName val="Curva_Fin_Investimento34"/>
      <sheetName val="Curva_Despesa34"/>
      <sheetName val="Ferrovia_Análise_Tendência34"/>
      <sheetName val="Dinâm_IOI_fabio34"/>
      <sheetName val="CONTRATOS_EEFC34"/>
      <sheetName val="ANALISE_EXC__MÊS34"/>
      <sheetName val="RESUMO_DESAFIO34"/>
      <sheetName val="2011_Curvas_Fin34"/>
      <sheetName val="Saldos_PA's34"/>
      <sheetName val="2012_Curvas_Fin_(R$)34"/>
      <sheetName val="Ramal_(temp)34"/>
      <sheetName val="Ramal_-_Pacotes34"/>
      <sheetName val="Linhas__Ramais34"/>
      <sheetName val="Owner_Costs34"/>
      <sheetName val="Desembolso_R$34"/>
      <sheetName val="Controle_Pagamentos34"/>
      <sheetName val="CONTRATOS_TFPM34"/>
      <sheetName val="Rateio_Eco_-_Fin_-_Fis12"/>
      <sheetName val="EST__CAPEX_eco_fin12"/>
      <sheetName val="Cálculo_Reajuste12"/>
      <sheetName val="Estrutura_SAP12"/>
      <sheetName val="Principais_Contratos12"/>
      <sheetName val="PA_e_TAREFA12"/>
      <sheetName val="2_-_BUILD_UP_-_Julho14"/>
      <sheetName val="MCS_JULHO14"/>
      <sheetName val="CP_-_Sintético12"/>
      <sheetName val="Gerrot_GAPPG14"/>
      <sheetName val="Acidentes_CPT_e_SPT_-_SUPV_14"/>
      <sheetName val="Ocorrências_Ferroviárias-SUPV14"/>
      <sheetName val="Custeio_Fixo_-_SUPV_14"/>
      <sheetName val="Pessoal_-_SUPV_14"/>
      <sheetName val="Conhecendo_a_composição_M113"/>
      <sheetName val="Insumos_e_Produtos13"/>
      <sheetName val="Itens_de_Controle_-_Nice13"/>
      <sheetName val="PA_-_Receita_Líquida_Guseiros13"/>
      <sheetName val="PA_-_Gusa_Norte_(2)13"/>
      <sheetName val="Just_Nat_57_B13"/>
      <sheetName val="Solicitação_Gestão12"/>
      <sheetName val="JUST_NAT_5212"/>
      <sheetName val="CUSTO_LARANJEIRAS12"/>
      <sheetName val="app_a,_10b12"/>
      <sheetName val="VP1_Corinto12"/>
      <sheetName val="Plan2_(2)14"/>
      <sheetName val="TC_IN13"/>
      <sheetName val="GAVNG_-EPI12"/>
      <sheetName val="invest_12"/>
      <sheetName val="_PIPEWORK_1__12"/>
      <sheetName val="Anomalia_Acao12"/>
      <sheetName val="Base_14"/>
      <sheetName val="MatrizDILN_(2)13"/>
      <sheetName val="Parâmetros_Caso_Base12"/>
      <sheetName val="BASE_DE_DADOS12"/>
      <sheetName val="MUTUAL_FUND_SALES_BY_QTR13"/>
      <sheetName val="ISS_VOL_MUTUAL_FUND_SALES13"/>
      <sheetName val="Graficos_acumulados_totalizad13"/>
      <sheetName val="Graficos_áreas13"/>
      <sheetName val="Indice_Precos_Mes12"/>
      <sheetName val="Seleção_Projetos14"/>
      <sheetName val="Misc__data12"/>
      <sheetName val="Ref_Numbers12"/>
      <sheetName val="Previsão_de_Vagões12"/>
      <sheetName val="1_Pgm12"/>
      <sheetName val="BANCO_DE_DADOS_ESTRUTURA12"/>
      <sheetName val="Price_List12"/>
      <sheetName val="Histograma_-_Detalhe13"/>
      <sheetName val="METRICAS_GVA12"/>
      <sheetName val="Descritivo_Fraturas_Centro12"/>
      <sheetName val="Apoio_Validação12"/>
      <sheetName val="Apoio_Etapa_6_-_Viagens12"/>
      <sheetName val="FCD_MFe14"/>
      <sheetName val="Edison_Correia12"/>
      <sheetName val="MH_Installations12"/>
      <sheetName val="ACOPL_ENG12"/>
      <sheetName val="Caract__Contratos_-_Dez-0012"/>
      <sheetName val="Just_Nat_5112"/>
      <sheetName val="Controle_Comp_12"/>
      <sheetName val="FEVEREIRO_-_DORM-LARGA12"/>
      <sheetName val="Progresso_Econômica_Projeto12"/>
      <sheetName val="CONTRATO_W12"/>
      <sheetName val="Tab__GConta_NOP13"/>
      <sheetName val="Tab__GConta_OP13"/>
      <sheetName val="Tab__GConta_OP_(2)13"/>
      <sheetName val="Números_da_Oficina13"/>
      <sheetName val="Lente_-_dipd14"/>
      <sheetName val="Lente_VALE14"/>
      <sheetName val="Premissas_Preenchimento_BAY13"/>
      <sheetName val="Avanço_Físico_IOI_BAY13"/>
      <sheetName val="Avanço_Econômico_IOI_BAY13"/>
      <sheetName val="Ad__Proj__Financ_IEF_BAY13"/>
      <sheetName val="Baseline_Físico_BAY13"/>
      <sheetName val="Baseline_Econômico_BAY13"/>
      <sheetName val="Milestones_BAY13"/>
      <sheetName val="Licencas_Bayovar13"/>
      <sheetName val="FAIXAS_-_META_VALE_BAYOVAR13"/>
      <sheetName val="Milestones_PRC13"/>
      <sheetName val="Premissas_Preenchimento_CLN13"/>
      <sheetName val="Avanço_Físico_IOI_CLN13"/>
      <sheetName val="Avanço_Econômico_IOI_CLN13"/>
      <sheetName val="Ad__Proj__Financ_IEF_CLN13"/>
      <sheetName val="Baseline_Físico_CLN13"/>
      <sheetName val="Baseline_Econômico_CLN13"/>
      <sheetName val="Milestones_CLN13"/>
      <sheetName val="FAIXAS_-_CALCULADORA_CLN_13"/>
      <sheetName val="DB_do_TST12"/>
      <sheetName val="DTOs_Tração12"/>
      <sheetName val="5_412"/>
      <sheetName val="Resultado_da_Simulação_D+113"/>
      <sheetName val="Viabilidade_Econômica13"/>
      <sheetName val="Operações_de_Swap12"/>
      <sheetName val="Banco_de_dados12"/>
      <sheetName val="Financials_USD$12"/>
      <sheetName val="Desembolso_Financeiro12"/>
      <sheetName val="Produção_12"/>
      <sheetName val="Diagrama_de_Causa_e_Efeito11"/>
      <sheetName val="Causa_e_Medida11"/>
      <sheetName val="Plano_de_Ação11"/>
      <sheetName val="Avanço_%11"/>
      <sheetName val="01_(2)11"/>
      <sheetName val="Controle_De_Inpeções42"/>
      <sheetName val="Controle_De_Inpeções_(2)42"/>
      <sheetName val="Controle_De_Inpeções_(3)42"/>
      <sheetName val="Imob_frota_GAVAG_42"/>
      <sheetName val="grafico-CARGA_GERAL42"/>
      <sheetName val="Restrições_de_Velocidade42"/>
      <sheetName val="Ultra_som_-_200742"/>
      <sheetName val="Trem_Hora_Parado42"/>
      <sheetName val="Ocorrências_Ferroviárias42"/>
      <sheetName val="Aprovisionamento_de_Materiais42"/>
      <sheetName val="Grafico_Geral_Orçamento42"/>
      <sheetName val="Check_List-_Gerrot42"/>
      <sheetName val="EAP_rev_0039"/>
      <sheetName val="CC_42439"/>
      <sheetName val="NÃO_CRÍTICOS39"/>
      <sheetName val="CONSOLIDADO_GAENY39"/>
      <sheetName val="ORÇADO_-_CONF__GIC39"/>
      <sheetName val="ALEXANDRE_-_NÃO_CRÍTICOS39"/>
      <sheetName val="LEONARDO__-_CRÍTICOS39"/>
      <sheetName val="LEONARDO__-_NÃO_CRÍTICOS39"/>
      <sheetName val="PAULO_-_CRÍTICOS39"/>
      <sheetName val="PAULO_-_NÃO_CRÍTICOS39"/>
      <sheetName val="Gestão_Econômica39"/>
      <sheetName val="INFO_39"/>
      <sheetName val="Evolução_Etapas_Cal_Mag38"/>
      <sheetName val="Evolução_Etapas_Cromo38"/>
      <sheetName val="Grupo_x_Justif38"/>
      <sheetName val="Disp_2005_FCA38"/>
      <sheetName val="Resumo_EFVM38"/>
      <sheetName val="thp_38"/>
      <sheetName val="Consolida_Investimento38"/>
      <sheetName val="consolidado_preventivas38"/>
      <sheetName val="Vg__Inventariados-dados38"/>
      <sheetName val="Painel_de_controle37"/>
      <sheetName val="MKBF_MI37"/>
      <sheetName val="MKBF_CG37"/>
      <sheetName val="Nº_de_Falhas_MI37"/>
      <sheetName val="Nº_de_Falhas_CG37"/>
      <sheetName val="Nº_de_Falhas_PA37"/>
      <sheetName val="Falhas_sup_Freio37"/>
      <sheetName val="Falhas_MI-sist_Freio37"/>
      <sheetName val="Falhas_CG-sist_Freio37"/>
      <sheetName val="Falhas_sup_Vagão37"/>
      <sheetName val="Falhas_MI-sist_Sup37"/>
      <sheetName val="Falhas_CG_-sist_Sup37"/>
      <sheetName val="Falhas_sup_CG37"/>
      <sheetName val="Falhas_sup_Rodeiro-MI_CG_PA37"/>
      <sheetName val="Falhas_CG-sist_Rodeiro37"/>
      <sheetName val="Falhas_MI-sist_Rodeiro37"/>
      <sheetName val="Falhas_PA-sist_Rodeiro37"/>
      <sheetName val="Falhas_sup_T&amp;T37"/>
      <sheetName val="Falhas_TT-MI37"/>
      <sheetName val="Falhas_TT-CG37"/>
      <sheetName val="Falhas_MI-sist_Truque37"/>
      <sheetName val="Falhas_CG-sist_Truque37"/>
      <sheetName val="Falhas_MI-sist_Tração37"/>
      <sheetName val="Falhas_CG-sist_Tração37"/>
      <sheetName val="POR_DIRETORIA37"/>
      <sheetName val="p_ação_3G_UT37"/>
      <sheetName val="p_ação_3G_UT_(2)37"/>
      <sheetName val="ROS_VV37"/>
      <sheetName val="HISTORICO_DEF_X_REB37"/>
      <sheetName val="PAINEL_DE_FALHAS37"/>
      <sheetName val="Cronograma_de_Reuniões_LICL37"/>
      <sheetName val="Cronograma_de_Reuniões_LEFEL37"/>
      <sheetName val="Pauta_C_Geral_Ferrovia37"/>
      <sheetName val="Agenda_Logistica_201237"/>
      <sheetName val="AR_Signature_Page37"/>
      <sheetName val="_INDICADORES_FINANCEIROS37"/>
      <sheetName val="RECEITA_BRUTA37"/>
      <sheetName val="_COMPOSIÇÃO_DO_CPV_37"/>
      <sheetName val="_INDICADORES_DE_ENDIVIDAMENTO37"/>
      <sheetName val="MINERAIS_FERROSOS37"/>
      <sheetName val="BULK_MATERIALS37"/>
      <sheetName val="MINERAIS_NÃO_FERROSOS37"/>
      <sheetName val="DEMONSTRAÇÃO_DE_RESULTADO37"/>
      <sheetName val="_DESPESAS_FINANCEIRAS37"/>
      <sheetName val="_RESULTADO_DE_P__SOCIETÁRIAS37"/>
      <sheetName val="_BALANÇO_PATRIMONIAL37"/>
      <sheetName val="_FLUXO_DE_CAIXA37"/>
      <sheetName val="_VOLUME_outros37"/>
      <sheetName val="PRECOS_MEDIOS37"/>
      <sheetName val="Margens_Operacionais37"/>
      <sheetName val="Cashflow_(na)37"/>
      <sheetName val="Análise_Certificação_37"/>
      <sheetName val="bdados_200537"/>
      <sheetName val="Check_List37"/>
      <sheetName val="Itens_de_controle37"/>
      <sheetName val="Check_Farol37"/>
      <sheetName val="Pessoal_CVRD37"/>
      <sheetName val="Composição_2011_Máx__Rev_237"/>
      <sheetName val="Demanda_de_inspeção37"/>
      <sheetName val="Composição_2011_Máx__Rev_337"/>
      <sheetName val="JAN_P2237"/>
      <sheetName val="JAN_P2137"/>
      <sheetName val="MELHORIAS_E_OPÇÕES37"/>
      <sheetName val="CVRDMenu_xls37"/>
      <sheetName val="Usiminas_37"/>
      <sheetName val="Desenvolvimento_Ferroviário37"/>
      <sheetName val="Eng__Via_Permanente37"/>
      <sheetName val="Eng__Material_Rodante37"/>
      <sheetName val="Eng__Eletro_e_Operações37"/>
      <sheetName val="Resumo_Desenvolvimento37"/>
      <sheetName val="Resumo_VP37"/>
      <sheetName val="Resumo_Mat_Rodante37"/>
      <sheetName val="Resumo_Eletro37"/>
      <sheetName val="CA_540937"/>
      <sheetName val="Simulador_OEE_sem_911_Nov_Dez37"/>
      <sheetName val="Plano_de_Ação_OMR_(2)35"/>
      <sheetName val="Plano_de_Ação_OMTT_(2)35"/>
      <sheetName val="O_indicador35"/>
      <sheetName val="Matriz_de_priorização_GUT35"/>
      <sheetName val="1_-_Resultados35"/>
      <sheetName val="MCS_FEV35"/>
      <sheetName val="MCS_AGO35"/>
      <sheetName val="BUILD_UP_-_Jan35"/>
      <sheetName val="PA_Est__Minimo35"/>
      <sheetName val="Identificação_do_Problema35"/>
      <sheetName val="Observação_do_Problema35"/>
      <sheetName val="Diagrama_de_Causa_e_Efeito_Ro35"/>
      <sheetName val="Técnica_dos_Por_Ques_Rode35"/>
      <sheetName val="Diagrama_de_Causa_e_Efeito_Tr60"/>
      <sheetName val="Diagrama_de_Causa_e_Efeito_Tr61"/>
      <sheetName val="Teste_porquês_truq_35"/>
      <sheetName val="Teste_porquês_Rod35"/>
      <sheetName val="Teste_porquês_Traç35"/>
      <sheetName val="Observação_do_Problema_(2)35"/>
      <sheetName val="Diagrama_de_Causa_e_Efeito__(44"/>
      <sheetName val="BUILD_UP_COMP_35"/>
      <sheetName val="2_-_BUILD_UP_-_Maio35"/>
      <sheetName val="MCS_MAR35"/>
      <sheetName val="MCS_ABRIL35"/>
      <sheetName val="MCS_ACUMULADO35"/>
      <sheetName val="MCS_MAIO35"/>
      <sheetName val="Plano_de_Ação_OMR35"/>
      <sheetName val="BD_Grafico35"/>
      <sheetName val="Produção_de_Março_-_OMR35"/>
      <sheetName val="Fila_de_Rodeiros35"/>
      <sheetName val="Usinados_Montagem35"/>
      <sheetName val="Perfil_de_Entrada_de_rodeiros35"/>
      <sheetName val="Análise_Extra35"/>
      <sheetName val="Plano_de_Ação_OMTT35"/>
      <sheetName val="3_-_PARETOS35"/>
      <sheetName val="MCS_JUNHO35"/>
      <sheetName val="2_-_BUILD_UP_-_Abr_(2)35"/>
      <sheetName val="Planos_de_ação15"/>
      <sheetName val="Build-up_US$_(2010)35"/>
      <sheetName val="Curva_35"/>
      <sheetName val="Painel_Engenharia_R$35"/>
      <sheetName val="Resumo_do_Painel35"/>
      <sheetName val="Resumo_IOI35"/>
      <sheetName val="Quadro_IOI_201435"/>
      <sheetName val="Curva_Baseline_201435"/>
      <sheetName val="Capex_Eco35"/>
      <sheetName val="Capex_Fin35"/>
      <sheetName val="Curva_Eco_Investimento35"/>
      <sheetName val="Curva_Fin_Investimento35"/>
      <sheetName val="Curva_Despesa35"/>
      <sheetName val="Ferrovia_Análise_Tendência35"/>
      <sheetName val="Dinâm_IOI_fabio35"/>
      <sheetName val="CONTRATOS_EEFC35"/>
      <sheetName val="ANALISE_EXC__MÊS35"/>
      <sheetName val="RESUMO_DESAFIO35"/>
      <sheetName val="2011_Curvas_Fin35"/>
      <sheetName val="Saldos_PA's35"/>
      <sheetName val="2012_Curvas_Fin_(R$)35"/>
      <sheetName val="Ramal_(temp)35"/>
      <sheetName val="Ramal_-_Pacotes35"/>
      <sheetName val="Linhas__Ramais35"/>
      <sheetName val="Owner_Costs35"/>
      <sheetName val="Desembolso_R$35"/>
      <sheetName val="Controle_Pagamentos35"/>
      <sheetName val="CONTRATOS_TFPM35"/>
      <sheetName val="Rateio_Eco_-_Fin_-_Fis13"/>
      <sheetName val="EST__CAPEX_eco_fin13"/>
      <sheetName val="Cálculo_Reajuste13"/>
      <sheetName val="Estrutura_SAP13"/>
      <sheetName val="Principais_Contratos13"/>
      <sheetName val="PA_e_TAREFA13"/>
      <sheetName val="2_-_BUILD_UP_-_Julho15"/>
      <sheetName val="MCS_JULHO15"/>
      <sheetName val="CP_-_Sintético13"/>
      <sheetName val="Gerrot_GAPPG15"/>
      <sheetName val="Acidentes_CPT_e_SPT_-_SUPV_15"/>
      <sheetName val="Ocorrências_Ferroviárias-SUPV15"/>
      <sheetName val="Custeio_Fixo_-_SUPV_15"/>
      <sheetName val="Pessoal_-_SUPV_15"/>
      <sheetName val="Conhecendo_a_composição_M114"/>
      <sheetName val="Insumos_e_Produtos14"/>
      <sheetName val="Itens_de_Controle_-_Nice14"/>
      <sheetName val="PA_-_Receita_Líquida_Guseiros14"/>
      <sheetName val="PA_-_Gusa_Norte_(2)14"/>
      <sheetName val="Just_Nat_57_B14"/>
      <sheetName val="Solicitação_Gestão13"/>
      <sheetName val="JUST_NAT_5213"/>
      <sheetName val="CUSTO_LARANJEIRAS13"/>
      <sheetName val="app_a,_10b13"/>
      <sheetName val="VP1_Corinto13"/>
      <sheetName val="Plan2_(2)15"/>
      <sheetName val="TC_IN14"/>
      <sheetName val="GAVNG_-EPI13"/>
      <sheetName val="invest_13"/>
      <sheetName val="_PIPEWORK_1__13"/>
      <sheetName val="Anomalia_Acao13"/>
      <sheetName val="Base_15"/>
      <sheetName val="MatrizDILN_(2)14"/>
      <sheetName val="Parâmetros_Caso_Base13"/>
      <sheetName val="BASE_DE_DADOS13"/>
      <sheetName val="MUTUAL_FUND_SALES_BY_QTR14"/>
      <sheetName val="ISS_VOL_MUTUAL_FUND_SALES14"/>
      <sheetName val="Graficos_acumulados_totalizad14"/>
      <sheetName val="Graficos_áreas14"/>
      <sheetName val="Indice_Precos_Mes13"/>
      <sheetName val="Seleção_Projetos15"/>
      <sheetName val="Misc__data13"/>
      <sheetName val="Ref_Numbers13"/>
      <sheetName val="Previsão_de_Vagões13"/>
      <sheetName val="1_Pgm13"/>
      <sheetName val="BANCO_DE_DADOS_ESTRUTURA13"/>
      <sheetName val="Price_List13"/>
      <sheetName val="Histograma_-_Detalhe14"/>
      <sheetName val="METRICAS_GVA13"/>
      <sheetName val="Descritivo_Fraturas_Centro13"/>
      <sheetName val="Apoio_Validação13"/>
      <sheetName val="Apoio_Etapa_6_-_Viagens13"/>
      <sheetName val="FCD_MFe15"/>
      <sheetName val="Edison_Correia13"/>
      <sheetName val="MH_Installations13"/>
      <sheetName val="ACOPL_ENG13"/>
      <sheetName val="Caract__Contratos_-_Dez-0013"/>
      <sheetName val="Just_Nat_5113"/>
      <sheetName val="Controle_Comp_13"/>
      <sheetName val="FEVEREIRO_-_DORM-LARGA13"/>
      <sheetName val="Progresso_Econômica_Projeto13"/>
      <sheetName val="CONTRATO_W13"/>
      <sheetName val="Tab__GConta_NOP14"/>
      <sheetName val="Tab__GConta_OP14"/>
      <sheetName val="Tab__GConta_OP_(2)14"/>
      <sheetName val="Números_da_Oficina14"/>
      <sheetName val="Lente_-_dipd15"/>
      <sheetName val="Lente_VALE15"/>
      <sheetName val="Premissas_Preenchimento_BAY14"/>
      <sheetName val="Avanço_Físico_IOI_BAY14"/>
      <sheetName val="Avanço_Econômico_IOI_BAY14"/>
      <sheetName val="Ad__Proj__Financ_IEF_BAY14"/>
      <sheetName val="Baseline_Físico_BAY14"/>
      <sheetName val="Baseline_Econômico_BAY14"/>
      <sheetName val="Milestones_BAY14"/>
      <sheetName val="Licencas_Bayovar14"/>
      <sheetName val="FAIXAS_-_META_VALE_BAYOVAR14"/>
      <sheetName val="Milestones_PRC14"/>
      <sheetName val="Premissas_Preenchimento_CLN14"/>
      <sheetName val="Avanço_Físico_IOI_CLN14"/>
      <sheetName val="Avanço_Econômico_IOI_CLN14"/>
      <sheetName val="Ad__Proj__Financ_IEF_CLN14"/>
      <sheetName val="Baseline_Físico_CLN14"/>
      <sheetName val="Baseline_Econômico_CLN14"/>
      <sheetName val="Milestones_CLN14"/>
      <sheetName val="FAIXAS_-_CALCULADORA_CLN_14"/>
      <sheetName val="DB_do_TST13"/>
      <sheetName val="DTOs_Tração13"/>
      <sheetName val="5_413"/>
      <sheetName val="Resultado_da_Simulação_D+114"/>
      <sheetName val="Viabilidade_Econômica14"/>
      <sheetName val="Operações_de_Swap13"/>
      <sheetName val="Banco_de_dados13"/>
      <sheetName val="Financials_USD$13"/>
      <sheetName val="Desembolso_Financeiro13"/>
      <sheetName val="Produção_13"/>
      <sheetName val="Diagrama_de_Causa_e_Efeito12"/>
      <sheetName val="Causa_e_Medida12"/>
      <sheetName val="Plano_de_Ação12"/>
      <sheetName val="Avanço_%12"/>
      <sheetName val="01_(2)12"/>
      <sheetName val="Controle_De_Inpeções43"/>
      <sheetName val="Controle_De_Inpeções_(2)43"/>
      <sheetName val="Controle_De_Inpeções_(3)43"/>
      <sheetName val="Imob_frota_GAVAG_43"/>
      <sheetName val="grafico-CARGA_GERAL43"/>
      <sheetName val="Restrições_de_Velocidade43"/>
      <sheetName val="Ultra_som_-_200743"/>
      <sheetName val="Trem_Hora_Parado43"/>
      <sheetName val="Ocorrências_Ferroviárias43"/>
      <sheetName val="Aprovisionamento_de_Materiais43"/>
      <sheetName val="Grafico_Geral_Orçamento43"/>
      <sheetName val="Check_List-_Gerrot43"/>
      <sheetName val="Evolução_Etapas_Cal_Mag39"/>
      <sheetName val="Evolução_Etapas_Cromo39"/>
      <sheetName val="EAP_rev_0040"/>
      <sheetName val="CC_42440"/>
      <sheetName val="NÃO_CRÍTICOS40"/>
      <sheetName val="CONSOLIDADO_GAENY40"/>
      <sheetName val="ORÇADO_-_CONF__GIC40"/>
      <sheetName val="ALEXANDRE_-_NÃO_CRÍTICOS40"/>
      <sheetName val="LEONARDO__-_CRÍTICOS40"/>
      <sheetName val="LEONARDO__-_NÃO_CRÍTICOS40"/>
      <sheetName val="PAULO_-_CRÍTICOS40"/>
      <sheetName val="PAULO_-_NÃO_CRÍTICOS40"/>
      <sheetName val="Gestão_Econômica40"/>
      <sheetName val="INFO_40"/>
      <sheetName val="Grupo_x_Justif39"/>
      <sheetName val="Disp_2005_FCA39"/>
      <sheetName val="Resumo_EFVM39"/>
      <sheetName val="thp_39"/>
      <sheetName val="Consolida_Investimento39"/>
      <sheetName val="consolidado_preventivas39"/>
      <sheetName val="Vg__Inventariados-dados39"/>
      <sheetName val="POR_DIRETORIA38"/>
      <sheetName val="Painel_de_controle38"/>
      <sheetName val="MKBF_MI38"/>
      <sheetName val="MKBF_CG38"/>
      <sheetName val="Nº_de_Falhas_MI38"/>
      <sheetName val="Nº_de_Falhas_CG38"/>
      <sheetName val="Nº_de_Falhas_PA38"/>
      <sheetName val="Falhas_sup_Freio38"/>
      <sheetName val="Falhas_MI-sist_Freio38"/>
      <sheetName val="Falhas_CG-sist_Freio38"/>
      <sheetName val="Falhas_sup_Vagão38"/>
      <sheetName val="Falhas_MI-sist_Sup38"/>
      <sheetName val="Falhas_CG_-sist_Sup38"/>
      <sheetName val="Falhas_sup_CG38"/>
      <sheetName val="Falhas_sup_Rodeiro-MI_CG_PA38"/>
      <sheetName val="Falhas_CG-sist_Rodeiro38"/>
      <sheetName val="Falhas_MI-sist_Rodeiro38"/>
      <sheetName val="Falhas_PA-sist_Rodeiro38"/>
      <sheetName val="Falhas_sup_T&amp;T38"/>
      <sheetName val="Falhas_TT-MI38"/>
      <sheetName val="Falhas_TT-CG38"/>
      <sheetName val="Falhas_MI-sist_Truque38"/>
      <sheetName val="Falhas_CG-sist_Truque38"/>
      <sheetName val="Falhas_MI-sist_Tração38"/>
      <sheetName val="Falhas_CG-sist_Tração38"/>
      <sheetName val="p_ação_3G_UT38"/>
      <sheetName val="p_ação_3G_UT_(2)38"/>
      <sheetName val="ROS_VV38"/>
      <sheetName val="Cronograma_de_Reuniões_LICL38"/>
      <sheetName val="Cronograma_de_Reuniões_LEFEL38"/>
      <sheetName val="Pauta_C_Geral_Ferrovia38"/>
      <sheetName val="Agenda_Logistica_201238"/>
      <sheetName val="HISTORICO_DEF_X_REB38"/>
      <sheetName val="PAINEL_DE_FALHAS38"/>
      <sheetName val="Cashflow_(na)38"/>
      <sheetName val="AR_Signature_Page38"/>
      <sheetName val="bdados_200538"/>
      <sheetName val="Análise_Certificação_38"/>
      <sheetName val="_INDICADORES_FINANCEIROS38"/>
      <sheetName val="RECEITA_BRUTA38"/>
      <sheetName val="_COMPOSIÇÃO_DO_CPV_38"/>
      <sheetName val="_INDICADORES_DE_ENDIVIDAMENTO38"/>
      <sheetName val="MINERAIS_FERROSOS38"/>
      <sheetName val="BULK_MATERIALS38"/>
      <sheetName val="MINERAIS_NÃO_FERROSOS38"/>
      <sheetName val="DEMONSTRAÇÃO_DE_RESULTADO38"/>
      <sheetName val="_DESPESAS_FINANCEIRAS38"/>
      <sheetName val="_RESULTADO_DE_P__SOCIETÁRIAS38"/>
      <sheetName val="_BALANÇO_PATRIMONIAL38"/>
      <sheetName val="_FLUXO_DE_CAIXA38"/>
      <sheetName val="_VOLUME_outros38"/>
      <sheetName val="PRECOS_MEDIOS38"/>
      <sheetName val="Margens_Operacionais38"/>
      <sheetName val="Check_List38"/>
      <sheetName val="Itens_de_controle38"/>
      <sheetName val="Check_Farol38"/>
      <sheetName val="Pessoal_CVRD38"/>
      <sheetName val="Composição_2011_Máx__Rev_238"/>
      <sheetName val="Demanda_de_inspeção38"/>
      <sheetName val="Composição_2011_Máx__Rev_338"/>
      <sheetName val="JAN_P2238"/>
      <sheetName val="JAN_P2138"/>
      <sheetName val="MELHORIAS_E_OPÇÕES38"/>
      <sheetName val="CVRDMenu_xls38"/>
      <sheetName val="Desenvolvimento_Ferroviário38"/>
      <sheetName val="Eng__Via_Permanente38"/>
      <sheetName val="Eng__Material_Rodante38"/>
      <sheetName val="Eng__Eletro_e_Operações38"/>
      <sheetName val="Resumo_Desenvolvimento38"/>
      <sheetName val="Resumo_VP38"/>
      <sheetName val="Resumo_Mat_Rodante38"/>
      <sheetName val="Resumo_Eletro38"/>
      <sheetName val="Simulador_OEE_sem_911_Nov_Dez38"/>
      <sheetName val="Usiminas_38"/>
      <sheetName val="CA_540938"/>
      <sheetName val="Plano_de_Ação_OMR_(2)36"/>
      <sheetName val="Plano_de_Ação_OMTT_(2)36"/>
      <sheetName val="O_indicador36"/>
      <sheetName val="Matriz_de_priorização_GUT36"/>
      <sheetName val="1_-_Resultados36"/>
      <sheetName val="MCS_FEV36"/>
      <sheetName val="MCS_AGO36"/>
      <sheetName val="BUILD_UP_-_Jan36"/>
      <sheetName val="PA_Est__Minimo36"/>
      <sheetName val="Identificação_do_Problema36"/>
      <sheetName val="Observação_do_Problema36"/>
      <sheetName val="Diagrama_de_Causa_e_Efeito_Ro36"/>
      <sheetName val="Técnica_dos_Por_Ques_Rode36"/>
      <sheetName val="Diagrama_de_Causa_e_Efeito_Tr62"/>
      <sheetName val="Diagrama_de_Causa_e_Efeito_Tr63"/>
      <sheetName val="Teste_porquês_truq_36"/>
      <sheetName val="Teste_porquês_Rod36"/>
      <sheetName val="Teste_porquês_Traç36"/>
      <sheetName val="Observação_do_Problema_(2)36"/>
      <sheetName val="Diagrama_de_Causa_e_Efeito__(45"/>
      <sheetName val="BUILD_UP_COMP_36"/>
      <sheetName val="2_-_BUILD_UP_-_Maio36"/>
      <sheetName val="MCS_MAR36"/>
      <sheetName val="MCS_ABRIL36"/>
      <sheetName val="MCS_ACUMULADO36"/>
      <sheetName val="MCS_MAIO36"/>
      <sheetName val="Plano_de_Ação_OMR36"/>
      <sheetName val="BD_Grafico36"/>
      <sheetName val="Produção_de_Março_-_OMR36"/>
      <sheetName val="Fila_de_Rodeiros36"/>
      <sheetName val="Usinados_Montagem36"/>
      <sheetName val="Perfil_de_Entrada_de_rodeiros36"/>
      <sheetName val="Análise_Extra36"/>
      <sheetName val="Plano_de_Ação_OMTT36"/>
      <sheetName val="3_-_PARETOS36"/>
      <sheetName val="MCS_JUNHO36"/>
      <sheetName val="2_-_BUILD_UP_-_Abr_(2)36"/>
      <sheetName val="Planos_de_ação16"/>
      <sheetName val="Build-up_US$_(2010)36"/>
      <sheetName val="Curva_36"/>
      <sheetName val="Painel_Engenharia_R$36"/>
      <sheetName val="Resumo_do_Painel36"/>
      <sheetName val="Resumo_IOI36"/>
      <sheetName val="Quadro_IOI_201436"/>
      <sheetName val="Curva_Baseline_201436"/>
      <sheetName val="Capex_Eco36"/>
      <sheetName val="Capex_Fin36"/>
      <sheetName val="Curva_Eco_Investimento36"/>
      <sheetName val="Curva_Fin_Investimento36"/>
      <sheetName val="Curva_Despesa36"/>
      <sheetName val="Ferrovia_Análise_Tendência36"/>
      <sheetName val="Dinâm_IOI_fabio36"/>
      <sheetName val="CONTRATOS_EEFC36"/>
      <sheetName val="ANALISE_EXC__MÊS36"/>
      <sheetName val="RESUMO_DESAFIO36"/>
      <sheetName val="2011_Curvas_Fin36"/>
      <sheetName val="Saldos_PA's36"/>
      <sheetName val="2012_Curvas_Fin_(R$)36"/>
      <sheetName val="Ramal_(temp)36"/>
      <sheetName val="Ramal_-_Pacotes36"/>
      <sheetName val="Linhas__Ramais36"/>
      <sheetName val="Owner_Costs36"/>
      <sheetName val="Desembolso_R$36"/>
      <sheetName val="Controle_Pagamentos36"/>
      <sheetName val="CONTRATOS_TFPM36"/>
      <sheetName val="2_-_BUILD_UP_-_Julho16"/>
      <sheetName val="MCS_JULHO16"/>
      <sheetName val="Rateio_Eco_-_Fin_-_Fis14"/>
      <sheetName val="EST__CAPEX_eco_fin14"/>
      <sheetName val="Cálculo_Reajuste14"/>
      <sheetName val="Estrutura_SAP14"/>
      <sheetName val="Principais_Contratos14"/>
      <sheetName val="PA_e_TAREFA14"/>
      <sheetName val="CP_-_Sintético14"/>
      <sheetName val="Gerrot_GAPPG16"/>
      <sheetName val="Acidentes_CPT_e_SPT_-_SUPV_16"/>
      <sheetName val="Ocorrências_Ferroviárias-SUPV16"/>
      <sheetName val="Custeio_Fixo_-_SUPV_16"/>
      <sheetName val="Pessoal_-_SUPV_16"/>
      <sheetName val="Conhecendo_a_composição_M115"/>
      <sheetName val="Insumos_e_Produtos15"/>
      <sheetName val="Itens_de_Controle_-_Nice15"/>
      <sheetName val="PA_-_Receita_Líquida_Guseiros15"/>
      <sheetName val="PA_-_Gusa_Norte_(2)15"/>
      <sheetName val="Just_Nat_57_B15"/>
      <sheetName val="Solicitação_Gestão14"/>
      <sheetName val="JUST_NAT_5214"/>
      <sheetName val="CUSTO_LARANJEIRAS14"/>
      <sheetName val="app_a,_10b14"/>
      <sheetName val="VP1_Corinto14"/>
      <sheetName val="Plan2_(2)16"/>
      <sheetName val="TC_IN15"/>
      <sheetName val="GAVNG_-EPI14"/>
      <sheetName val="invest_14"/>
      <sheetName val="_PIPEWORK_1__14"/>
      <sheetName val="Anomalia_Acao14"/>
      <sheetName val="Base_16"/>
      <sheetName val="MatrizDILN_(2)15"/>
      <sheetName val="Parâmetros_Caso_Base14"/>
      <sheetName val="BASE_DE_DADOS14"/>
      <sheetName val="MUTUAL_FUND_SALES_BY_QTR15"/>
      <sheetName val="ISS_VOL_MUTUAL_FUND_SALES15"/>
      <sheetName val="Graficos_acumulados_totalizad15"/>
      <sheetName val="Graficos_áreas15"/>
      <sheetName val="Indice_Precos_Mes14"/>
      <sheetName val="Seleção_Projetos16"/>
      <sheetName val="Misc__data14"/>
      <sheetName val="Ref_Numbers14"/>
      <sheetName val="Previsão_de_Vagões14"/>
      <sheetName val="1_Pgm14"/>
      <sheetName val="BANCO_DE_DADOS_ESTRUTURA14"/>
      <sheetName val="Price_List14"/>
      <sheetName val="Histograma_-_Detalhe15"/>
      <sheetName val="METRICAS_GVA14"/>
      <sheetName val="Descritivo_Fraturas_Centro14"/>
      <sheetName val="Apoio_Validação14"/>
      <sheetName val="Apoio_Etapa_6_-_Viagens14"/>
      <sheetName val="FCD_MFe16"/>
      <sheetName val="Edison_Correia14"/>
      <sheetName val="MH_Installations14"/>
      <sheetName val="ACOPL_ENG14"/>
      <sheetName val="Caract__Contratos_-_Dez-0014"/>
      <sheetName val="Just_Nat_5114"/>
      <sheetName val="Controle_Comp_14"/>
      <sheetName val="FEVEREIRO_-_DORM-LARGA14"/>
      <sheetName val="Progresso_Econômica_Projeto14"/>
      <sheetName val="CONTRATO_W14"/>
      <sheetName val="Tab__GConta_NOP15"/>
      <sheetName val="Tab__GConta_OP15"/>
      <sheetName val="Tab__GConta_OP_(2)15"/>
      <sheetName val="Números_da_Oficina15"/>
      <sheetName val="Lente_-_dipd16"/>
      <sheetName val="Lente_VALE16"/>
      <sheetName val="Premissas_Preenchimento_BAY15"/>
      <sheetName val="Avanço_Físico_IOI_BAY15"/>
      <sheetName val="Avanço_Econômico_IOI_BAY15"/>
      <sheetName val="Ad__Proj__Financ_IEF_BAY15"/>
      <sheetName val="Baseline_Físico_BAY15"/>
      <sheetName val="Baseline_Econômico_BAY15"/>
      <sheetName val="Milestones_BAY15"/>
      <sheetName val="Licencas_Bayovar15"/>
      <sheetName val="FAIXAS_-_META_VALE_BAYOVAR15"/>
      <sheetName val="Milestones_PRC15"/>
      <sheetName val="Premissas_Preenchimento_CLN15"/>
      <sheetName val="Avanço_Físico_IOI_CLN15"/>
      <sheetName val="Avanço_Econômico_IOI_CLN15"/>
      <sheetName val="Ad__Proj__Financ_IEF_CLN15"/>
      <sheetName val="Baseline_Físico_CLN15"/>
      <sheetName val="Baseline_Econômico_CLN15"/>
      <sheetName val="Milestones_CLN15"/>
      <sheetName val="FAIXAS_-_CALCULADORA_CLN_15"/>
      <sheetName val="DB_do_TST14"/>
      <sheetName val="DTOs_Tração14"/>
      <sheetName val="5_414"/>
      <sheetName val="Resultado_da_Simulação_D+115"/>
      <sheetName val="Viabilidade_Econômica15"/>
      <sheetName val="Operações_de_Swap14"/>
      <sheetName val="Banco_de_dados14"/>
      <sheetName val="Financials_USD$14"/>
      <sheetName val="Desembolso_Financeiro14"/>
      <sheetName val="Produção_14"/>
      <sheetName val="Diagrama_de_Causa_e_Efeito13"/>
      <sheetName val="Causa_e_Medida13"/>
      <sheetName val="Plano_de_Ação13"/>
      <sheetName val="Avanço_%13"/>
      <sheetName val="01_(2)13"/>
      <sheetName val="Controle_De_Inpeções44"/>
      <sheetName val="Controle_De_Inpeções_(2)44"/>
      <sheetName val="Controle_De_Inpeções_(3)44"/>
      <sheetName val="Imob_frota_GAVAG_44"/>
      <sheetName val="grafico-CARGA_GERAL44"/>
      <sheetName val="Restrições_de_Velocidade44"/>
      <sheetName val="Ultra_som_-_200744"/>
      <sheetName val="Trem_Hora_Parado44"/>
      <sheetName val="Ocorrências_Ferroviárias44"/>
      <sheetName val="Aprovisionamento_de_Materiais44"/>
      <sheetName val="Grafico_Geral_Orçamento44"/>
      <sheetName val="Check_List-_Gerrot44"/>
      <sheetName val="EAP_rev_0041"/>
      <sheetName val="CC_42441"/>
      <sheetName val="NÃO_CRÍTICOS41"/>
      <sheetName val="CONSOLIDADO_GAENY41"/>
      <sheetName val="ORÇADO_-_CONF__GIC41"/>
      <sheetName val="ALEXANDRE_-_NÃO_CRÍTICOS41"/>
      <sheetName val="LEONARDO__-_CRÍTICOS41"/>
      <sheetName val="LEONARDO__-_NÃO_CRÍTICOS41"/>
      <sheetName val="PAULO_-_CRÍTICOS41"/>
      <sheetName val="PAULO_-_NÃO_CRÍTICOS41"/>
      <sheetName val="Gestão_Econômica41"/>
      <sheetName val="INFO_41"/>
      <sheetName val="consolidado_preventivas40"/>
      <sheetName val="Evolução_Etapas_Cal_Mag40"/>
      <sheetName val="Evolução_Etapas_Cromo40"/>
      <sheetName val="Grupo_x_Justif40"/>
      <sheetName val="Disp_2005_FCA40"/>
      <sheetName val="Resumo_EFVM40"/>
      <sheetName val="thp_40"/>
      <sheetName val="Consolida_Investimento40"/>
      <sheetName val="Vg__Inventariados-dados40"/>
      <sheetName val="p_ação_3G_UT39"/>
      <sheetName val="p_ação_3G_UT_(2)39"/>
      <sheetName val="Painel_de_controle39"/>
      <sheetName val="MKBF_MI39"/>
      <sheetName val="MKBF_CG39"/>
      <sheetName val="Nº_de_Falhas_MI39"/>
      <sheetName val="Nº_de_Falhas_CG39"/>
      <sheetName val="Nº_de_Falhas_PA39"/>
      <sheetName val="Falhas_sup_Freio39"/>
      <sheetName val="Falhas_MI-sist_Freio39"/>
      <sheetName val="Falhas_CG-sist_Freio39"/>
      <sheetName val="Falhas_sup_Vagão39"/>
      <sheetName val="Falhas_MI-sist_Sup39"/>
      <sheetName val="Falhas_CG_-sist_Sup39"/>
      <sheetName val="Falhas_sup_CG39"/>
      <sheetName val="Falhas_sup_Rodeiro-MI_CG_PA39"/>
      <sheetName val="Falhas_CG-sist_Rodeiro39"/>
      <sheetName val="Falhas_MI-sist_Rodeiro39"/>
      <sheetName val="Falhas_PA-sist_Rodeiro39"/>
      <sheetName val="Falhas_sup_T&amp;T39"/>
      <sheetName val="Falhas_TT-MI39"/>
      <sheetName val="Falhas_TT-CG39"/>
      <sheetName val="Falhas_MI-sist_Truque39"/>
      <sheetName val="Falhas_CG-sist_Truque39"/>
      <sheetName val="Falhas_MI-sist_Tração39"/>
      <sheetName val="Falhas_CG-sist_Tração39"/>
      <sheetName val="POR_DIRETORIA39"/>
      <sheetName val="ROS_VV39"/>
      <sheetName val="Cronograma_de_Reuniões_LICL39"/>
      <sheetName val="Cronograma_de_Reuniões_LEFEL39"/>
      <sheetName val="Pauta_C_Geral_Ferrovia39"/>
      <sheetName val="Agenda_Logistica_201239"/>
      <sheetName val="HISTORICO_DEF_X_REB39"/>
      <sheetName val="PAINEL_DE_FALHAS39"/>
      <sheetName val="AR_Signature_Page39"/>
      <sheetName val="Cashflow_(na)39"/>
      <sheetName val="_INDICADORES_FINANCEIROS39"/>
      <sheetName val="RECEITA_BRUTA39"/>
      <sheetName val="_COMPOSIÇÃO_DO_CPV_39"/>
      <sheetName val="_INDICADORES_DE_ENDIVIDAMENTO39"/>
      <sheetName val="MINERAIS_FERROSOS39"/>
      <sheetName val="BULK_MATERIALS39"/>
      <sheetName val="MINERAIS_NÃO_FERROSOS39"/>
      <sheetName val="DEMONSTRAÇÃO_DE_RESULTADO39"/>
      <sheetName val="_DESPESAS_FINANCEIRAS39"/>
      <sheetName val="_RESULTADO_DE_P__SOCIETÁRIAS39"/>
      <sheetName val="_BALANÇO_PATRIMONIAL39"/>
      <sheetName val="_FLUXO_DE_CAIXA39"/>
      <sheetName val="_VOLUME_outros39"/>
      <sheetName val="PRECOS_MEDIOS39"/>
      <sheetName val="Margens_Operacionais39"/>
      <sheetName val="Análise_Certificação_39"/>
      <sheetName val="bdados_200539"/>
      <sheetName val="Check_List39"/>
      <sheetName val="Itens_de_controle39"/>
      <sheetName val="Check_Farol39"/>
      <sheetName val="Pessoal_CVRD39"/>
      <sheetName val="Composição_2011_Máx__Rev_239"/>
      <sheetName val="Demanda_de_inspeção39"/>
      <sheetName val="Composição_2011_Máx__Rev_339"/>
      <sheetName val="JAN_P2239"/>
      <sheetName val="JAN_P2139"/>
      <sheetName val="MELHORIAS_E_OPÇÕES39"/>
      <sheetName val="CVRDMenu_xls39"/>
      <sheetName val="Desenvolvimento_Ferroviário39"/>
      <sheetName val="Eng__Via_Permanente39"/>
      <sheetName val="Eng__Material_Rodante39"/>
      <sheetName val="Eng__Eletro_e_Operações39"/>
      <sheetName val="Resumo_Desenvolvimento39"/>
      <sheetName val="Resumo_VP39"/>
      <sheetName val="Resumo_Mat_Rodante39"/>
      <sheetName val="Resumo_Eletro39"/>
      <sheetName val="Usiminas_39"/>
      <sheetName val="CA_540939"/>
      <sheetName val="Simulador_OEE_sem_911_Nov_Dez39"/>
      <sheetName val="Plano_de_Ação_OMR_(2)37"/>
      <sheetName val="Plano_de_Ação_OMTT_(2)37"/>
      <sheetName val="O_indicador37"/>
      <sheetName val="Matriz_de_priorização_GUT37"/>
      <sheetName val="1_-_Resultados37"/>
      <sheetName val="MCS_FEV37"/>
      <sheetName val="MCS_AGO37"/>
      <sheetName val="BUILD_UP_-_Jan37"/>
      <sheetName val="PA_Est__Minimo37"/>
      <sheetName val="Identificação_do_Problema37"/>
      <sheetName val="Observação_do_Problema37"/>
      <sheetName val="Diagrama_de_Causa_e_Efeito_Ro37"/>
      <sheetName val="Técnica_dos_Por_Ques_Rode37"/>
      <sheetName val="Diagrama_de_Causa_e_Efeito_Tr64"/>
      <sheetName val="Diagrama_de_Causa_e_Efeito_Tr65"/>
      <sheetName val="Teste_porquês_truq_37"/>
      <sheetName val="Teste_porquês_Rod37"/>
      <sheetName val="Teste_porquês_Traç37"/>
      <sheetName val="Observação_do_Problema_(2)37"/>
      <sheetName val="Diagrama_de_Causa_e_Efeito__(46"/>
      <sheetName val="BUILD_UP_COMP_37"/>
      <sheetName val="2_-_BUILD_UP_-_Maio37"/>
      <sheetName val="MCS_MAR37"/>
      <sheetName val="MCS_ABRIL37"/>
      <sheetName val="MCS_ACUMULADO37"/>
      <sheetName val="MCS_MAIO37"/>
      <sheetName val="Plano_de_Ação_OMR37"/>
      <sheetName val="BD_Grafico37"/>
      <sheetName val="Produção_de_Março_-_OMR37"/>
      <sheetName val="Fila_de_Rodeiros37"/>
      <sheetName val="Usinados_Montagem37"/>
      <sheetName val="Perfil_de_Entrada_de_rodeiros37"/>
      <sheetName val="Análise_Extra37"/>
      <sheetName val="Plano_de_Ação_OMTT37"/>
      <sheetName val="3_-_PARETOS37"/>
      <sheetName val="MCS_JUNHO37"/>
      <sheetName val="2_-_BUILD_UP_-_Abr_(2)37"/>
      <sheetName val="Planos_de_ação17"/>
      <sheetName val="Build-up_US$_(2010)37"/>
      <sheetName val="Curva_37"/>
      <sheetName val="Painel_Engenharia_R$37"/>
      <sheetName val="Resumo_do_Painel37"/>
      <sheetName val="Resumo_IOI37"/>
      <sheetName val="Quadro_IOI_201437"/>
      <sheetName val="Curva_Baseline_201437"/>
      <sheetName val="Capex_Eco37"/>
      <sheetName val="Capex_Fin37"/>
      <sheetName val="Curva_Eco_Investimento37"/>
      <sheetName val="Curva_Fin_Investimento37"/>
      <sheetName val="Curva_Despesa37"/>
      <sheetName val="Ferrovia_Análise_Tendência37"/>
      <sheetName val="Dinâm_IOI_fabio37"/>
      <sheetName val="CONTRATOS_EEFC37"/>
      <sheetName val="ANALISE_EXC__MÊS37"/>
      <sheetName val="RESUMO_DESAFIO37"/>
      <sheetName val="2011_Curvas_Fin37"/>
      <sheetName val="Saldos_PA's37"/>
      <sheetName val="2012_Curvas_Fin_(R$)37"/>
      <sheetName val="Ramal_(temp)37"/>
      <sheetName val="Ramal_-_Pacotes37"/>
      <sheetName val="Linhas__Ramais37"/>
      <sheetName val="Owner_Costs37"/>
      <sheetName val="Desembolso_R$37"/>
      <sheetName val="Controle_Pagamentos37"/>
      <sheetName val="CONTRATOS_TFPM37"/>
      <sheetName val="2_-_BUILD_UP_-_Julho17"/>
      <sheetName val="MCS_JULHO17"/>
      <sheetName val="CP_-_Sintético15"/>
      <sheetName val="Gerrot_GAPPG17"/>
      <sheetName val="Acidentes_CPT_e_SPT_-_SUPV_17"/>
      <sheetName val="Ocorrências_Ferroviárias-SUPV17"/>
      <sheetName val="Custeio_Fixo_-_SUPV_17"/>
      <sheetName val="Pessoal_-_SUPV_17"/>
      <sheetName val="Conhecendo_a_composição_M116"/>
      <sheetName val="Insumos_e_Produtos16"/>
      <sheetName val="Itens_de_Controle_-_Nice16"/>
      <sheetName val="PA_-_Receita_Líquida_Guseiros16"/>
      <sheetName val="PA_-_Gusa_Norte_(2)16"/>
      <sheetName val="Just_Nat_57_B16"/>
      <sheetName val="Solicitação_Gestão15"/>
      <sheetName val="JUST_NAT_5215"/>
      <sheetName val="CUSTO_LARANJEIRAS15"/>
      <sheetName val="app_a,_10b15"/>
      <sheetName val="VP1_Corinto15"/>
      <sheetName val="Plan2_(2)17"/>
      <sheetName val="TC_IN16"/>
      <sheetName val="GAVNG_-EPI15"/>
      <sheetName val="invest_15"/>
      <sheetName val="_PIPEWORK_1__15"/>
      <sheetName val="Anomalia_Acao15"/>
      <sheetName val="Base_17"/>
      <sheetName val="MatrizDILN_(2)16"/>
      <sheetName val="Parâmetros_Caso_Base15"/>
      <sheetName val="BASE_DE_DADOS15"/>
      <sheetName val="MUTUAL_FUND_SALES_BY_QTR16"/>
      <sheetName val="ISS_VOL_MUTUAL_FUND_SALES16"/>
      <sheetName val="Graficos_acumulados_totalizad16"/>
      <sheetName val="Graficos_áreas16"/>
      <sheetName val="Indice_Precos_Mes15"/>
      <sheetName val="Seleção_Projetos17"/>
      <sheetName val="Misc__data15"/>
      <sheetName val="Ref_Numbers15"/>
      <sheetName val="Previsão_de_Vagões15"/>
      <sheetName val="1_Pgm15"/>
      <sheetName val="BANCO_DE_DADOS_ESTRUTURA15"/>
      <sheetName val="Price_List15"/>
      <sheetName val="Histograma_-_Detalhe16"/>
      <sheetName val="METRICAS_GVA15"/>
      <sheetName val="Descritivo_Fraturas_Centro15"/>
      <sheetName val="Apoio_Validação15"/>
      <sheetName val="Apoio_Etapa_6_-_Viagens15"/>
      <sheetName val="FCD_MFe17"/>
      <sheetName val="Edison_Correia15"/>
      <sheetName val="MH_Installations15"/>
      <sheetName val="ACOPL_ENG15"/>
      <sheetName val="Caract__Contratos_-_Dez-0015"/>
      <sheetName val="Just_Nat_5115"/>
      <sheetName val="Controle_Comp_15"/>
      <sheetName val="FEVEREIRO_-_DORM-LARGA15"/>
      <sheetName val="Progresso_Econômica_Projeto15"/>
      <sheetName val="CONTRATO_W15"/>
      <sheetName val="Tab__GConta_NOP16"/>
      <sheetName val="Tab__GConta_OP16"/>
      <sheetName val="Tab__GConta_OP_(2)16"/>
      <sheetName val="Números_da_Oficina16"/>
      <sheetName val="Lente_-_dipd17"/>
      <sheetName val="Lente_VALE17"/>
      <sheetName val="Premissas_Preenchimento_BAY16"/>
      <sheetName val="Avanço_Físico_IOI_BAY16"/>
      <sheetName val="Avanço_Econômico_IOI_BAY16"/>
      <sheetName val="Ad__Proj__Financ_IEF_BAY16"/>
      <sheetName val="Baseline_Físico_BAY16"/>
      <sheetName val="Baseline_Econômico_BAY16"/>
      <sheetName val="Milestones_BAY16"/>
      <sheetName val="Licencas_Bayovar16"/>
      <sheetName val="FAIXAS_-_META_VALE_BAYOVAR16"/>
      <sheetName val="Milestones_PRC16"/>
      <sheetName val="Premissas_Preenchimento_CLN16"/>
      <sheetName val="Avanço_Físico_IOI_CLN16"/>
      <sheetName val="Avanço_Econômico_IOI_CLN16"/>
      <sheetName val="Ad__Proj__Financ_IEF_CLN16"/>
      <sheetName val="Baseline_Físico_CLN16"/>
      <sheetName val="Baseline_Econômico_CLN16"/>
      <sheetName val="Milestones_CLN16"/>
      <sheetName val="FAIXAS_-_CALCULADORA_CLN_16"/>
      <sheetName val="DB_do_TST15"/>
      <sheetName val="DTOs_Tração15"/>
      <sheetName val="5_415"/>
      <sheetName val="Resultado_da_Simulação_D+116"/>
      <sheetName val="Viabilidade_Econômica16"/>
      <sheetName val="Operações_de_Swap15"/>
      <sheetName val="Banco_de_dados15"/>
      <sheetName val="Financials_USD$15"/>
      <sheetName val="Desembolso_Financeiro15"/>
      <sheetName val="Produção_15"/>
      <sheetName val="Rateio_Eco_-_Fin_-_Fis15"/>
      <sheetName val="EST__CAPEX_eco_fin15"/>
      <sheetName val="Cálculo_Reajuste15"/>
      <sheetName val="Estrutura_SAP15"/>
      <sheetName val="Principais_Contratos15"/>
      <sheetName val="PA_e_TAREFA15"/>
      <sheetName val="Diagrama_de_Causa_e_Efeito14"/>
      <sheetName val="Causa_e_Medida14"/>
      <sheetName val="Plano_de_Ação14"/>
      <sheetName val="Avanço_%14"/>
      <sheetName val="01_(2)14"/>
      <sheetName val="Controle_De_Inpeções45"/>
      <sheetName val="Controle_De_Inpeções_(2)45"/>
      <sheetName val="Controle_De_Inpeções_(3)45"/>
      <sheetName val="Imob_frota_GAVAG_45"/>
      <sheetName val="grafico-CARGA_GERAL45"/>
      <sheetName val="Restrições_de_Velocidade45"/>
      <sheetName val="Ultra_som_-_200745"/>
      <sheetName val="Trem_Hora_Parado45"/>
      <sheetName val="Ocorrências_Ferroviárias45"/>
      <sheetName val="Aprovisionamento_de_Materiais45"/>
      <sheetName val="Grafico_Geral_Orçamento45"/>
      <sheetName val="Check_List-_Gerrot45"/>
      <sheetName val="EAP_rev_0042"/>
      <sheetName val="CC_42442"/>
      <sheetName val="NÃO_CRÍTICOS42"/>
      <sheetName val="CONSOLIDADO_GAENY42"/>
      <sheetName val="ORÇADO_-_CONF__GIC42"/>
      <sheetName val="ALEXANDRE_-_NÃO_CRÍTICOS42"/>
      <sheetName val="LEONARDO__-_CRÍTICOS42"/>
      <sheetName val="LEONARDO__-_NÃO_CRÍTICOS42"/>
      <sheetName val="PAULO_-_CRÍTICOS42"/>
      <sheetName val="PAULO_-_NÃO_CRÍTICOS42"/>
      <sheetName val="Gestão_Econômica42"/>
      <sheetName val="INFO_42"/>
      <sheetName val="Evolução_Etapas_Cal_Mag41"/>
      <sheetName val="Evolução_Etapas_Cromo41"/>
      <sheetName val="Grupo_x_Justif41"/>
      <sheetName val="Disp_2005_FCA41"/>
      <sheetName val="Resumo_EFVM41"/>
      <sheetName val="thp_41"/>
      <sheetName val="Consolida_Investimento41"/>
      <sheetName val="consolidado_preventivas41"/>
      <sheetName val="Vg__Inventariados-dados41"/>
      <sheetName val="Painel_de_controle40"/>
      <sheetName val="MKBF_MI40"/>
      <sheetName val="MKBF_CG40"/>
      <sheetName val="Nº_de_Falhas_MI40"/>
      <sheetName val="Nº_de_Falhas_CG40"/>
      <sheetName val="Nº_de_Falhas_PA40"/>
      <sheetName val="Falhas_sup_Freio40"/>
      <sheetName val="Falhas_MI-sist_Freio40"/>
      <sheetName val="Falhas_CG-sist_Freio40"/>
      <sheetName val="Falhas_sup_Vagão40"/>
      <sheetName val="Falhas_MI-sist_Sup40"/>
      <sheetName val="Falhas_CG_-sist_Sup40"/>
      <sheetName val="Falhas_sup_CG40"/>
      <sheetName val="Falhas_sup_Rodeiro-MI_CG_PA40"/>
      <sheetName val="Falhas_CG-sist_Rodeiro40"/>
      <sheetName val="Falhas_MI-sist_Rodeiro40"/>
      <sheetName val="Falhas_PA-sist_Rodeiro40"/>
      <sheetName val="Falhas_sup_T&amp;T40"/>
      <sheetName val="Falhas_TT-MI40"/>
      <sheetName val="Falhas_TT-CG40"/>
      <sheetName val="Falhas_MI-sist_Truque40"/>
      <sheetName val="Falhas_CG-sist_Truque40"/>
      <sheetName val="Falhas_MI-sist_Tração40"/>
      <sheetName val="Falhas_CG-sist_Tração40"/>
      <sheetName val="POR_DIRETORIA40"/>
      <sheetName val="p_ação_3G_UT40"/>
      <sheetName val="p_ação_3G_UT_(2)40"/>
      <sheetName val="ROS_VV40"/>
      <sheetName val="Cronograma_de_Reuniões_LICL40"/>
      <sheetName val="Cronograma_de_Reuniões_LEFEL40"/>
      <sheetName val="Pauta_C_Geral_Ferrovia40"/>
      <sheetName val="Agenda_Logistica_201240"/>
      <sheetName val="HISTORICO_DEF_X_REB40"/>
      <sheetName val="PAINEL_DE_FALHAS40"/>
      <sheetName val="AR_Signature_Page40"/>
      <sheetName val="Cashflow_(na)40"/>
      <sheetName val="_INDICADORES_FINANCEIROS40"/>
      <sheetName val="RECEITA_BRUTA40"/>
      <sheetName val="_COMPOSIÇÃO_DO_CPV_40"/>
      <sheetName val="_INDICADORES_DE_ENDIVIDAMENTO40"/>
      <sheetName val="MINERAIS_FERROSOS40"/>
      <sheetName val="BULK_MATERIALS40"/>
      <sheetName val="MINERAIS_NÃO_FERROSOS40"/>
      <sheetName val="DEMONSTRAÇÃO_DE_RESULTADO40"/>
      <sheetName val="_DESPESAS_FINANCEIRAS40"/>
      <sheetName val="_RESULTADO_DE_P__SOCIETÁRIAS40"/>
      <sheetName val="_BALANÇO_PATRIMONIAL40"/>
      <sheetName val="_FLUXO_DE_CAIXA40"/>
      <sheetName val="_VOLUME_outros40"/>
      <sheetName val="PRECOS_MEDIOS40"/>
      <sheetName val="Margens_Operacionais40"/>
      <sheetName val="Análise_Certificação_40"/>
      <sheetName val="bdados_200540"/>
      <sheetName val="Check_List40"/>
      <sheetName val="Itens_de_controle40"/>
      <sheetName val="Check_Farol40"/>
      <sheetName val="Pessoal_CVRD40"/>
      <sheetName val="Composição_2011_Máx__Rev_240"/>
      <sheetName val="Demanda_de_inspeção40"/>
      <sheetName val="Composição_2011_Máx__Rev_340"/>
      <sheetName val="JAN_P2240"/>
      <sheetName val="JAN_P2140"/>
      <sheetName val="MELHORIAS_E_OPÇÕES40"/>
      <sheetName val="CVRDMenu_xls40"/>
      <sheetName val="Desenvolvimento_Ferroviário40"/>
      <sheetName val="Eng__Via_Permanente40"/>
      <sheetName val="Eng__Material_Rodante40"/>
      <sheetName val="Eng__Eletro_e_Operações40"/>
      <sheetName val="Resumo_Desenvolvimento40"/>
      <sheetName val="Resumo_VP40"/>
      <sheetName val="Resumo_Mat_Rodante40"/>
      <sheetName val="Resumo_Eletro40"/>
      <sheetName val="Usiminas_40"/>
      <sheetName val="Simulador_OEE_sem_911_Nov_Dez40"/>
      <sheetName val="CA_540940"/>
      <sheetName val="Plano_de_Ação_OMR_(2)38"/>
      <sheetName val="Plano_de_Ação_OMTT_(2)38"/>
      <sheetName val="O_indicador38"/>
      <sheetName val="Matriz_de_priorização_GUT38"/>
      <sheetName val="1_-_Resultados38"/>
      <sheetName val="MCS_FEV38"/>
      <sheetName val="MCS_AGO38"/>
      <sheetName val="BUILD_UP_-_Jan38"/>
      <sheetName val="PA_Est__Minimo38"/>
      <sheetName val="Identificação_do_Problema38"/>
      <sheetName val="Observação_do_Problema38"/>
      <sheetName val="Diagrama_de_Causa_e_Efeito_Ro38"/>
      <sheetName val="Técnica_dos_Por_Ques_Rode38"/>
      <sheetName val="Diagrama_de_Causa_e_Efeito_Tr66"/>
      <sheetName val="Diagrama_de_Causa_e_Efeito_Tr67"/>
      <sheetName val="Teste_porquês_truq_38"/>
      <sheetName val="Teste_porquês_Rod38"/>
      <sheetName val="Teste_porquês_Traç38"/>
      <sheetName val="Observação_do_Problema_(2)38"/>
      <sheetName val="Diagrama_de_Causa_e_Efeito__(47"/>
      <sheetName val="BUILD_UP_COMP_38"/>
      <sheetName val="2_-_BUILD_UP_-_Maio38"/>
      <sheetName val="MCS_MAR38"/>
      <sheetName val="MCS_ABRIL38"/>
      <sheetName val="MCS_ACUMULADO38"/>
      <sheetName val="MCS_MAIO38"/>
      <sheetName val="Plano_de_Ação_OMR38"/>
      <sheetName val="BD_Grafico38"/>
      <sheetName val="Produção_de_Março_-_OMR38"/>
      <sheetName val="Fila_de_Rodeiros38"/>
      <sheetName val="Usinados_Montagem38"/>
      <sheetName val="Perfil_de_Entrada_de_rodeiros38"/>
      <sheetName val="Análise_Extra38"/>
      <sheetName val="Plano_de_Ação_OMTT38"/>
      <sheetName val="3_-_PARETOS38"/>
      <sheetName val="MCS_JUNHO38"/>
      <sheetName val="2_-_BUILD_UP_-_Abr_(2)38"/>
      <sheetName val="Planos_de_ação18"/>
      <sheetName val="Build-up_US$_(2010)38"/>
      <sheetName val="Curva_38"/>
      <sheetName val="Painel_Engenharia_R$38"/>
      <sheetName val="Resumo_do_Painel38"/>
      <sheetName val="Resumo_IOI38"/>
      <sheetName val="Quadro_IOI_201438"/>
      <sheetName val="Curva_Baseline_201438"/>
      <sheetName val="Capex_Eco38"/>
      <sheetName val="Capex_Fin38"/>
      <sheetName val="Curva_Eco_Investimento38"/>
      <sheetName val="Curva_Fin_Investimento38"/>
      <sheetName val="Curva_Despesa38"/>
      <sheetName val="Ferrovia_Análise_Tendência38"/>
      <sheetName val="Dinâm_IOI_fabio38"/>
      <sheetName val="CONTRATOS_EEFC38"/>
      <sheetName val="ANALISE_EXC__MÊS38"/>
      <sheetName val="RESUMO_DESAFIO38"/>
      <sheetName val="2011_Curvas_Fin38"/>
      <sheetName val="Saldos_PA's38"/>
      <sheetName val="2012_Curvas_Fin_(R$)38"/>
      <sheetName val="Ramal_(temp)38"/>
      <sheetName val="Ramal_-_Pacotes38"/>
      <sheetName val="Linhas__Ramais38"/>
      <sheetName val="Owner_Costs38"/>
      <sheetName val="Desembolso_R$38"/>
      <sheetName val="Controle_Pagamentos38"/>
      <sheetName val="CONTRATOS_TFPM38"/>
      <sheetName val="2_-_BUILD_UP_-_Julho18"/>
      <sheetName val="MCS_JULHO18"/>
      <sheetName val="Rateio_Eco_-_Fin_-_Fis16"/>
      <sheetName val="EST__CAPEX_eco_fin16"/>
      <sheetName val="Cálculo_Reajuste16"/>
      <sheetName val="Estrutura_SAP16"/>
      <sheetName val="Principais_Contratos16"/>
      <sheetName val="PA_e_TAREFA16"/>
      <sheetName val="CP_-_Sintético16"/>
      <sheetName val="Gerrot_GAPPG18"/>
      <sheetName val="Acidentes_CPT_e_SPT_-_SUPV_18"/>
      <sheetName val="Ocorrências_Ferroviárias-SUPV18"/>
      <sheetName val="Custeio_Fixo_-_SUPV_18"/>
      <sheetName val="Pessoal_-_SUPV_18"/>
      <sheetName val="Conhecendo_a_composição_M117"/>
      <sheetName val="Insumos_e_Produtos17"/>
      <sheetName val="Itens_de_Controle_-_Nice17"/>
      <sheetName val="PA_-_Receita_Líquida_Guseiros17"/>
      <sheetName val="PA_-_Gusa_Norte_(2)17"/>
      <sheetName val="Just_Nat_57_B17"/>
      <sheetName val="Solicitação_Gestão16"/>
      <sheetName val="JUST_NAT_5216"/>
      <sheetName val="CUSTO_LARANJEIRAS16"/>
      <sheetName val="app_a,_10b16"/>
      <sheetName val="VP1_Corinto16"/>
      <sheetName val="Plan2_(2)18"/>
      <sheetName val="TC_IN17"/>
      <sheetName val="GAVNG_-EPI16"/>
      <sheetName val="invest_16"/>
      <sheetName val="_PIPEWORK_1__16"/>
      <sheetName val="Anomalia_Acao16"/>
      <sheetName val="Base_18"/>
      <sheetName val="MatrizDILN_(2)17"/>
      <sheetName val="Parâmetros_Caso_Base16"/>
      <sheetName val="BASE_DE_DADOS16"/>
      <sheetName val="MUTUAL_FUND_SALES_BY_QTR17"/>
      <sheetName val="ISS_VOL_MUTUAL_FUND_SALES17"/>
      <sheetName val="Graficos_acumulados_totalizad17"/>
      <sheetName val="Graficos_áreas17"/>
      <sheetName val="Indice_Precos_Mes16"/>
      <sheetName val="Seleção_Projetos18"/>
      <sheetName val="Misc__data16"/>
      <sheetName val="Ref_Numbers16"/>
      <sheetName val="Previsão_de_Vagões16"/>
      <sheetName val="1_Pgm16"/>
      <sheetName val="BANCO_DE_DADOS_ESTRUTURA16"/>
      <sheetName val="Price_List16"/>
      <sheetName val="Histograma_-_Detalhe17"/>
      <sheetName val="METRICAS_GVA16"/>
      <sheetName val="Descritivo_Fraturas_Centro16"/>
      <sheetName val="Apoio_Validação16"/>
      <sheetName val="Apoio_Etapa_6_-_Viagens16"/>
      <sheetName val="FCD_MFe18"/>
      <sheetName val="Edison_Correia16"/>
      <sheetName val="MH_Installations16"/>
      <sheetName val="ACOPL_ENG16"/>
      <sheetName val="Caract__Contratos_-_Dez-0016"/>
      <sheetName val="Just_Nat_5116"/>
      <sheetName val="Controle_Comp_16"/>
      <sheetName val="FEVEREIRO_-_DORM-LARGA16"/>
      <sheetName val="Progresso_Econômica_Projeto16"/>
      <sheetName val="CONTRATO_W16"/>
      <sheetName val="Tab__GConta_NOP17"/>
      <sheetName val="Tab__GConta_OP17"/>
      <sheetName val="Tab__GConta_OP_(2)17"/>
      <sheetName val="Números_da_Oficina17"/>
      <sheetName val="Lente_-_dipd18"/>
      <sheetName val="Lente_VALE18"/>
      <sheetName val="Premissas_Preenchimento_BAY17"/>
      <sheetName val="Avanço_Físico_IOI_BAY17"/>
      <sheetName val="Avanço_Econômico_IOI_BAY17"/>
      <sheetName val="Ad__Proj__Financ_IEF_BAY17"/>
      <sheetName val="Baseline_Físico_BAY17"/>
      <sheetName val="Baseline_Econômico_BAY17"/>
      <sheetName val="Milestones_BAY17"/>
      <sheetName val="Licencas_Bayovar17"/>
      <sheetName val="FAIXAS_-_META_VALE_BAYOVAR17"/>
      <sheetName val="Milestones_PRC17"/>
      <sheetName val="Premissas_Preenchimento_CLN17"/>
      <sheetName val="Avanço_Físico_IOI_CLN17"/>
      <sheetName val="Avanço_Econômico_IOI_CLN17"/>
      <sheetName val="Ad__Proj__Financ_IEF_CLN17"/>
      <sheetName val="Baseline_Físico_CLN17"/>
      <sheetName val="Baseline_Econômico_CLN17"/>
      <sheetName val="Milestones_CLN17"/>
      <sheetName val="FAIXAS_-_CALCULADORA_CLN_17"/>
      <sheetName val="DB_do_TST16"/>
      <sheetName val="DTOs_Tração16"/>
      <sheetName val="5_416"/>
      <sheetName val="Resultado_da_Simulação_D+117"/>
      <sheetName val="Viabilidade_Econômica17"/>
      <sheetName val="Operações_de_Swap16"/>
      <sheetName val="Banco_de_dados16"/>
      <sheetName val="Financials_USD$16"/>
      <sheetName val="Desembolso_Financeiro16"/>
      <sheetName val="Produção_16"/>
      <sheetName val="Diagrama_de_Causa_e_Efeito15"/>
      <sheetName val="Causa_e_Medida15"/>
      <sheetName val="Plano_de_Ação15"/>
      <sheetName val="Avanço_%15"/>
      <sheetName val="01_(2)15"/>
      <sheetName val="Projeção_Falhas2"/>
      <sheetName val="Projeção_Falhas_(2)2"/>
      <sheetName val="entrega_duplic__(2)2"/>
      <sheetName val="BASE_DE_ATIVOS_(2)2"/>
      <sheetName val="2015_C11_14_(2)2"/>
      <sheetName val="2016_C11_14_(2)2"/>
      <sheetName val="2017_C11_14_(2)2"/>
      <sheetName val="2018_C11_14_(2)2"/>
      <sheetName val="2019_C11_14_(2)2"/>
      <sheetName val="FROTA_LOCOS_2014_(2)2"/>
      <sheetName val="Bordo_Veíc__Aux_(2)2"/>
      <sheetName val="Conversão_para_Ativos_(2)2"/>
      <sheetName val="MAN__CORRETIVA2"/>
      <sheetName val="Demanda_Manutenção2"/>
      <sheetName val="2014_C11_14_(2)2"/>
      <sheetName val="2015_C11_142"/>
      <sheetName val="2016_C11_142"/>
      <sheetName val="2017_C11_142"/>
      <sheetName val="2018_C11_142"/>
      <sheetName val="2019_C11_142"/>
      <sheetName val="EQUIP_INSTALADO_EM_LOCOMOTIVA2"/>
      <sheetName val="BORDO_LOCOS_20122"/>
      <sheetName val="FROTA_LOCOS_20142"/>
      <sheetName val="BORDO_AS_e_MGP_20142"/>
      <sheetName val="V__Auxiliar2"/>
      <sheetName val="Bordo_Veíc__Aux2"/>
      <sheetName val="2014_C11_142"/>
      <sheetName val="2015_C11_132"/>
      <sheetName val="2016_C11_132"/>
      <sheetName val="2017_C11_132"/>
      <sheetName val="2018_C11_132"/>
      <sheetName val="2019_C11_132"/>
      <sheetName val="Controle_De_Inpeções46"/>
      <sheetName val="Controle_De_Inpeções_(2)46"/>
      <sheetName val="Controle_De_Inpeções_(3)46"/>
      <sheetName val="Imob_frota_GAVAG_46"/>
      <sheetName val="grafico-CARGA_GERAL46"/>
      <sheetName val="Restrições_de_Velocidade46"/>
      <sheetName val="Ultra_som_-_200746"/>
      <sheetName val="Trem_Hora_Parado46"/>
      <sheetName val="Ocorrências_Ferroviárias46"/>
      <sheetName val="Aprovisionamento_de_Materiais46"/>
      <sheetName val="Grafico_Geral_Orçamento46"/>
      <sheetName val="Check_List-_Gerrot46"/>
      <sheetName val="EAP_rev_0043"/>
      <sheetName val="CC_42443"/>
      <sheetName val="NÃO_CRÍTICOS43"/>
      <sheetName val="CONSOLIDADO_GAENY43"/>
      <sheetName val="ORÇADO_-_CONF__GIC43"/>
      <sheetName val="ALEXANDRE_-_NÃO_CRÍTICOS43"/>
      <sheetName val="LEONARDO__-_CRÍTICOS43"/>
      <sheetName val="LEONARDO__-_NÃO_CRÍTICOS43"/>
      <sheetName val="PAULO_-_CRÍTICOS43"/>
      <sheetName val="PAULO_-_NÃO_CRÍTICOS43"/>
      <sheetName val="Gestão_Econômica43"/>
      <sheetName val="INFO_43"/>
      <sheetName val="Evolução_Etapas_Cal_Mag42"/>
      <sheetName val="Evolução_Etapas_Cromo42"/>
      <sheetName val="Grupo_x_Justif42"/>
      <sheetName val="Disp_2005_FCA42"/>
      <sheetName val="Resumo_EFVM42"/>
      <sheetName val="thp_42"/>
      <sheetName val="Consolida_Investimento42"/>
      <sheetName val="consolidado_preventivas42"/>
      <sheetName val="Vg__Inventariados-dados42"/>
      <sheetName val="Painel_de_controle41"/>
      <sheetName val="MKBF_MI41"/>
      <sheetName val="MKBF_CG41"/>
      <sheetName val="Nº_de_Falhas_MI41"/>
      <sheetName val="Nº_de_Falhas_CG41"/>
      <sheetName val="Nº_de_Falhas_PA41"/>
      <sheetName val="Falhas_sup_Freio41"/>
      <sheetName val="Falhas_MI-sist_Freio41"/>
      <sheetName val="Falhas_CG-sist_Freio41"/>
      <sheetName val="Falhas_sup_Vagão41"/>
      <sheetName val="Falhas_MI-sist_Sup41"/>
      <sheetName val="Falhas_CG_-sist_Sup41"/>
      <sheetName val="Falhas_sup_CG41"/>
      <sheetName val="Falhas_sup_Rodeiro-MI_CG_PA41"/>
      <sheetName val="Falhas_CG-sist_Rodeiro41"/>
      <sheetName val="Falhas_MI-sist_Rodeiro41"/>
      <sheetName val="Falhas_PA-sist_Rodeiro41"/>
      <sheetName val="Falhas_sup_T&amp;T41"/>
      <sheetName val="Falhas_TT-MI41"/>
      <sheetName val="Falhas_TT-CG41"/>
      <sheetName val="Falhas_MI-sist_Truque41"/>
      <sheetName val="Falhas_CG-sist_Truque41"/>
      <sheetName val="Falhas_MI-sist_Tração41"/>
      <sheetName val="Falhas_CG-sist_Tração41"/>
      <sheetName val="POR_DIRETORIA41"/>
      <sheetName val="p_ação_3G_UT41"/>
      <sheetName val="p_ação_3G_UT_(2)41"/>
      <sheetName val="ROS_VV41"/>
      <sheetName val="HISTORICO_DEF_X_REB41"/>
      <sheetName val="PAINEL_DE_FALHAS41"/>
      <sheetName val="Cronograma_de_Reuniões_LICL41"/>
      <sheetName val="Cronograma_de_Reuniões_LEFEL41"/>
      <sheetName val="Pauta_C_Geral_Ferrovia41"/>
      <sheetName val="Agenda_Logistica_201241"/>
      <sheetName val="AR_Signature_Page41"/>
      <sheetName val="_INDICADORES_FINANCEIROS41"/>
      <sheetName val="RECEITA_BRUTA41"/>
      <sheetName val="_COMPOSIÇÃO_DO_CPV_41"/>
      <sheetName val="_INDICADORES_DE_ENDIVIDAMENTO41"/>
      <sheetName val="MINERAIS_FERROSOS41"/>
      <sheetName val="BULK_MATERIALS41"/>
      <sheetName val="MINERAIS_NÃO_FERROSOS41"/>
      <sheetName val="DEMONSTRAÇÃO_DE_RESULTADO41"/>
      <sheetName val="_DESPESAS_FINANCEIRAS41"/>
      <sheetName val="_RESULTADO_DE_P__SOCIETÁRIAS41"/>
      <sheetName val="_BALANÇO_PATRIMONIAL41"/>
      <sheetName val="_FLUXO_DE_CAIXA41"/>
      <sheetName val="_VOLUME_outros41"/>
      <sheetName val="PRECOS_MEDIOS41"/>
      <sheetName val="Margens_Operacionais41"/>
      <sheetName val="Cashflow_(na)41"/>
      <sheetName val="Análise_Certificação_41"/>
      <sheetName val="bdados_200541"/>
      <sheetName val="Check_List41"/>
      <sheetName val="Itens_de_controle41"/>
      <sheetName val="Check_Farol41"/>
      <sheetName val="Pessoal_CVRD41"/>
      <sheetName val="Composição_2011_Máx__Rev_241"/>
      <sheetName val="Demanda_de_inspeção41"/>
      <sheetName val="Composição_2011_Máx__Rev_341"/>
      <sheetName val="JAN_P2241"/>
      <sheetName val="JAN_P2141"/>
      <sheetName val="MELHORIAS_E_OPÇÕES41"/>
      <sheetName val="CVRDMenu_xls41"/>
      <sheetName val="Usiminas_41"/>
      <sheetName val="Desenvolvimento_Ferroviário41"/>
      <sheetName val="Eng__Via_Permanente41"/>
      <sheetName val="Eng__Material_Rodante41"/>
      <sheetName val="Eng__Eletro_e_Operações41"/>
      <sheetName val="Resumo_Desenvolvimento41"/>
      <sheetName val="Resumo_VP41"/>
      <sheetName val="Resumo_Mat_Rodante41"/>
      <sheetName val="Resumo_Eletro41"/>
      <sheetName val="CA_540941"/>
      <sheetName val="Simulador_OEE_sem_911_Nov_Dez41"/>
      <sheetName val="Plano_de_Ação_OMR_(2)39"/>
      <sheetName val="Plano_de_Ação_OMTT_(2)39"/>
      <sheetName val="O_indicador39"/>
      <sheetName val="Matriz_de_priorização_GUT39"/>
      <sheetName val="1_-_Resultados39"/>
      <sheetName val="MCS_FEV39"/>
      <sheetName val="MCS_AGO39"/>
      <sheetName val="BUILD_UP_-_Jan39"/>
      <sheetName val="PA_Est__Minimo39"/>
      <sheetName val="Identificação_do_Problema39"/>
      <sheetName val="Observação_do_Problema39"/>
      <sheetName val="Diagrama_de_Causa_e_Efeito_Ro39"/>
      <sheetName val="Técnica_dos_Por_Ques_Rode39"/>
      <sheetName val="Diagrama_de_Causa_e_Efeito_Tr68"/>
      <sheetName val="Diagrama_de_Causa_e_Efeito_Tr69"/>
      <sheetName val="Teste_porquês_truq_39"/>
      <sheetName val="Teste_porquês_Rod39"/>
      <sheetName val="Teste_porquês_Traç39"/>
      <sheetName val="Observação_do_Problema_(2)39"/>
      <sheetName val="Diagrama_de_Causa_e_Efeito__(48"/>
      <sheetName val="BUILD_UP_COMP_39"/>
      <sheetName val="2_-_BUILD_UP_-_Maio39"/>
      <sheetName val="MCS_MAR39"/>
      <sheetName val="MCS_ABRIL39"/>
      <sheetName val="MCS_ACUMULADO39"/>
      <sheetName val="MCS_MAIO39"/>
      <sheetName val="Plano_de_Ação_OMR39"/>
      <sheetName val="BD_Grafico39"/>
      <sheetName val="Produção_de_Março_-_OMR39"/>
      <sheetName val="Fila_de_Rodeiros39"/>
      <sheetName val="Usinados_Montagem39"/>
      <sheetName val="Perfil_de_Entrada_de_rodeiros39"/>
      <sheetName val="Análise_Extra39"/>
      <sheetName val="Plano_de_Ação_OMTT39"/>
      <sheetName val="3_-_PARETOS39"/>
      <sheetName val="MCS_JUNHO39"/>
      <sheetName val="2_-_BUILD_UP_-_Abr_(2)39"/>
      <sheetName val="Planos_de_ação19"/>
      <sheetName val="Build-up_US$_(2010)39"/>
      <sheetName val="Curva_39"/>
      <sheetName val="Painel_Engenharia_R$39"/>
      <sheetName val="Resumo_do_Painel39"/>
      <sheetName val="Resumo_IOI39"/>
      <sheetName val="Quadro_IOI_201439"/>
      <sheetName val="Curva_Baseline_201439"/>
      <sheetName val="Capex_Eco39"/>
      <sheetName val="Capex_Fin39"/>
      <sheetName val="Curva_Eco_Investimento39"/>
      <sheetName val="Curva_Fin_Investimento39"/>
      <sheetName val="Curva_Despesa39"/>
      <sheetName val="Ferrovia_Análise_Tendência39"/>
      <sheetName val="Dinâm_IOI_fabio39"/>
      <sheetName val="CONTRATOS_EEFC39"/>
      <sheetName val="ANALISE_EXC__MÊS39"/>
      <sheetName val="RESUMO_DESAFIO39"/>
      <sheetName val="2011_Curvas_Fin39"/>
      <sheetName val="Saldos_PA's39"/>
      <sheetName val="2012_Curvas_Fin_(R$)39"/>
      <sheetName val="Ramal_(temp)39"/>
      <sheetName val="Ramal_-_Pacotes39"/>
      <sheetName val="Linhas__Ramais39"/>
      <sheetName val="Owner_Costs39"/>
      <sheetName val="Desembolso_R$39"/>
      <sheetName val="Controle_Pagamentos39"/>
      <sheetName val="CONTRATOS_TFPM39"/>
      <sheetName val="Rateio_Eco_-_Fin_-_Fis17"/>
      <sheetName val="EST__CAPEX_eco_fin17"/>
      <sheetName val="Cálculo_Reajuste17"/>
      <sheetName val="Estrutura_SAP17"/>
      <sheetName val="Principais_Contratos17"/>
      <sheetName val="PA_e_TAREFA17"/>
      <sheetName val="2_-_BUILD_UP_-_Julho19"/>
      <sheetName val="MCS_JULHO19"/>
      <sheetName val="CP_-_Sintético17"/>
      <sheetName val="Gerrot_GAPPG19"/>
      <sheetName val="Acidentes_CPT_e_SPT_-_SUPV_19"/>
      <sheetName val="Ocorrências_Ferroviárias-SUPV19"/>
      <sheetName val="Custeio_Fixo_-_SUPV_19"/>
      <sheetName val="Pessoal_-_SUPV_19"/>
      <sheetName val="Conhecendo_a_composição_M118"/>
      <sheetName val="Insumos_e_Produtos18"/>
      <sheetName val="Itens_de_Controle_-_Nice18"/>
      <sheetName val="PA_-_Receita_Líquida_Guseiros18"/>
      <sheetName val="PA_-_Gusa_Norte_(2)18"/>
      <sheetName val="Just_Nat_57_B18"/>
      <sheetName val="Solicitação_Gestão17"/>
      <sheetName val="JUST_NAT_5217"/>
      <sheetName val="CUSTO_LARANJEIRAS17"/>
      <sheetName val="app_a,_10b17"/>
      <sheetName val="VP1_Corinto17"/>
      <sheetName val="Plan2_(2)19"/>
      <sheetName val="TC_IN18"/>
      <sheetName val="GAVNG_-EPI17"/>
      <sheetName val="invest_17"/>
      <sheetName val="_PIPEWORK_1__17"/>
      <sheetName val="Anomalia_Acao17"/>
      <sheetName val="Base_19"/>
      <sheetName val="MatrizDILN_(2)18"/>
      <sheetName val="Parâmetros_Caso_Base17"/>
      <sheetName val="BASE_DE_DADOS17"/>
      <sheetName val="MUTUAL_FUND_SALES_BY_QTR18"/>
      <sheetName val="ISS_VOL_MUTUAL_FUND_SALES18"/>
      <sheetName val="Graficos_acumulados_totalizad18"/>
      <sheetName val="Graficos_áreas18"/>
      <sheetName val="Indice_Precos_Mes17"/>
      <sheetName val="Seleção_Projetos19"/>
      <sheetName val="Misc__data17"/>
      <sheetName val="Ref_Numbers17"/>
      <sheetName val="Previsão_de_Vagões17"/>
      <sheetName val="1_Pgm17"/>
      <sheetName val="BANCO_DE_DADOS_ESTRUTURA17"/>
      <sheetName val="Price_List17"/>
      <sheetName val="Histograma_-_Detalhe18"/>
      <sheetName val="METRICAS_GVA17"/>
      <sheetName val="Descritivo_Fraturas_Centro17"/>
      <sheetName val="Apoio_Validação17"/>
      <sheetName val="Apoio_Etapa_6_-_Viagens17"/>
      <sheetName val="FCD_MFe19"/>
      <sheetName val="Edison_Correia17"/>
      <sheetName val="MH_Installations17"/>
      <sheetName val="ACOPL_ENG17"/>
      <sheetName val="Caract__Contratos_-_Dez-0017"/>
      <sheetName val="Just_Nat_5117"/>
      <sheetName val="Controle_Comp_17"/>
      <sheetName val="FEVEREIRO_-_DORM-LARGA17"/>
      <sheetName val="Progresso_Econômica_Projeto17"/>
      <sheetName val="CONTRATO_W17"/>
      <sheetName val="Tab__GConta_NOP18"/>
      <sheetName val="Tab__GConta_OP18"/>
      <sheetName val="Tab__GConta_OP_(2)18"/>
      <sheetName val="Números_da_Oficina18"/>
      <sheetName val="Lente_-_dipd19"/>
      <sheetName val="Lente_VALE19"/>
      <sheetName val="Premissas_Preenchimento_BAY18"/>
      <sheetName val="Avanço_Físico_IOI_BAY18"/>
      <sheetName val="Avanço_Econômico_IOI_BAY18"/>
      <sheetName val="Ad__Proj__Financ_IEF_BAY18"/>
      <sheetName val="Baseline_Físico_BAY18"/>
      <sheetName val="Baseline_Econômico_BAY18"/>
      <sheetName val="Milestones_BAY18"/>
      <sheetName val="Licencas_Bayovar18"/>
      <sheetName val="FAIXAS_-_META_VALE_BAYOVAR18"/>
      <sheetName val="Milestones_PRC18"/>
      <sheetName val="Premissas_Preenchimento_CLN18"/>
      <sheetName val="Avanço_Físico_IOI_CLN18"/>
      <sheetName val="Avanço_Econômico_IOI_CLN18"/>
      <sheetName val="Ad__Proj__Financ_IEF_CLN18"/>
      <sheetName val="Baseline_Físico_CLN18"/>
      <sheetName val="Baseline_Econômico_CLN18"/>
      <sheetName val="Milestones_CLN18"/>
      <sheetName val="FAIXAS_-_CALCULADORA_CLN_18"/>
      <sheetName val="DB_do_TST17"/>
      <sheetName val="DTOs_Tração17"/>
      <sheetName val="5_417"/>
      <sheetName val="Resultado_da_Simulação_D+118"/>
      <sheetName val="Viabilidade_Econômica18"/>
      <sheetName val="Operações_de_Swap17"/>
      <sheetName val="Banco_de_dados17"/>
      <sheetName val="Financials_USD$17"/>
      <sheetName val="Desembolso_Financeiro17"/>
      <sheetName val="Produção_17"/>
      <sheetName val="Diagrama_de_Causa_e_Efeito16"/>
      <sheetName val="Causa_e_Medida16"/>
      <sheetName val="Plano_de_Ação16"/>
      <sheetName val="Avanço_%16"/>
      <sheetName val="01_(2)16"/>
      <sheetName val="Projeção_Falhas3"/>
      <sheetName val="Projeção_Falhas_(2)3"/>
      <sheetName val="entrega_duplic__(2)3"/>
      <sheetName val="BASE_DE_ATIVOS_(2)3"/>
      <sheetName val="2015_C11_14_(2)3"/>
      <sheetName val="2016_C11_14_(2)3"/>
      <sheetName val="2017_C11_14_(2)3"/>
      <sheetName val="2018_C11_14_(2)3"/>
      <sheetName val="2019_C11_14_(2)3"/>
      <sheetName val="FROTA_LOCOS_2014_(2)3"/>
      <sheetName val="Bordo_Veíc__Aux_(2)3"/>
      <sheetName val="Conversão_para_Ativos_(2)3"/>
      <sheetName val="MAN__CORRETIVA3"/>
      <sheetName val="Demanda_Manutenção3"/>
      <sheetName val="2014_C11_14_(2)3"/>
      <sheetName val="2015_C11_143"/>
      <sheetName val="2016_C11_143"/>
      <sheetName val="2017_C11_143"/>
      <sheetName val="2018_C11_143"/>
      <sheetName val="2019_C11_143"/>
      <sheetName val="EQUIP_INSTALADO_EM_LOCOMOTIVA3"/>
      <sheetName val="BORDO_LOCOS_20123"/>
      <sheetName val="FROTA_LOCOS_20143"/>
      <sheetName val="BORDO_AS_e_MGP_20143"/>
      <sheetName val="V__Auxiliar3"/>
      <sheetName val="Bordo_Veíc__Aux3"/>
      <sheetName val="2014_C11_143"/>
      <sheetName val="2015_C11_133"/>
      <sheetName val="2016_C11_133"/>
      <sheetName val="2017_C11_133"/>
      <sheetName val="2018_C11_133"/>
      <sheetName val="2019_C11_133"/>
      <sheetName val="Controle_De_Inpeções47"/>
      <sheetName val="Controle_De_Inpeções_(2)47"/>
      <sheetName val="Controle_De_Inpeções_(3)47"/>
      <sheetName val="Imob_frota_GAVAG_47"/>
      <sheetName val="grafico-CARGA_GERAL47"/>
      <sheetName val="Restrições_de_Velocidade47"/>
      <sheetName val="Ultra_som_-_200747"/>
      <sheetName val="Trem_Hora_Parado47"/>
      <sheetName val="Ocorrências_Ferroviárias47"/>
      <sheetName val="Aprovisionamento_de_Materiais47"/>
      <sheetName val="Grafico_Geral_Orçamento47"/>
      <sheetName val="Check_List-_Gerrot47"/>
      <sheetName val="EAP_rev_0044"/>
      <sheetName val="CC_42444"/>
      <sheetName val="NÃO_CRÍTICOS44"/>
      <sheetName val="CONSOLIDADO_GAENY44"/>
      <sheetName val="ORÇADO_-_CONF__GIC44"/>
      <sheetName val="ALEXANDRE_-_NÃO_CRÍTICOS44"/>
      <sheetName val="LEONARDO__-_CRÍTICOS44"/>
      <sheetName val="LEONARDO__-_NÃO_CRÍTICOS44"/>
      <sheetName val="PAULO_-_CRÍTICOS44"/>
      <sheetName val="PAULO_-_NÃO_CRÍTICOS44"/>
      <sheetName val="Gestão_Econômica44"/>
      <sheetName val="INFO_44"/>
      <sheetName val="Evolução_Etapas_Cal_Mag43"/>
      <sheetName val="Evolução_Etapas_Cromo43"/>
      <sheetName val="Grupo_x_Justif43"/>
      <sheetName val="Disp_2005_FCA43"/>
      <sheetName val="Resumo_EFVM43"/>
      <sheetName val="thp_43"/>
      <sheetName val="Consolida_Investimento43"/>
      <sheetName val="consolidado_preventivas43"/>
      <sheetName val="Vg__Inventariados-dados43"/>
      <sheetName val="Painel_de_controle42"/>
      <sheetName val="MKBF_MI42"/>
      <sheetName val="MKBF_CG42"/>
      <sheetName val="Nº_de_Falhas_MI42"/>
      <sheetName val="Nº_de_Falhas_CG42"/>
      <sheetName val="Nº_de_Falhas_PA42"/>
      <sheetName val="Falhas_sup_Freio42"/>
      <sheetName val="Falhas_MI-sist_Freio42"/>
      <sheetName val="Falhas_CG-sist_Freio42"/>
      <sheetName val="Falhas_sup_Vagão42"/>
      <sheetName val="Falhas_MI-sist_Sup42"/>
      <sheetName val="Falhas_CG_-sist_Sup42"/>
      <sheetName val="Falhas_sup_CG42"/>
      <sheetName val="Falhas_sup_Rodeiro-MI_CG_PA42"/>
      <sheetName val="Falhas_CG-sist_Rodeiro42"/>
      <sheetName val="Falhas_MI-sist_Rodeiro42"/>
      <sheetName val="Falhas_PA-sist_Rodeiro42"/>
      <sheetName val="Falhas_sup_T&amp;T42"/>
      <sheetName val="Falhas_TT-MI42"/>
      <sheetName val="Falhas_TT-CG42"/>
      <sheetName val="Falhas_MI-sist_Truque42"/>
      <sheetName val="Falhas_CG-sist_Truque42"/>
      <sheetName val="Falhas_MI-sist_Tração42"/>
      <sheetName val="Falhas_CG-sist_Tração42"/>
      <sheetName val="POR_DIRETORIA42"/>
      <sheetName val="p_ação_3G_UT42"/>
      <sheetName val="p_ação_3G_UT_(2)42"/>
      <sheetName val="ROS_VV42"/>
      <sheetName val="HISTORICO_DEF_X_REB42"/>
      <sheetName val="PAINEL_DE_FALHAS42"/>
      <sheetName val="Cronograma_de_Reuniões_LICL42"/>
      <sheetName val="Cronograma_de_Reuniões_LEFEL42"/>
      <sheetName val="Pauta_C_Geral_Ferrovia42"/>
      <sheetName val="Agenda_Logistica_201242"/>
      <sheetName val="AR_Signature_Page42"/>
      <sheetName val="_INDICADORES_FINANCEIROS42"/>
      <sheetName val="RECEITA_BRUTA42"/>
      <sheetName val="_COMPOSIÇÃO_DO_CPV_42"/>
      <sheetName val="_INDICADORES_DE_ENDIVIDAMENTO42"/>
      <sheetName val="MINERAIS_FERROSOS42"/>
      <sheetName val="BULK_MATERIALS42"/>
      <sheetName val="MINERAIS_NÃO_FERROSOS42"/>
      <sheetName val="DEMONSTRAÇÃO_DE_RESULTADO42"/>
      <sheetName val="_DESPESAS_FINANCEIRAS42"/>
      <sheetName val="_RESULTADO_DE_P__SOCIETÁRIAS42"/>
      <sheetName val="_BALANÇO_PATRIMONIAL42"/>
      <sheetName val="_FLUXO_DE_CAIXA42"/>
      <sheetName val="_VOLUME_outros42"/>
      <sheetName val="PRECOS_MEDIOS42"/>
      <sheetName val="Margens_Operacionais42"/>
      <sheetName val="Cashflow_(na)42"/>
      <sheetName val="Análise_Certificação_42"/>
      <sheetName val="bdados_200542"/>
      <sheetName val="Check_List42"/>
      <sheetName val="Itens_de_controle42"/>
      <sheetName val="Check_Farol42"/>
      <sheetName val="Pessoal_CVRD42"/>
      <sheetName val="Composição_2011_Máx__Rev_242"/>
      <sheetName val="Demanda_de_inspeção42"/>
      <sheetName val="Composição_2011_Máx__Rev_342"/>
      <sheetName val="JAN_P2242"/>
      <sheetName val="JAN_P2142"/>
      <sheetName val="MELHORIAS_E_OPÇÕES42"/>
      <sheetName val="CVRDMenu_xls42"/>
      <sheetName val="Usiminas_42"/>
      <sheetName val="Desenvolvimento_Ferroviário42"/>
      <sheetName val="Eng__Via_Permanente42"/>
      <sheetName val="Eng__Material_Rodante42"/>
      <sheetName val="Eng__Eletro_e_Operações42"/>
      <sheetName val="Resumo_Desenvolvimento42"/>
      <sheetName val="Resumo_VP42"/>
      <sheetName val="Resumo_Mat_Rodante42"/>
      <sheetName val="Resumo_Eletro42"/>
      <sheetName val="CA_540942"/>
      <sheetName val="Simulador_OEE_sem_911_Nov_Dez42"/>
      <sheetName val="Plano_de_Ação_OMR_(2)40"/>
      <sheetName val="Plano_de_Ação_OMTT_(2)40"/>
      <sheetName val="O_indicador40"/>
      <sheetName val="Matriz_de_priorização_GUT40"/>
      <sheetName val="1_-_Resultados40"/>
      <sheetName val="MCS_FEV40"/>
      <sheetName val="MCS_AGO40"/>
      <sheetName val="BUILD_UP_-_Jan40"/>
      <sheetName val="PA_Est__Minimo40"/>
      <sheetName val="Identificação_do_Problema40"/>
      <sheetName val="Observação_do_Problema40"/>
      <sheetName val="Diagrama_de_Causa_e_Efeito_Ro40"/>
      <sheetName val="Técnica_dos_Por_Ques_Rode40"/>
      <sheetName val="Diagrama_de_Causa_e_Efeito_Tr70"/>
      <sheetName val="Diagrama_de_Causa_e_Efeito_Tr71"/>
      <sheetName val="Teste_porquês_truq_40"/>
      <sheetName val="Teste_porquês_Rod40"/>
      <sheetName val="Teste_porquês_Traç40"/>
      <sheetName val="Observação_do_Problema_(2)40"/>
      <sheetName val="Diagrama_de_Causa_e_Efeito__(49"/>
      <sheetName val="BUILD_UP_COMP_40"/>
      <sheetName val="2_-_BUILD_UP_-_Maio40"/>
      <sheetName val="MCS_MAR40"/>
      <sheetName val="MCS_ABRIL40"/>
      <sheetName val="MCS_ACUMULADO40"/>
      <sheetName val="MCS_MAIO40"/>
      <sheetName val="Plano_de_Ação_OMR40"/>
      <sheetName val="BD_Grafico40"/>
      <sheetName val="Produção_de_Março_-_OMR40"/>
      <sheetName val="Fila_de_Rodeiros40"/>
      <sheetName val="Usinados_Montagem40"/>
      <sheetName val="Perfil_de_Entrada_de_rodeiros40"/>
      <sheetName val="Análise_Extra40"/>
      <sheetName val="Plano_de_Ação_OMTT40"/>
      <sheetName val="3_-_PARETOS40"/>
      <sheetName val="MCS_JUNHO40"/>
      <sheetName val="2_-_BUILD_UP_-_Abr_(2)40"/>
      <sheetName val="Planos_de_ação20"/>
      <sheetName val="Build-up_US$_(2010)40"/>
      <sheetName val="Curva_40"/>
      <sheetName val="Painel_Engenharia_R$40"/>
      <sheetName val="Resumo_do_Painel40"/>
      <sheetName val="Resumo_IOI40"/>
      <sheetName val="Quadro_IOI_201440"/>
      <sheetName val="Curva_Baseline_201440"/>
      <sheetName val="Capex_Eco40"/>
      <sheetName val="Capex_Fin40"/>
      <sheetName val="Curva_Eco_Investimento40"/>
      <sheetName val="Curva_Fin_Investimento40"/>
      <sheetName val="Curva_Despesa40"/>
      <sheetName val="Ferrovia_Análise_Tendência40"/>
      <sheetName val="Dinâm_IOI_fabio40"/>
      <sheetName val="CONTRATOS_EEFC40"/>
      <sheetName val="ANALISE_EXC__MÊS40"/>
      <sheetName val="RESUMO_DESAFIO40"/>
      <sheetName val="2011_Curvas_Fin40"/>
      <sheetName val="Saldos_PA's40"/>
      <sheetName val="2012_Curvas_Fin_(R$)40"/>
      <sheetName val="Ramal_(temp)40"/>
      <sheetName val="Ramal_-_Pacotes40"/>
      <sheetName val="Linhas__Ramais40"/>
      <sheetName val="Owner_Costs40"/>
      <sheetName val="Desembolso_R$40"/>
      <sheetName val="Controle_Pagamentos40"/>
      <sheetName val="CONTRATOS_TFPM40"/>
      <sheetName val="Rateio_Eco_-_Fin_-_Fis18"/>
      <sheetName val="EST__CAPEX_eco_fin18"/>
      <sheetName val="Cálculo_Reajuste18"/>
      <sheetName val="Estrutura_SAP18"/>
      <sheetName val="Principais_Contratos18"/>
      <sheetName val="PA_e_TAREFA18"/>
      <sheetName val="2_-_BUILD_UP_-_Julho20"/>
      <sheetName val="MCS_JULHO20"/>
      <sheetName val="CP_-_Sintético18"/>
      <sheetName val="Gerrot_GAPPG20"/>
      <sheetName val="Acidentes_CPT_e_SPT_-_SUPV_20"/>
      <sheetName val="Ocorrências_Ferroviárias-SUPV20"/>
      <sheetName val="Custeio_Fixo_-_SUPV_20"/>
      <sheetName val="Pessoal_-_SUPV_20"/>
      <sheetName val="Conhecendo_a_composição_M119"/>
      <sheetName val="Insumos_e_Produtos19"/>
      <sheetName val="Itens_de_Controle_-_Nice19"/>
      <sheetName val="PA_-_Receita_Líquida_Guseiros19"/>
      <sheetName val="PA_-_Gusa_Norte_(2)19"/>
      <sheetName val="Just_Nat_57_B19"/>
      <sheetName val="Solicitação_Gestão18"/>
      <sheetName val="JUST_NAT_5218"/>
      <sheetName val="CUSTO_LARANJEIRAS18"/>
      <sheetName val="app_a,_10b18"/>
      <sheetName val="VP1_Corinto18"/>
      <sheetName val="Plan2_(2)20"/>
      <sheetName val="TC_IN19"/>
      <sheetName val="GAVNG_-EPI18"/>
      <sheetName val="invest_18"/>
      <sheetName val="_PIPEWORK_1__18"/>
      <sheetName val="Anomalia_Acao18"/>
      <sheetName val="Base_20"/>
      <sheetName val="MatrizDILN_(2)19"/>
      <sheetName val="Parâmetros_Caso_Base18"/>
      <sheetName val="BASE_DE_DADOS18"/>
      <sheetName val="MUTUAL_FUND_SALES_BY_QTR19"/>
      <sheetName val="ISS_VOL_MUTUAL_FUND_SALES19"/>
      <sheetName val="Graficos_acumulados_totalizad19"/>
      <sheetName val="Graficos_áreas19"/>
      <sheetName val="Indice_Precos_Mes18"/>
      <sheetName val="Seleção_Projetos20"/>
      <sheetName val="Misc__data18"/>
      <sheetName val="Ref_Numbers18"/>
      <sheetName val="Previsão_de_Vagões18"/>
      <sheetName val="1_Pgm18"/>
      <sheetName val="BANCO_DE_DADOS_ESTRUTURA18"/>
      <sheetName val="Price_List18"/>
      <sheetName val="Histograma_-_Detalhe19"/>
      <sheetName val="METRICAS_GVA18"/>
      <sheetName val="Descritivo_Fraturas_Centro18"/>
      <sheetName val="Apoio_Validação18"/>
      <sheetName val="Apoio_Etapa_6_-_Viagens18"/>
      <sheetName val="FCD_MFe20"/>
      <sheetName val="Edison_Correia18"/>
      <sheetName val="MH_Installations18"/>
      <sheetName val="ACOPL_ENG18"/>
      <sheetName val="Caract__Contratos_-_Dez-0018"/>
      <sheetName val="Just_Nat_5118"/>
      <sheetName val="Controle_Comp_18"/>
      <sheetName val="FEVEREIRO_-_DORM-LARGA18"/>
      <sheetName val="Progresso_Econômica_Projeto18"/>
      <sheetName val="CONTRATO_W18"/>
      <sheetName val="Tab__GConta_NOP19"/>
      <sheetName val="Tab__GConta_OP19"/>
      <sheetName val="Tab__GConta_OP_(2)19"/>
      <sheetName val="Números_da_Oficina19"/>
      <sheetName val="Lente_-_dipd20"/>
      <sheetName val="Lente_VALE20"/>
      <sheetName val="Premissas_Preenchimento_BAY19"/>
      <sheetName val="Avanço_Físico_IOI_BAY19"/>
      <sheetName val="Avanço_Econômico_IOI_BAY19"/>
      <sheetName val="Ad__Proj__Financ_IEF_BAY19"/>
      <sheetName val="Baseline_Físico_BAY19"/>
      <sheetName val="Baseline_Econômico_BAY19"/>
      <sheetName val="Milestones_BAY19"/>
      <sheetName val="Licencas_Bayovar19"/>
      <sheetName val="FAIXAS_-_META_VALE_BAYOVAR19"/>
      <sheetName val="Milestones_PRC19"/>
      <sheetName val="Premissas_Preenchimento_CLN19"/>
      <sheetName val="Avanço_Físico_IOI_CLN19"/>
      <sheetName val="Avanço_Econômico_IOI_CLN19"/>
      <sheetName val="Ad__Proj__Financ_IEF_CLN19"/>
      <sheetName val="Baseline_Físico_CLN19"/>
      <sheetName val="Baseline_Econômico_CLN19"/>
      <sheetName val="Milestones_CLN19"/>
      <sheetName val="FAIXAS_-_CALCULADORA_CLN_19"/>
      <sheetName val="DB_do_TST18"/>
      <sheetName val="DTOs_Tração18"/>
      <sheetName val="5_418"/>
      <sheetName val="Resultado_da_Simulação_D+119"/>
      <sheetName val="Viabilidade_Econômica19"/>
      <sheetName val="Operações_de_Swap18"/>
      <sheetName val="Banco_de_dados18"/>
      <sheetName val="Financials_USD$18"/>
      <sheetName val="Desembolso_Financeiro18"/>
      <sheetName val="Produção_18"/>
      <sheetName val="Diagrama_de_Causa_e_Efeito17"/>
      <sheetName val="Causa_e_Medida17"/>
      <sheetName val="Plano_de_Ação17"/>
      <sheetName val="Avanço_%17"/>
      <sheetName val="01_(2)17"/>
      <sheetName val="Projeção_Falhas4"/>
      <sheetName val="Projeção_Falhas_(2)4"/>
      <sheetName val="entrega_duplic__(2)4"/>
      <sheetName val="BASE_DE_ATIVOS_(2)4"/>
      <sheetName val="2015_C11_14_(2)4"/>
      <sheetName val="2016_C11_14_(2)4"/>
      <sheetName val="2017_C11_14_(2)4"/>
      <sheetName val="2018_C11_14_(2)4"/>
      <sheetName val="2019_C11_14_(2)4"/>
      <sheetName val="FROTA_LOCOS_2014_(2)4"/>
      <sheetName val="Bordo_Veíc__Aux_(2)4"/>
      <sheetName val="Conversão_para_Ativos_(2)4"/>
      <sheetName val="MAN__CORRETIVA4"/>
      <sheetName val="Demanda_Manutenção4"/>
      <sheetName val="2014_C11_14_(2)4"/>
      <sheetName val="2015_C11_144"/>
      <sheetName val="2016_C11_144"/>
      <sheetName val="2017_C11_144"/>
      <sheetName val="2018_C11_144"/>
      <sheetName val="2019_C11_144"/>
      <sheetName val="EQUIP_INSTALADO_EM_LOCOMOTIVA4"/>
      <sheetName val="BORDO_LOCOS_20124"/>
      <sheetName val="FROTA_LOCOS_20144"/>
      <sheetName val="BORDO_AS_e_MGP_20144"/>
      <sheetName val="V__Auxiliar4"/>
      <sheetName val="Bordo_Veíc__Aux4"/>
      <sheetName val="2014_C11_144"/>
      <sheetName val="2015_C11_134"/>
      <sheetName val="2016_C11_134"/>
      <sheetName val="2017_C11_134"/>
      <sheetName val="2018_C11_134"/>
      <sheetName val="2019_C11_134"/>
      <sheetName val="Análise"/>
      <sheetName val="ALL TIME DATA"/>
      <sheetName val="D-1"/>
      <sheetName val="HISTORICO"/>
      <sheetName val="TABLES"/>
      <sheetName val="Crítico"/>
      <sheetName val="Compatibility Report"/>
      <sheetName val="Caderno."/>
      <sheetName val="Caderno"/>
      <sheetName val="Código das Equipes"/>
      <sheetName val="INPUT EQUIPES"/>
      <sheetName val="ACOMPANHAMENTO"/>
      <sheetName val="COD EQUIPE"/>
      <sheetName val="Caderno de atividades"/>
      <sheetName val="PLACAS"/>
      <sheetName val="Códigos das Equipes"/>
      <sheetName val="Relatório estatístico"/>
      <sheetName val="Extras"/>
      <sheetName val="Informações"/>
      <sheetName val="AUXILIAR 2"/>
      <sheetName val="nomes"/>
      <sheetName val="Caderno de Serviços"/>
      <sheetName val="FCS"/>
      <sheetName val="\\SUEVTMA1\USUARIO\Meus documen"/>
      <sheetName val="Ser. F Prazo"/>
      <sheetName val="Indicadores | Manutenção"/>
      <sheetName val="Indicadores | Expansão"/>
      <sheetName val="REGRAS"/>
      <sheetName val="Caderno_"/>
      <sheetName val="Código_das_Equipes"/>
      <sheetName val="INPUT_EQUIPES"/>
      <sheetName val="COD_EQUIPE"/>
      <sheetName val="Caderno_de_atividades"/>
      <sheetName val="Códigos_das_Equipes"/>
      <sheetName val="Relatório_estatístico"/>
      <sheetName val="AUXILIAR_2"/>
      <sheetName val="Caderno_de_Serviços"/>
      <sheetName val=" PIB Brasil ( R$ de 1996 )"/>
      <sheetName val="QRT Oficial ANEEL"/>
      <sheetName val="Grafico GERAL"/>
      <sheetName val="Equipes"/>
      <sheetName val="Preenchimento Auxiliar"/>
      <sheetName val="GRÁFICOS iNGLÊS"/>
      <sheetName val="GRÁF MAX"/>
      <sheetName val="MAURO"/>
      <sheetName val="ROBERTO"/>
      <sheetName val="FAROL"/>
      <sheetName val="LVCC"/>
      <sheetName val="EDIÇÃO"/>
      <sheetName val="OPT"/>
      <sheetName val="ISC"/>
      <sheetName val="VC"/>
      <sheetName val="RI"/>
      <sheetName val="PLANO AÇÃO"/>
      <sheetName val="GESTÃO A VISTA"/>
      <sheetName val="TREINAM."/>
      <sheetName val="CCQ"/>
      <sheetName val="RAF"/>
      <sheetName val="BYRD"/>
      <sheetName val="MANSERV"/>
      <sheetName val="TONIOLO"/>
      <sheetName val="CCD's e HPH"/>
      <sheetName val="PLANO AÇÃO 2020"/>
      <sheetName val="Controle_De_Inpeções48"/>
      <sheetName val="Controle_De_Inpeções_(2)48"/>
      <sheetName val="Controle_De_Inpeções_(3)48"/>
      <sheetName val="Imob_frota_GAVAG_48"/>
      <sheetName val="grafico-CARGA_GERAL48"/>
      <sheetName val="Restrições_de_Velocidade48"/>
      <sheetName val="Ultra_som_-_200748"/>
      <sheetName val="Trem_Hora_Parado48"/>
      <sheetName val="Ocorrências_Ferroviárias48"/>
      <sheetName val="Aprovisionamento_de_Materiais48"/>
      <sheetName val="Grafico_Geral_Orçamento48"/>
      <sheetName val="Check_List-_Gerrot48"/>
      <sheetName val="EAP_rev_0045"/>
      <sheetName val="CC_42445"/>
      <sheetName val="NÃO_CRÍTICOS45"/>
      <sheetName val="CONSOLIDADO_GAENY45"/>
      <sheetName val="ORÇADO_-_CONF__GIC45"/>
      <sheetName val="ALEXANDRE_-_NÃO_CRÍTICOS45"/>
      <sheetName val="LEONARDO__-_CRÍTICOS45"/>
      <sheetName val="LEONARDO__-_NÃO_CRÍTICOS45"/>
      <sheetName val="PAULO_-_CRÍTICOS45"/>
      <sheetName val="PAULO_-_NÃO_CRÍTICOS45"/>
      <sheetName val="Gestão_Econômica45"/>
      <sheetName val="INFO_45"/>
      <sheetName val="Evolução_Etapas_Cal_Mag44"/>
      <sheetName val="Evolução_Etapas_Cromo44"/>
      <sheetName val="Grupo_x_Justif44"/>
      <sheetName val="Disp_2005_FCA44"/>
      <sheetName val="Resumo_EFVM44"/>
      <sheetName val="thp_44"/>
      <sheetName val="Consolida_Investimento44"/>
      <sheetName val="consolidado_preventivas44"/>
      <sheetName val="Vg__Inventariados-dados44"/>
      <sheetName val="p_ação_3G_UT43"/>
      <sheetName val="p_ação_3G_UT_(2)43"/>
      <sheetName val="Painel_de_controle43"/>
      <sheetName val="MKBF_MI43"/>
      <sheetName val="MKBF_CG43"/>
      <sheetName val="Nº_de_Falhas_MI43"/>
      <sheetName val="Nº_de_Falhas_CG43"/>
      <sheetName val="Nº_de_Falhas_PA43"/>
      <sheetName val="Falhas_sup_Freio43"/>
      <sheetName val="Falhas_MI-sist_Freio43"/>
      <sheetName val="Falhas_CG-sist_Freio43"/>
      <sheetName val="Falhas_sup_Vagão43"/>
      <sheetName val="Falhas_MI-sist_Sup43"/>
      <sheetName val="Falhas_CG_-sist_Sup43"/>
      <sheetName val="Falhas_sup_CG43"/>
      <sheetName val="Falhas_sup_Rodeiro-MI_CG_PA43"/>
      <sheetName val="Falhas_CG-sist_Rodeiro43"/>
      <sheetName val="Falhas_MI-sist_Rodeiro43"/>
      <sheetName val="Falhas_PA-sist_Rodeiro43"/>
      <sheetName val="Falhas_sup_T&amp;T43"/>
      <sheetName val="Falhas_TT-MI43"/>
      <sheetName val="Falhas_TT-CG43"/>
      <sheetName val="Falhas_MI-sist_Truque43"/>
      <sheetName val="Falhas_CG-sist_Truque43"/>
      <sheetName val="Falhas_MI-sist_Tração43"/>
      <sheetName val="Falhas_CG-sist_Tração43"/>
      <sheetName val="POR_DIRETORIA43"/>
      <sheetName val="ROS_VV43"/>
      <sheetName val="Cronograma_de_Reuniões_LICL43"/>
      <sheetName val="Cronograma_de_Reuniões_LEFEL43"/>
      <sheetName val="Pauta_C_Geral_Ferrovia43"/>
      <sheetName val="Agenda_Logistica_201243"/>
      <sheetName val="Cashflow_(na)43"/>
      <sheetName val="Análise_Certificação_43"/>
      <sheetName val="bdados_200543"/>
      <sheetName val="HISTORICO_DEF_X_REB43"/>
      <sheetName val="PAINEL_DE_FALHAS43"/>
      <sheetName val="AR_Signature_Page43"/>
      <sheetName val="_INDICADORES_FINANCEIROS43"/>
      <sheetName val="RECEITA_BRUTA43"/>
      <sheetName val="_COMPOSIÇÃO_DO_CPV_43"/>
      <sheetName val="_INDICADORES_DE_ENDIVIDAMENTO43"/>
      <sheetName val="MINERAIS_FERROSOS43"/>
      <sheetName val="BULK_MATERIALS43"/>
      <sheetName val="MINERAIS_NÃO_FERROSOS43"/>
      <sheetName val="DEMONSTRAÇÃO_DE_RESULTADO43"/>
      <sheetName val="_DESPESAS_FINANCEIRAS43"/>
      <sheetName val="_RESULTADO_DE_P__SOCIETÁRIAS43"/>
      <sheetName val="_BALANÇO_PATRIMONIAL43"/>
      <sheetName val="_FLUXO_DE_CAIXA43"/>
      <sheetName val="_VOLUME_outros43"/>
      <sheetName val="PRECOS_MEDIOS43"/>
      <sheetName val="Margens_Operacionais43"/>
      <sheetName val="Itens_de_controle43"/>
      <sheetName val="Check_Farol43"/>
      <sheetName val="Pessoal_CVRD43"/>
      <sheetName val="Composição_2011_Máx__Rev_243"/>
      <sheetName val="Demanda_de_inspeção43"/>
      <sheetName val="Composição_2011_Máx__Rev_343"/>
      <sheetName val="JAN_P2243"/>
      <sheetName val="JAN_P2143"/>
      <sheetName val="MELHORIAS_E_OPÇÕES43"/>
      <sheetName val="CVRDMenu_xls43"/>
      <sheetName val="Check_List43"/>
      <sheetName val="Desenvolvimento_Ferroviário43"/>
      <sheetName val="Eng__Via_Permanente43"/>
      <sheetName val="Eng__Material_Rodante43"/>
      <sheetName val="Eng__Eletro_e_Operações43"/>
      <sheetName val="Resumo_Desenvolvimento43"/>
      <sheetName val="Resumo_VP43"/>
      <sheetName val="Resumo_Mat_Rodante43"/>
      <sheetName val="Resumo_Eletro43"/>
      <sheetName val="CA_540943"/>
      <sheetName val="Simulador_OEE_sem_911_Nov_Dez43"/>
      <sheetName val="Usiminas_43"/>
      <sheetName val="Build-up_US$_(2010)41"/>
      <sheetName val="Curva_41"/>
      <sheetName val="Painel_Engenharia_R$41"/>
      <sheetName val="Resumo_do_Painel41"/>
      <sheetName val="Resumo_IOI41"/>
      <sheetName val="Quadro_IOI_201441"/>
      <sheetName val="Curva_Baseline_201441"/>
      <sheetName val="Capex_Eco41"/>
      <sheetName val="Capex_Fin41"/>
      <sheetName val="Curva_Eco_Investimento41"/>
      <sheetName val="Curva_Fin_Investimento41"/>
      <sheetName val="Curva_Despesa41"/>
      <sheetName val="Ferrovia_Análise_Tendência41"/>
      <sheetName val="Dinâm_IOI_fabio41"/>
      <sheetName val="CONTRATOS_EEFC41"/>
      <sheetName val="ANALISE_EXC__MÊS41"/>
      <sheetName val="RESUMO_DESAFIO41"/>
      <sheetName val="2011_Curvas_Fin41"/>
      <sheetName val="Saldos_PA's41"/>
      <sheetName val="2012_Curvas_Fin_(R$)41"/>
      <sheetName val="Ramal_(temp)41"/>
      <sheetName val="Ramal_-_Pacotes41"/>
      <sheetName val="Linhas__Ramais41"/>
      <sheetName val="Owner_Costs41"/>
      <sheetName val="Desembolso_R$41"/>
      <sheetName val="Controle_Pagamentos41"/>
      <sheetName val="CONTRATOS_TFPM41"/>
      <sheetName val="Plano_de_Ação_OMR_(2)41"/>
      <sheetName val="Plano_de_Ação_OMTT_(2)41"/>
      <sheetName val="O_indicador41"/>
      <sheetName val="Matriz_de_priorização_GUT41"/>
      <sheetName val="1_-_Resultados41"/>
      <sheetName val="MCS_FEV41"/>
      <sheetName val="MCS_AGO41"/>
      <sheetName val="BUILD_UP_-_Jan41"/>
      <sheetName val="PA_Est__Minimo41"/>
      <sheetName val="Identificação_do_Problema41"/>
      <sheetName val="Observação_do_Problema41"/>
      <sheetName val="Diagrama_de_Causa_e_Efeito_Ro41"/>
      <sheetName val="Técnica_dos_Por_Ques_Rode41"/>
      <sheetName val="Diagrama_de_Causa_e_Efeito_Tr72"/>
      <sheetName val="Diagrama_de_Causa_e_Efeito_Tr73"/>
      <sheetName val="Teste_porquês_truq_41"/>
      <sheetName val="Teste_porquês_Rod41"/>
      <sheetName val="Teste_porquês_Traç41"/>
      <sheetName val="Observação_do_Problema_(2)41"/>
      <sheetName val="Diagrama_de_Causa_e_Efeito__(50"/>
      <sheetName val="BUILD_UP_COMP_41"/>
      <sheetName val="2_-_BUILD_UP_-_Maio41"/>
      <sheetName val="MCS_MAR41"/>
      <sheetName val="MCS_ABRIL41"/>
      <sheetName val="MCS_ACUMULADO41"/>
      <sheetName val="MCS_MAIO41"/>
      <sheetName val="Plano_de_Ação_OMR41"/>
      <sheetName val="BD_Grafico41"/>
      <sheetName val="Produção_de_Março_-_OMR41"/>
      <sheetName val="Fila_de_Rodeiros41"/>
      <sheetName val="Usinados_Montagem41"/>
      <sheetName val="Perfil_de_Entrada_de_rodeiros41"/>
      <sheetName val="Análise_Extra41"/>
      <sheetName val="Plano_de_Ação_OMTT41"/>
      <sheetName val="3_-_PARETOS41"/>
      <sheetName val="MCS_JUNHO41"/>
      <sheetName val="2_-_BUILD_UP_-_Abr_(2)41"/>
      <sheetName val="Planos_de_ação21"/>
      <sheetName val="2_-_BUILD_UP_-_Julho21"/>
      <sheetName val="MCS_JULHO21"/>
      <sheetName val="Rateio_Eco_-_Fin_-_Fis19"/>
      <sheetName val="EST__CAPEX_eco_fin19"/>
      <sheetName val="Cálculo_Reajuste19"/>
      <sheetName val="Estrutura_SAP19"/>
      <sheetName val="Principais_Contratos19"/>
      <sheetName val="PA_e_TAREFA19"/>
      <sheetName val="Produção_19"/>
      <sheetName val="Avanço_%18"/>
      <sheetName val="01_(2)18"/>
      <sheetName val="BASE_DE_DADOS19"/>
      <sheetName val="Parâmetros_Caso_Base19"/>
      <sheetName val="CP_-_Sintético19"/>
      <sheetName val="Gerrot_GAPPG21"/>
      <sheetName val="Acidentes_CPT_e_SPT_-_SUPV_21"/>
      <sheetName val="Ocorrências_Ferroviárias-SUPV21"/>
      <sheetName val="Custeio_Fixo_-_SUPV_21"/>
      <sheetName val="Pessoal_-_SUPV_21"/>
      <sheetName val="Conhecendo_a_composição_M120"/>
      <sheetName val="Insumos_e_Produtos20"/>
      <sheetName val="Itens_de_Controle_-_Nice20"/>
      <sheetName val="PA_-_Receita_Líquida_Guseiros20"/>
      <sheetName val="PA_-_Gusa_Norte_(2)20"/>
      <sheetName val="Just_Nat_57_B20"/>
      <sheetName val="Solicitação_Gestão19"/>
      <sheetName val="JUST_NAT_5219"/>
      <sheetName val="CUSTO_LARANJEIRAS19"/>
      <sheetName val="app_a,_10b19"/>
      <sheetName val="VP1_Corinto19"/>
      <sheetName val="Plan2_(2)21"/>
      <sheetName val="TC_IN20"/>
      <sheetName val="GAVNG_-EPI19"/>
      <sheetName val="invest_19"/>
      <sheetName val="_PIPEWORK_1__19"/>
      <sheetName val="Anomalia_Acao19"/>
      <sheetName val="Base_21"/>
      <sheetName val="MatrizDILN_(2)20"/>
      <sheetName val="MUTUAL_FUND_SALES_BY_QTR20"/>
      <sheetName val="ISS_VOL_MUTUAL_FUND_SALES20"/>
      <sheetName val="Graficos_acumulados_totalizad20"/>
      <sheetName val="Graficos_áreas20"/>
      <sheetName val="Indice_Precos_Mes19"/>
      <sheetName val="Seleção_Projetos21"/>
      <sheetName val="Misc__data19"/>
      <sheetName val="Ref_Numbers19"/>
      <sheetName val="Previsão_de_Vagões19"/>
      <sheetName val="1_Pgm19"/>
      <sheetName val="BANCO_DE_DADOS_ESTRUTURA19"/>
      <sheetName val="Price_List19"/>
      <sheetName val="Histograma_-_Detalhe20"/>
      <sheetName val="METRICAS_GVA19"/>
      <sheetName val="Descritivo_Fraturas_Centro19"/>
      <sheetName val="Apoio_Validação19"/>
      <sheetName val="Apoio_Etapa_6_-_Viagens19"/>
      <sheetName val="FCD_MFe21"/>
      <sheetName val="Edison_Correia19"/>
      <sheetName val="MH_Installations19"/>
      <sheetName val="ACOPL_ENG19"/>
      <sheetName val="Caract__Contratos_-_Dez-0019"/>
      <sheetName val="Just_Nat_5119"/>
      <sheetName val="Controle_Comp_19"/>
      <sheetName val="FEVEREIRO_-_DORM-LARGA19"/>
      <sheetName val="Progresso_Econômica_Projeto19"/>
      <sheetName val="CONTRATO_W19"/>
      <sheetName val="Tab__GConta_NOP20"/>
      <sheetName val="Tab__GConta_OP20"/>
      <sheetName val="Tab__GConta_OP_(2)20"/>
      <sheetName val="Números_da_Oficina20"/>
      <sheetName val="Lente_-_dipd21"/>
      <sheetName val="Lente_VALE21"/>
      <sheetName val="Premissas_Preenchimento_BAY20"/>
      <sheetName val="Avanço_Físico_IOI_BAY20"/>
      <sheetName val="Avanço_Econômico_IOI_BAY20"/>
      <sheetName val="Ad__Proj__Financ_IEF_BAY20"/>
      <sheetName val="Baseline_Físico_BAY20"/>
      <sheetName val="Baseline_Econômico_BAY20"/>
      <sheetName val="Milestones_BAY20"/>
      <sheetName val="Licencas_Bayovar20"/>
      <sheetName val="FAIXAS_-_META_VALE_BAYOVAR20"/>
      <sheetName val="Milestones_PRC20"/>
      <sheetName val="Premissas_Preenchimento_CLN20"/>
      <sheetName val="Avanço_Físico_IOI_CLN20"/>
      <sheetName val="Avanço_Econômico_IOI_CLN20"/>
      <sheetName val="Ad__Proj__Financ_IEF_CLN20"/>
      <sheetName val="Baseline_Físico_CLN20"/>
      <sheetName val="Baseline_Econômico_CLN20"/>
      <sheetName val="Milestones_CLN20"/>
      <sheetName val="FAIXAS_-_CALCULADORA_CLN_20"/>
      <sheetName val="DB_do_TST19"/>
      <sheetName val="DTOs_Tração19"/>
      <sheetName val="5_419"/>
      <sheetName val="Resultado_da_Simulação_D+120"/>
      <sheetName val="Viabilidade_Econômica20"/>
      <sheetName val="Operações_de_Swap19"/>
      <sheetName val="Banco_de_dados19"/>
      <sheetName val="Financials_USD$19"/>
      <sheetName val="Desembolso_Financeiro19"/>
      <sheetName val="Diagrama_de_Causa_e_Efeito18"/>
      <sheetName val="Causa_e_Medida18"/>
      <sheetName val="Plano_de_Ação18"/>
      <sheetName val="Projeção_Falhas5"/>
      <sheetName val="Projeção_Falhas_(2)5"/>
      <sheetName val="entrega_duplic__(2)5"/>
      <sheetName val="BASE_DE_ATIVOS_(2)5"/>
      <sheetName val="2015_C11_14_(2)5"/>
      <sheetName val="2016_C11_14_(2)5"/>
      <sheetName val="2017_C11_14_(2)5"/>
      <sheetName val="2018_C11_14_(2)5"/>
      <sheetName val="2019_C11_14_(2)5"/>
      <sheetName val="FROTA_LOCOS_2014_(2)5"/>
      <sheetName val="Bordo_Veíc__Aux_(2)5"/>
      <sheetName val="Conversão_para_Ativos_(2)5"/>
      <sheetName val="MAN__CORRETIVA5"/>
      <sheetName val="Demanda_Manutenção5"/>
      <sheetName val="2014_C11_14_(2)5"/>
      <sheetName val="2015_C11_145"/>
      <sheetName val="2016_C11_145"/>
      <sheetName val="2017_C11_145"/>
      <sheetName val="2018_C11_145"/>
      <sheetName val="2019_C11_145"/>
      <sheetName val="EQUIP_INSTALADO_EM_LOCOMOTIVA5"/>
      <sheetName val="BORDO_LOCOS_20125"/>
      <sheetName val="FROTA_LOCOS_20145"/>
      <sheetName val="BORDO_AS_e_MGP_20145"/>
      <sheetName val="V__Auxiliar5"/>
      <sheetName val="Bordo_Veíc__Aux5"/>
      <sheetName val="2014_C11_145"/>
      <sheetName val="2015_C11_135"/>
      <sheetName val="2016_C11_135"/>
      <sheetName val="2017_C11_135"/>
      <sheetName val="2018_C11_135"/>
      <sheetName val="2019_C11_135"/>
      <sheetName val="Padrão_Auditado1"/>
      <sheetName val="AnaliseFenomeno_-_LRX_(2)1"/>
      <sheetName val="Aderência_Trens1"/>
      <sheetName val="Evolução_Eventos_Ciclos1"/>
      <sheetName val="Evolução_Ritmo_Nordeste1"/>
      <sheetName val="MOTIVO_HE1"/>
      <sheetName val="ALL_TIME_DATA"/>
      <sheetName val="Compatibility_Report"/>
      <sheetName val="Tabelas de DF's"/>
      <sheetName val="Indicadores"/>
      <sheetName val="3001"/>
      <sheetName val="3101"/>
      <sheetName val="3102"/>
      <sheetName val="3202"/>
      <sheetName val="3203"/>
      <sheetName val="3301"/>
      <sheetName val="3302"/>
      <sheetName val="PM3401"/>
      <sheetName val="PM3402"/>
      <sheetName val="RE2908"/>
      <sheetName val="Transp_PP"/>
      <sheetName val="TranspGP_VALE"/>
      <sheetName val="ESC_PP"/>
      <sheetName val="ESC_GP_VALE"/>
      <sheetName val="ESC_GP_U&amp;M"/>
      <sheetName val="CARREG"/>
      <sheetName val="Estimate"/>
      <sheetName val="avanço físico sem26"/>
      <sheetName val="pfab"/>
      <sheetName val="ferr"/>
      <sheetName val="isol"/>
      <sheetName val="[CVRDMenu.xls]__susbhma0_dado_2"/>
      <sheetName val="Melhorias Vale-MRS"/>
      <sheetName val="RED.-EXP."/>
      <sheetName val="Controle - Geradores"/>
      <sheetName val="Lista Completa"/>
      <sheetName val="BM_71"/>
      <sheetName val="Resumo_do_Contrato1"/>
      <sheetName val="EMPILHADEIRA_SMQ0031"/>
      <sheetName val="Resumo_do_Contrato_1"/>
      <sheetName val="Rateio_17-08-20201"/>
      <sheetName val="C_C1"/>
      <sheetName val="Rateio_17-06-20201"/>
      <sheetName val="GRÁFICOS_iNGLÊS"/>
      <sheetName val="GRÁF_MAX"/>
      <sheetName val="PLANO_AÇÃO"/>
      <sheetName val="GESTÃO_A_VISTA"/>
      <sheetName val="TREINAM_"/>
      <sheetName val="CCD's_e_HPH"/>
      <sheetName val="PLANO_AÇÃO_2020"/>
      <sheetName val="BM_7"/>
      <sheetName val="Resumo_do_Contrato"/>
      <sheetName val="EMPILHADEIRA_SMQ003"/>
      <sheetName val="Resumo_do_Contrato_"/>
      <sheetName val="Rateio_17-08-2020"/>
      <sheetName val="C_C"/>
      <sheetName val="Rateio_17-06-2020"/>
      <sheetName val="BM_72"/>
      <sheetName val="Resumo_do_Contrato2"/>
      <sheetName val="EMPILHADEIRA_SMQ0032"/>
      <sheetName val="Resumo_do_Contrato_2"/>
      <sheetName val="Rateio_17-08-20202"/>
      <sheetName val="C_C2"/>
      <sheetName val="Rateio_17-06-20202"/>
      <sheetName val="GRÁFICOS_iNGLÊS1"/>
      <sheetName val="GRÁF_MAX1"/>
      <sheetName val="PLANO_AÇÃO1"/>
      <sheetName val="GESTÃO_A_VISTA1"/>
      <sheetName val="TREINAM_1"/>
      <sheetName val="CCD's_e_HPH1"/>
      <sheetName val="PLANO_AÇÃO_20201"/>
      <sheetName val="Pirâmide"/>
      <sheetName val="Book"/>
      <sheetName val="Instruções"/>
      <sheetName val="Check List 1o Estagio"/>
      <sheetName val="Check List 2o Estagio"/>
      <sheetName val="Index"/>
      <sheetName val="130459_ꈦ࢈ᄟꊀԲ2"/>
      <sheetName val="Marcos_Consolidado1"/>
      <sheetName val="Plano_de_Ação_Consolidado1"/>
      <sheetName val="Ev__Jan_DBM1"/>
      <sheetName val="GCE_ID_14-RAC1"/>
      <sheetName val="Dev_SAC_1"/>
      <sheetName val="Farol_de_Metas1"/>
      <sheetName val="Ass_1"/>
      <sheetName val="Distribuidor_Semana1"/>
      <sheetName val="Cost_Variables1"/>
      <sheetName val="Defense_Comps1"/>
      <sheetName val="3__Abordagem_de_implantação1"/>
      <sheetName val="D2_DCF1"/>
      <sheetName val="Auto_de_Linha_Nordeste_21"/>
      <sheetName val="Prev_Compnentes_DASH_CL1"/>
      <sheetName val="9_1_Investimento_Resumo"/>
      <sheetName val="130459_ꈦ࢈ᄟꊀԲ1"/>
      <sheetName val="//prdapws01/Meus_documentos/Nu1"/>
      <sheetName val="Disp_2004"/>
      <sheetName val="Tabela_aux_organograma"/>
      <sheetName val="Operating_Statement"/>
      <sheetName val="Source_Info"/>
      <sheetName val="Registro_de_Riscos"/>
      <sheetName val="//prdapws01/TEMP/Anne/CHECKS_QU"/>
      <sheetName val="Contas_-_Oracle_x_SAP"/>
      <sheetName val="TD_Minerioe_Carga_Geral"/>
      <sheetName val="Mat_Estocaveis_Minerio_e_Carga"/>
      <sheetName val="TD_Passageiro"/>
      <sheetName val="Mat_Estocaveis_Passageiros"/>
      <sheetName val="Planejamento_Vagões_2020"/>
      <sheetName val="Historico_Causas_Ruptura__Est"/>
      <sheetName val="TD_Causas_Ruptura"/>
      <sheetName val="Calc_Indicadores"/>
      <sheetName val="Quant__Amostragem"/>
      <sheetName val="_Alteração_Planejamento"/>
      <sheetName val="Variaveis_CELESC_Operacional"/>
      <sheetName val="Gastos_Comercializadora"/>
      <sheetName val="Prazo_Contratual"/>
      <sheetName val="Taxa_FNS"/>
      <sheetName val="_Gráfico_Taxa_FNS"/>
      <sheetName val="PTM_acm_"/>
      <sheetName val="QA_FNS"/>
      <sheetName val="Cronograma_Global"/>
      <sheetName val="Ações_de_QA"/>
      <sheetName val="Caderno_1"/>
      <sheetName val="Código_das_Equipes1"/>
      <sheetName val="INPUT_EQUIPES1"/>
      <sheetName val="COD_EQUIPE1"/>
      <sheetName val="Caderno_de_atividades1"/>
      <sheetName val="Códigos_das_Equipes1"/>
      <sheetName val="Relatório_estatístico1"/>
      <sheetName val="AUXILIAR_21"/>
      <sheetName val="Caderno_de_Serviços1"/>
      <sheetName val="\\SUEVTMA1\USUARIO\Meus_documen"/>
      <sheetName val="Ser__F_Prazo"/>
      <sheetName val="Indicadores_|_Manutenção"/>
      <sheetName val="Indicadores_|_Expansão"/>
      <sheetName val="_PIB_Brasil_(_R$_de_1996_)"/>
      <sheetName val="QRT_Oficial_ANEEL"/>
      <sheetName val="Grafico_GERAL"/>
      <sheetName val="Preenchimento_Auxiliar"/>
      <sheetName val="130459_x0000__x0009__x0000_ꈦ_x0000__x0000__x0000_࢈ᄟ_x0000__x0000__x00"/>
      <sheetName val="130459_x0000_ _x0000_ꈦ_x0000__x0000__x0000_࢈ᄟ_x0000__x0000__x00"/>
      <sheetName val="PLANO DE AÇÃO (2)"/>
      <sheetName val="CAPA "/>
      <sheetName val="Grafico DF-UF Global"/>
      <sheetName val="ORÇADO X REALIZADO"/>
      <sheetName val="Rendimento "/>
      <sheetName val="Grafico RO 31"/>
      <sheetName val="Grafico RO "/>
      <sheetName val="RO"/>
      <sheetName val="FMDS Apre. D-2"/>
      <sheetName val="FMDS (2)"/>
      <sheetName val="equipamentos orçado-operando"/>
      <sheetName val="10"/>
      <sheetName val="11"/>
      <sheetName val="MNX-4371"/>
      <sheetName val="MNX-4377"/>
      <sheetName val="MNX-4G84"/>
      <sheetName val="MNX-5359"/>
      <sheetName val="12"/>
      <sheetName val="EE-0078"/>
      <sheetName val="EE-0079"/>
      <sheetName val="EE-0081"/>
      <sheetName val="EE-0082"/>
      <sheetName val="EE-0083"/>
      <sheetName val="EE-0084"/>
      <sheetName val="14"/>
      <sheetName val="15"/>
      <sheetName val="TE-0032"/>
      <sheetName val="TE-0046"/>
      <sheetName val="TE-0033"/>
      <sheetName val="16 "/>
      <sheetName val="17"/>
      <sheetName val="TE-0039"/>
      <sheetName val="TE-0040"/>
      <sheetName val="TE-0043"/>
      <sheetName val="TE-0044"/>
      <sheetName val="19"/>
      <sheetName val="BOLETIM MEDIÇÃO"/>
      <sheetName val="COMBOIO"/>
      <sheetName val="ITACAMBA"/>
      <sheetName val="mip"/>
      <sheetName val="workings1"/>
      <sheetName val="ASICS"/>
      <sheetName val="1999"/>
      <sheetName val="Implied"/>
      <sheetName val="Infra"/>
      <sheetName val="Tran Mat."/>
      <sheetName val="ASICS_Sum"/>
      <sheetName val="fasi provvisorie"/>
      <sheetName val="F. Rosto"/>
      <sheetName val="QQP"/>
      <sheetName val="Adicionais - HEs - Peri - Not"/>
      <sheetName val="Custos Estimados"/>
      <sheetName val="Histograma PlanejIntegr"/>
      <sheetName val="Histograma 24 meses"/>
    </sheetNames>
    <definedNames>
      <definedName name="Macro1"/>
      <definedName name="Macro3" sheetId="1"/>
    </definedNames>
    <sheetDataSet>
      <sheetData sheetId="0">
        <row r="22">
          <cell r="D22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>
        <row r="22">
          <cell r="D22">
            <v>0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22">
          <cell r="D22" t="str">
            <v>LAQUEADO</v>
          </cell>
        </row>
      </sheetData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>
        <row r="22">
          <cell r="D22" t="str">
            <v>LAQUEADO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>
        <row r="22">
          <cell r="D22" t="str">
            <v>LAQUEADO</v>
          </cell>
        </row>
      </sheetData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>
        <row r="1">
          <cell r="B1" t="str">
            <v>Rampa de Marcos - 2016</v>
          </cell>
        </row>
      </sheetData>
      <sheetData sheetId="797"/>
      <sheetData sheetId="798"/>
      <sheetData sheetId="799">
        <row r="22">
          <cell r="D22" t="str">
            <v>ATC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>
        <row r="22">
          <cell r="D22" t="str">
            <v>ATC</v>
          </cell>
        </row>
      </sheetData>
      <sheetData sheetId="818">
        <row r="22">
          <cell r="D22" t="str">
            <v>ATC</v>
          </cell>
        </row>
      </sheetData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>
        <row r="22">
          <cell r="D22" t="str">
            <v>LAQUEADO</v>
          </cell>
        </row>
      </sheetData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22">
          <cell r="D22" t="str">
            <v>ATC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>
        <row r="22">
          <cell r="D22" t="str">
            <v>LAQUEADO</v>
          </cell>
        </row>
      </sheetData>
      <sheetData sheetId="873">
        <row r="22">
          <cell r="D22" t="str">
            <v>LAQUEADO</v>
          </cell>
        </row>
      </sheetData>
      <sheetData sheetId="874"/>
      <sheetData sheetId="875"/>
      <sheetData sheetId="876">
        <row r="22">
          <cell r="D22" t="str">
            <v>LAQUEADO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>
        <row r="22">
          <cell r="D22" t="str">
            <v>LAQUEADO</v>
          </cell>
        </row>
      </sheetData>
      <sheetData sheetId="1087"/>
      <sheetData sheetId="1088"/>
      <sheetData sheetId="1089"/>
      <sheetData sheetId="1090"/>
      <sheetData sheetId="1091">
        <row r="22">
          <cell r="D22" t="str">
            <v>LAQUEADO</v>
          </cell>
        </row>
      </sheetData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>
        <row r="22">
          <cell r="D22" t="str">
            <v>ATC</v>
          </cell>
        </row>
      </sheetData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>
        <row r="1">
          <cell r="B1" t="str">
            <v>Rampa de Marcos - 2016</v>
          </cell>
        </row>
      </sheetData>
      <sheetData sheetId="7460"/>
      <sheetData sheetId="7461">
        <row r="22">
          <cell r="D22" t="str">
            <v>ATC</v>
          </cell>
        </row>
      </sheetData>
      <sheetData sheetId="7462">
        <row r="22">
          <cell r="D22" t="str">
            <v>ATC</v>
          </cell>
        </row>
      </sheetData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>
        <row r="22">
          <cell r="D22" t="str">
            <v>LAQUEADO</v>
          </cell>
        </row>
      </sheetData>
      <sheetData sheetId="7482">
        <row r="1">
          <cell r="B1" t="str">
            <v>Rampa de Marcos - 2016</v>
          </cell>
        </row>
      </sheetData>
      <sheetData sheetId="7483">
        <row r="1">
          <cell r="B1" t="str">
            <v>Rampa de Marcos - 2016</v>
          </cell>
        </row>
      </sheetData>
      <sheetData sheetId="7484">
        <row r="22">
          <cell r="D22" t="str">
            <v>LAQUEADO</v>
          </cell>
        </row>
      </sheetData>
      <sheetData sheetId="7485">
        <row r="22">
          <cell r="D22" t="str">
            <v>MTPCVSCP - PLANO TROCA PREV COMPONENTE VAL SEGURANÇA COMPRESSOR</v>
          </cell>
        </row>
      </sheetData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>
        <row r="22">
          <cell r="D22" t="str">
            <v>LAQUEADO</v>
          </cell>
        </row>
      </sheetData>
      <sheetData sheetId="7507">
        <row r="22">
          <cell r="D22" t="str">
            <v>LAQUEADO</v>
          </cell>
        </row>
      </sheetData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/>
      <sheetData sheetId="7514" refreshError="1"/>
      <sheetData sheetId="7515" refreshError="1"/>
      <sheetData sheetId="7516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>
        <row r="1">
          <cell r="B1" t="str">
            <v>Rampa de Marcos - 2016</v>
          </cell>
        </row>
      </sheetData>
      <sheetData sheetId="7524"/>
      <sheetData sheetId="7525">
        <row r="22">
          <cell r="D22" t="str">
            <v>MTPCVSCP - PLANO TROCA PREV COMPONENTE VAL SEGURANÇA COMPRESSOR</v>
          </cell>
        </row>
      </sheetData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/>
      <sheetData sheetId="7544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/>
      <sheetData sheetId="7552" refreshError="1"/>
      <sheetData sheetId="7553" refreshError="1"/>
      <sheetData sheetId="7554" refreshError="1"/>
      <sheetData sheetId="7555"/>
      <sheetData sheetId="7556"/>
      <sheetData sheetId="7557"/>
      <sheetData sheetId="7558"/>
      <sheetData sheetId="7559">
        <row r="1">
          <cell r="A1" t="str">
            <v>CODIGO</v>
          </cell>
        </row>
      </sheetData>
      <sheetData sheetId="7560"/>
      <sheetData sheetId="7561"/>
      <sheetData sheetId="7562"/>
      <sheetData sheetId="7563"/>
      <sheetData sheetId="7564"/>
      <sheetData sheetId="7565"/>
      <sheetData sheetId="7566" refreshError="1"/>
      <sheetData sheetId="7567" refreshError="1"/>
      <sheetData sheetId="7568" refreshError="1"/>
      <sheetData sheetId="7569" refreshError="1"/>
      <sheetData sheetId="7570">
        <row r="2">
          <cell r="C2">
            <v>0</v>
          </cell>
        </row>
      </sheetData>
      <sheetData sheetId="7571"/>
      <sheetData sheetId="7572"/>
      <sheetData sheetId="7573"/>
      <sheetData sheetId="7574"/>
      <sheetData sheetId="7575"/>
      <sheetData sheetId="7576"/>
      <sheetData sheetId="7577">
        <row r="1">
          <cell r="B1" t="str">
            <v>Rampa de Marcos - 2016</v>
          </cell>
        </row>
      </sheetData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>
        <row r="22">
          <cell r="D22" t="str">
            <v>ATC</v>
          </cell>
        </row>
      </sheetData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>
        <row r="22">
          <cell r="D22" t="str">
            <v>ATC</v>
          </cell>
        </row>
      </sheetData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>
        <row r="22">
          <cell r="D22" t="str">
            <v>ATC</v>
          </cell>
        </row>
      </sheetData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>
        <row r="22">
          <cell r="D22" t="str">
            <v>ATC</v>
          </cell>
        </row>
      </sheetData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>
        <row r="1">
          <cell r="B1" t="str">
            <v>Rampa de Marcos - 2016</v>
          </cell>
        </row>
      </sheetData>
      <sheetData sheetId="8205"/>
      <sheetData sheetId="8206">
        <row r="22">
          <cell r="D22" t="str">
            <v>MTPCVSCP - PLANO TROCA PREV COMPONENTE VAL SEGURANÇA COMPRESSOR</v>
          </cell>
        </row>
      </sheetData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>
        <row r="1">
          <cell r="B1">
            <v>0</v>
          </cell>
        </row>
      </sheetData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>
        <row r="1">
          <cell r="A1" t="str">
            <v>Contratante:</v>
          </cell>
        </row>
      </sheetData>
      <sheetData sheetId="8239">
        <row r="1">
          <cell r="A1" t="str">
            <v>Contratante:</v>
          </cell>
        </row>
      </sheetData>
      <sheetData sheetId="8240"/>
      <sheetData sheetId="8241">
        <row r="1">
          <cell r="A1" t="str">
            <v>RESUMO DA MEDIÇÃO</v>
          </cell>
        </row>
      </sheetData>
      <sheetData sheetId="8242">
        <row r="1">
          <cell r="A1" t="str">
            <v>RESUMO DA MEDIÇÃO</v>
          </cell>
        </row>
      </sheetData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>
        <row r="22">
          <cell r="D22" t="str">
            <v>ATC</v>
          </cell>
        </row>
      </sheetData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>
        <row r="22">
          <cell r="D22" t="str">
            <v>ATC</v>
          </cell>
        </row>
      </sheetData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>
        <row r="22">
          <cell r="D22" t="str">
            <v>ATC</v>
          </cell>
        </row>
      </sheetData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>
        <row r="22">
          <cell r="D22"/>
        </row>
      </sheetData>
      <sheetData sheetId="10260"/>
      <sheetData sheetId="10261">
        <row r="1">
          <cell r="E1" t="str">
            <v>RELATÓRIO D-1 FROTA DE CAMIÕES ELÉCTRICOS</v>
          </cell>
        </row>
      </sheetData>
      <sheetData sheetId="10262"/>
      <sheetData sheetId="10263"/>
      <sheetData sheetId="10264"/>
      <sheetData sheetId="10265"/>
      <sheetData sheetId="10266" refreshError="1"/>
      <sheetData sheetId="10267" refreshError="1"/>
      <sheetData sheetId="10268" refreshError="1"/>
      <sheetData sheetId="10269" refreshError="1"/>
      <sheetData sheetId="10270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>
        <row r="22">
          <cell r="D22" t="str">
            <v>ATC</v>
          </cell>
        </row>
      </sheetData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 refreshError="1"/>
      <sheetData sheetId="10637"/>
      <sheetData sheetId="10638">
        <row r="1">
          <cell r="A1" t="str">
            <v>ES3001</v>
          </cell>
        </row>
      </sheetData>
      <sheetData sheetId="10639">
        <row r="22">
          <cell r="D22">
            <v>8.0000160000000005</v>
          </cell>
        </row>
      </sheetData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>
        <row r="1">
          <cell r="B1" t="str">
            <v>PLANO DE AÇÃO - TMC/PMC - Melhorias Vale/MRS</v>
          </cell>
        </row>
      </sheetData>
      <sheetData sheetId="10661" refreshError="1"/>
      <sheetData sheetId="10662" refreshError="1"/>
      <sheetData sheetId="10663" refreshError="1"/>
      <sheetData sheetId="10664">
        <row r="1">
          <cell r="A1" t="str">
            <v>Contratante:</v>
          </cell>
        </row>
      </sheetData>
      <sheetData sheetId="10665">
        <row r="1">
          <cell r="A1" t="str">
            <v>Contratante:</v>
          </cell>
        </row>
      </sheetData>
      <sheetData sheetId="10666">
        <row r="1">
          <cell r="A1" t="str">
            <v>RESUMO DA MEDIÇÃO</v>
          </cell>
        </row>
      </sheetData>
      <sheetData sheetId="10667">
        <row r="1">
          <cell r="A1" t="str">
            <v>RESUMO DA MEDIÇÃO</v>
          </cell>
        </row>
      </sheetData>
      <sheetData sheetId="10668">
        <row r="1">
          <cell r="A1" t="str">
            <v>RESUMO DA MEDIÇÃO</v>
          </cell>
        </row>
      </sheetData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>
        <row r="1">
          <cell r="A1" t="str">
            <v>Contratante:</v>
          </cell>
        </row>
      </sheetData>
      <sheetData sheetId="10679">
        <row r="1">
          <cell r="A1" t="str">
            <v>Contratante:</v>
          </cell>
        </row>
      </sheetData>
      <sheetData sheetId="10680">
        <row r="1">
          <cell r="A1" t="str">
            <v>RESUMO DA MEDIÇÃO</v>
          </cell>
        </row>
      </sheetData>
      <sheetData sheetId="10681">
        <row r="1">
          <cell r="A1" t="str">
            <v>RESUMO DA MEDIÇÃO</v>
          </cell>
        </row>
      </sheetData>
      <sheetData sheetId="10682">
        <row r="1">
          <cell r="A1" t="str">
            <v>RESUMO DA MEDIÇÃO</v>
          </cell>
        </row>
      </sheetData>
      <sheetData sheetId="10683"/>
      <sheetData sheetId="10684"/>
      <sheetData sheetId="10685">
        <row r="1">
          <cell r="A1" t="str">
            <v>Contratante:</v>
          </cell>
        </row>
      </sheetData>
      <sheetData sheetId="10686">
        <row r="1">
          <cell r="A1" t="str">
            <v>Contratante:</v>
          </cell>
        </row>
      </sheetData>
      <sheetData sheetId="10687">
        <row r="1">
          <cell r="A1" t="str">
            <v>RESUMO DA MEDIÇÃO</v>
          </cell>
        </row>
      </sheetData>
      <sheetData sheetId="10688">
        <row r="1">
          <cell r="A1" t="str">
            <v>RESUMO DA MEDIÇÃO</v>
          </cell>
        </row>
      </sheetData>
      <sheetData sheetId="10689">
        <row r="1">
          <cell r="A1" t="str">
            <v>RESUMO DA MEDIÇÃO</v>
          </cell>
        </row>
      </sheetData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 refreshError="1"/>
      <sheetData sheetId="10705"/>
      <sheetData sheetId="10706">
        <row r="1">
          <cell r="B1" t="str">
            <v>Rampa de Marcos - 2016</v>
          </cell>
        </row>
      </sheetData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/>
      <sheetData sheetId="10767"/>
      <sheetData sheetId="10768">
        <row r="1">
          <cell r="A1">
            <v>0.37842592592592594</v>
          </cell>
        </row>
      </sheetData>
      <sheetData sheetId="10769"/>
      <sheetData sheetId="10770"/>
      <sheetData sheetId="10771"/>
      <sheetData sheetId="10772"/>
      <sheetData sheetId="10773"/>
      <sheetData sheetId="10774"/>
      <sheetData sheetId="10775">
        <row r="1">
          <cell r="A1" t="str">
            <v>FMDS - Minax</v>
          </cell>
        </row>
      </sheetData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 refreshError="1"/>
      <sheetData sheetId="10807" refreshError="1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 refreshError="1"/>
      <sheetData sheetId="10816"/>
      <sheetData sheetId="10817">
        <row r="22">
          <cell r="D22">
            <v>5</v>
          </cell>
        </row>
      </sheetData>
      <sheetData sheetId="10818"/>
      <sheetData sheetId="10819"/>
      <sheetData sheetId="10820"/>
      <sheetData sheetId="108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.023"/>
      <sheetName val="200.024"/>
      <sheetName val="200.026"/>
      <sheetName val="200.030"/>
      <sheetName val="200.032"/>
      <sheetName val="210.005"/>
      <sheetName val="210.009"/>
      <sheetName val="210.015"/>
      <sheetName val="200_023"/>
      <sheetName val="200_024"/>
      <sheetName val="200_026"/>
      <sheetName val="200_030"/>
      <sheetName val="200_032"/>
      <sheetName val="210_005"/>
      <sheetName val="210_009"/>
      <sheetName val="210_015"/>
      <sheetName val="Tabela"/>
      <sheetName val="nomes"/>
      <sheetName val="Fresagem de Pista Ago-98"/>
      <sheetName val="estgg"/>
      <sheetName val="Canteiro"/>
    </sheetNames>
    <sheetDataSet>
      <sheetData sheetId="0"/>
      <sheetData sheetId="1" refreshError="1">
        <row r="8">
          <cell r="D8" t="str">
            <v>Arranc de guias de granito</v>
          </cell>
        </row>
      </sheetData>
      <sheetData sheetId="2" refreshError="1">
        <row r="8">
          <cell r="D8" t="str">
            <v>Arranc de sarjeta com 2 paralelos rejuntados</v>
          </cell>
        </row>
      </sheetData>
      <sheetData sheetId="3"/>
      <sheetData sheetId="4" refreshError="1">
        <row r="8">
          <cell r="D8" t="str">
            <v>Arranc e reassent sarjeta com 2 paralelos rejunt</v>
          </cell>
        </row>
      </sheetData>
      <sheetData sheetId="5" refreshError="1">
        <row r="8">
          <cell r="D8" t="str">
            <v>Fornec e assent lousas de granito</v>
          </cell>
        </row>
      </sheetData>
      <sheetData sheetId="6"/>
      <sheetData sheetId="7"/>
      <sheetData sheetId="8"/>
      <sheetData sheetId="9">
        <row r="8">
          <cell r="D8" t="str">
            <v>Arranc de guias de granito</v>
          </cell>
        </row>
      </sheetData>
      <sheetData sheetId="10">
        <row r="8">
          <cell r="D8" t="str">
            <v>Arranc de sarjeta com 2 paralelos rejuntados</v>
          </cell>
        </row>
      </sheetData>
      <sheetData sheetId="11"/>
      <sheetData sheetId="12">
        <row r="8">
          <cell r="D8" t="str">
            <v>Arranc e reassent sarjeta com 2 paralelos rejunt</v>
          </cell>
        </row>
      </sheetData>
      <sheetData sheetId="13">
        <row r="8">
          <cell r="D8" t="str">
            <v>Fornec e assent lousas de granito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VPL-FCA"/>
      <sheetName val="Fluxo caixa-FCA"/>
      <sheetName val="Memoria-FCA"/>
      <sheetName val="Memoria 1"/>
      <sheetName val="Plurianual de trilhos-2"/>
      <sheetName val="Plurianual de trilhos-EFC"/>
      <sheetName val="QQP"/>
      <sheetName val="Distancias"/>
      <sheetName val="Resumo_Cron_Geral"/>
      <sheetName val="Cron_RES_FNS"/>
      <sheetName val="Cron_FNS_ano1"/>
      <sheetName val="Cron_FNS_ano2"/>
      <sheetName val="Cron_RES_FCA"/>
      <sheetName val="Cron_FCA_ano1"/>
      <sheetName val="Cron_FCA_ano2"/>
      <sheetName val="Cron_FCA_ano3"/>
      <sheetName val="Cron_FCA_ano4"/>
      <sheetName val="fretes"/>
      <sheetName val="CUSTO-fca"/>
      <sheetName val="CUSTO-fns"/>
      <sheetName val="CUSTO-patios"/>
      <sheetName val="2004"/>
      <sheetName val="VPL_FCA"/>
      <sheetName val="Dados"/>
      <sheetName val="pitch"/>
      <sheetName val="Premissa"/>
      <sheetName val="Fluxo_caixa-FCA"/>
      <sheetName val="Memoria_1"/>
      <sheetName val="Plurianual_de_trilhos-2"/>
      <sheetName val="Plurianual_de_trilhos-EFC"/>
      <sheetName val="BDI e tributos"/>
      <sheetName val="Encargos"/>
      <sheetName val="Fluxo_caixa-FCA1"/>
      <sheetName val="Memoria_11"/>
      <sheetName val="Plurianual_de_trilhos-21"/>
      <sheetName val="Plurianual_de_trilhos-EFC1"/>
      <sheetName val="BDI_e_tributos"/>
      <sheetName val="Base_Case"/>
      <sheetName val="Comp.Unit."/>
      <sheetName val="CUSTO MO"/>
      <sheetName val="BDI"/>
      <sheetName val="Plan1"/>
      <sheetName val="200.024"/>
      <sheetName val="200.026"/>
      <sheetName val="200.032"/>
      <sheetName val="210.005"/>
      <sheetName val="Estimate"/>
      <sheetName val="personnel"/>
      <sheetName val="EAIGESEN"/>
      <sheetName val="bdi (edital 2)"/>
      <sheetName val="BDI-TRIBUTOS"/>
      <sheetName val="Eqp Eletrica"/>
      <sheetName val="Eqp Tub"/>
      <sheetName val="TUBE 산출 INPUT DATA"/>
      <sheetName val="MOB-2.11"/>
      <sheetName val="Principal"/>
      <sheetName val="BM012 Sul "/>
      <sheetName val="MC Sul"/>
      <sheetName val="elétrica"/>
      <sheetName val="acionamento"/>
      <sheetName val="fresagem de pista ago-98"/>
      <sheetName val="Completo"/>
      <sheetName val="Fluxo_caixa-FCA2"/>
      <sheetName val="Memoria_12"/>
      <sheetName val="Plurianual_de_trilhos-22"/>
      <sheetName val="Plurianual_de_trilhos-EFC2"/>
      <sheetName val="BDI_e_tributos1"/>
      <sheetName val="Comp_Unit_"/>
      <sheetName val="CUSTO_MO"/>
      <sheetName val="200_024"/>
      <sheetName val="200_026"/>
      <sheetName val="200_032"/>
      <sheetName val="210_005"/>
      <sheetName val="bdi_(edital_2)"/>
      <sheetName val="Eqp_Eletrica"/>
      <sheetName val="Eqp_Tub"/>
      <sheetName val="TUBE_산출_INPUT_DATA"/>
      <sheetName val="MOB-2_11"/>
      <sheetName val="BM012_Sul_"/>
      <sheetName val="MC_Sul"/>
      <sheetName val="Listas"/>
      <sheetName val="IND"/>
      <sheetName val="PLAN_1"/>
      <sheetName val="PLAN_2"/>
      <sheetName val="PLAN_3"/>
      <sheetName val="PLAN_4"/>
      <sheetName val="TU-GV-TU"/>
      <sheetName val="GV-IC-GV"/>
      <sheetName val="IC-CS-IC"/>
      <sheetName val="CS-WI-CS"/>
      <sheetName val="CS-CD-CS"/>
      <sheetName val="CS-EB-CS"/>
      <sheetName val="aux"/>
      <sheetName val="TRANS"/>
      <sheetName val="Real_sem01"/>
      <sheetName val="IC_Loc EFVM"/>
      <sheetName val="CDViana"/>
      <sheetName val="Padrões HH&amp;Desp"/>
      <sheetName val="Descrição"/>
      <sheetName val="#REF"/>
      <sheetName val="Plan2 (2)"/>
      <sheetName val="EFVM"/>
      <sheetName val="Comparativo Viab. RIBEIRO G."/>
      <sheetName val="Geral"/>
      <sheetName val="ASICS"/>
      <sheetName val="1999"/>
      <sheetName val="Implied"/>
      <sheetName val="Infra"/>
      <sheetName val="Tran Mat."/>
      <sheetName val="ASICS_Sum"/>
      <sheetName val="Sistema Viario"/>
      <sheetName val="Material"/>
      <sheetName val="VPL-Recolh-TRxDor-COM REPERFILA"/>
      <sheetName val="Hh"/>
      <sheetName val="Récup Avril"/>
      <sheetName val="Récup juin"/>
      <sheetName val="Récup Mai"/>
      <sheetName val="Fluxo_caixa-FCA4"/>
      <sheetName val="Memoria_14"/>
      <sheetName val="Plurianual_de_trilhos-24"/>
      <sheetName val="Plurianual_de_trilhos-EFC4"/>
      <sheetName val="BDI_e_tributos3"/>
      <sheetName val="Comp_Unit_2"/>
      <sheetName val="CUSTO_MO2"/>
      <sheetName val="200_0242"/>
      <sheetName val="200_0262"/>
      <sheetName val="200_0322"/>
      <sheetName val="210_0052"/>
      <sheetName val="bdi_(edital_2)2"/>
      <sheetName val="Eqp_Eletrica2"/>
      <sheetName val="Eqp_Tub2"/>
      <sheetName val="TUBE_산출_INPUT_DATA2"/>
      <sheetName val="MOB-2_112"/>
      <sheetName val="BM012_Sul_2"/>
      <sheetName val="MC_Sul2"/>
      <sheetName val="Fluxo_caixa-FCA3"/>
      <sheetName val="Memoria_13"/>
      <sheetName val="Plurianual_de_trilhos-23"/>
      <sheetName val="Plurianual_de_trilhos-EFC3"/>
      <sheetName val="BDI_e_tributos2"/>
      <sheetName val="Comp_Unit_1"/>
      <sheetName val="CUSTO_MO1"/>
      <sheetName val="200_0241"/>
      <sheetName val="200_0261"/>
      <sheetName val="200_0321"/>
      <sheetName val="210_0051"/>
      <sheetName val="bdi_(edital_2)1"/>
      <sheetName val="Eqp_Eletrica1"/>
      <sheetName val="Eqp_Tub1"/>
      <sheetName val="TUBE_산출_INPUT_DATA1"/>
      <sheetName val="MOB-2_111"/>
      <sheetName val="BM012_Sul_1"/>
      <sheetName val="MC_Sul1"/>
      <sheetName val="Fluxo_caixa-FCA5"/>
      <sheetName val="Memoria_15"/>
      <sheetName val="Plurianual_de_trilhos-25"/>
      <sheetName val="Plurianual_de_trilhos-EFC5"/>
      <sheetName val="BDI_e_tributos4"/>
      <sheetName val="Comp_Unit_3"/>
      <sheetName val="CUSTO_MO3"/>
      <sheetName val="200_0243"/>
      <sheetName val="200_0263"/>
      <sheetName val="200_0323"/>
      <sheetName val="210_0053"/>
      <sheetName val="bdi_(edital_2)3"/>
      <sheetName val="Eqp_Eletrica3"/>
      <sheetName val="Eqp_Tub3"/>
      <sheetName val="TUBE_산출_INPUT_DATA3"/>
      <sheetName val="MOB-2_113"/>
      <sheetName val="BM012_Sul_3"/>
      <sheetName val="MC_Sul3"/>
      <sheetName val="Fluxo_caixa-FCA6"/>
      <sheetName val="Memoria_16"/>
      <sheetName val="Plurianual_de_trilhos-26"/>
      <sheetName val="Plurianual_de_trilhos-EFC6"/>
      <sheetName val="BDI_e_tributos5"/>
      <sheetName val="Comp_Unit_4"/>
      <sheetName val="CUSTO_MO4"/>
      <sheetName val="200_0244"/>
      <sheetName val="200_0264"/>
      <sheetName val="200_0324"/>
      <sheetName val="210_0054"/>
      <sheetName val="bdi_(edital_2)4"/>
      <sheetName val="Eqp_Eletrica4"/>
      <sheetName val="Eqp_Tub4"/>
      <sheetName val="TUBE_산출_INPUT_DATA4"/>
      <sheetName val="MOB-2_114"/>
      <sheetName val="BM012_Sul_4"/>
      <sheetName val="MC_Sul4"/>
      <sheetName val="Fluxo_caixa-FCA7"/>
      <sheetName val="Memoria_17"/>
      <sheetName val="Plurianual_de_trilhos-27"/>
      <sheetName val="Plurianual_de_trilhos-EFC7"/>
      <sheetName val="BDI_e_tributos6"/>
      <sheetName val="Comp_Unit_5"/>
      <sheetName val="CUSTO_MO5"/>
      <sheetName val="200_0245"/>
      <sheetName val="200_0265"/>
      <sheetName val="200_0325"/>
      <sheetName val="210_0055"/>
      <sheetName val="bdi_(edital_2)5"/>
      <sheetName val="Eqp_Eletrica5"/>
      <sheetName val="Eqp_Tub5"/>
      <sheetName val="TUBE_산출_INPUT_DATA5"/>
      <sheetName val="MOB-2_115"/>
      <sheetName val="BM012_Sul_5"/>
      <sheetName val="MC_Sul5"/>
      <sheetName val="Fluxo_caixa-FCA8"/>
      <sheetName val="Memoria_18"/>
      <sheetName val="Plurianual_de_trilhos-28"/>
      <sheetName val="Plurianual_de_trilhos-EFC8"/>
      <sheetName val="BDI_e_tributos7"/>
      <sheetName val="Comp_Unit_6"/>
      <sheetName val="CUSTO_MO6"/>
      <sheetName val="200_0246"/>
      <sheetName val="200_0266"/>
      <sheetName val="200_0326"/>
      <sheetName val="210_0056"/>
      <sheetName val="bdi_(edital_2)6"/>
      <sheetName val="Eqp_Eletrica6"/>
      <sheetName val="Eqp_Tub6"/>
      <sheetName val="TUBE_산출_INPUT_DATA6"/>
      <sheetName val="MOB-2_116"/>
      <sheetName val="BM012_Sul_6"/>
      <sheetName val="MC_Sul6"/>
      <sheetName val="Fluxo_caixa-FCA9"/>
      <sheetName val="Memoria_19"/>
      <sheetName val="Plurianual_de_trilhos-29"/>
      <sheetName val="Plurianual_de_trilhos-EFC9"/>
      <sheetName val="BDI_e_tributos8"/>
      <sheetName val="Comp_Unit_7"/>
      <sheetName val="CUSTO_MO7"/>
      <sheetName val="200_0247"/>
      <sheetName val="200_0267"/>
      <sheetName val="200_0327"/>
      <sheetName val="210_0057"/>
      <sheetName val="bdi_(edital_2)7"/>
      <sheetName val="Eqp_Eletrica7"/>
      <sheetName val="Eqp_Tub7"/>
      <sheetName val="TUBE_산출_INPUT_DATA7"/>
      <sheetName val="MOB-2_117"/>
      <sheetName val="BM012_Sul_7"/>
      <sheetName val="MC_Sul7"/>
      <sheetName val="Fluxo_caixa-FCA10"/>
      <sheetName val="Memoria_110"/>
      <sheetName val="Plurianual_de_trilhos-210"/>
      <sheetName val="Plurianual_de_trilhos-EFC10"/>
      <sheetName val="BDI_e_tributos9"/>
      <sheetName val="Comp_Unit_8"/>
      <sheetName val="CUSTO_MO8"/>
      <sheetName val="200_0248"/>
      <sheetName val="200_0268"/>
      <sheetName val="200_0328"/>
      <sheetName val="210_0058"/>
      <sheetName val="bdi_(edital_2)8"/>
      <sheetName val="Eqp_Eletrica8"/>
      <sheetName val="Eqp_Tub8"/>
      <sheetName val="TUBE_산출_INPUT_DATA8"/>
      <sheetName val="MOB-2_118"/>
      <sheetName val="BM012_Sul_8"/>
      <sheetName val="MC_Sul8"/>
      <sheetName val="Fluxo_caixa-FCA11"/>
      <sheetName val="Memoria_111"/>
      <sheetName val="Plurianual_de_trilhos-211"/>
      <sheetName val="Plurianual_de_trilhos-EFC11"/>
      <sheetName val="BDI_e_tributos10"/>
      <sheetName val="Comp_Unit_9"/>
      <sheetName val="CUSTO_MO9"/>
      <sheetName val="200_0249"/>
      <sheetName val="200_0269"/>
      <sheetName val="200_0329"/>
      <sheetName val="210_0059"/>
      <sheetName val="bdi_(edital_2)9"/>
      <sheetName val="Eqp_Eletrica9"/>
      <sheetName val="Eqp_Tub9"/>
      <sheetName val="TUBE_산출_INPUT_DATA9"/>
      <sheetName val="MOB-2_119"/>
      <sheetName val="BM012_Sul_9"/>
      <sheetName val="MC_Sul9"/>
      <sheetName val="Fluxo_caixa-FCA12"/>
      <sheetName val="Memoria_112"/>
      <sheetName val="Plurianual_de_trilhos-212"/>
      <sheetName val="Plurianual_de_trilhos-EFC12"/>
      <sheetName val="BDI_e_tributos11"/>
      <sheetName val="Comp_Unit_10"/>
      <sheetName val="CUSTO_MO10"/>
      <sheetName val="200_02410"/>
      <sheetName val="200_02610"/>
      <sheetName val="200_03210"/>
      <sheetName val="210_00510"/>
      <sheetName val="bdi_(edital_2)10"/>
      <sheetName val="Eqp_Eletrica10"/>
      <sheetName val="Eqp_Tub10"/>
      <sheetName val="TUBE_산출_INPUT_DATA10"/>
      <sheetName val="MOB-2_1110"/>
      <sheetName val="BM012_Sul_10"/>
      <sheetName val="MC_Sul10"/>
      <sheetName val="Fluxo_caixa-FCA13"/>
      <sheetName val="Memoria_113"/>
      <sheetName val="Plurianual_de_trilhos-213"/>
      <sheetName val="Plurianual_de_trilhos-EFC13"/>
      <sheetName val="BDI_e_tributos12"/>
      <sheetName val="Comp_Unit_11"/>
      <sheetName val="CUSTO_MO11"/>
      <sheetName val="200_02411"/>
      <sheetName val="200_02611"/>
      <sheetName val="200_03211"/>
      <sheetName val="210_00511"/>
      <sheetName val="bdi_(edital_2)11"/>
      <sheetName val="Eqp_Eletrica11"/>
      <sheetName val="Eqp_Tub11"/>
      <sheetName val="TUBE_산출_INPUT_DATA11"/>
      <sheetName val="MOB-2_1111"/>
      <sheetName val="BM012_Sul_11"/>
      <sheetName val="MC_Sul11"/>
      <sheetName val="Fluxo_caixa-FCA14"/>
      <sheetName val="Memoria_114"/>
      <sheetName val="Plurianual_de_trilhos-214"/>
      <sheetName val="Plurianual_de_trilhos-EFC14"/>
      <sheetName val="BDI_e_tributos13"/>
      <sheetName val="Comp_Unit_12"/>
      <sheetName val="CUSTO_MO12"/>
      <sheetName val="200_02412"/>
      <sheetName val="200_02612"/>
      <sheetName val="200_03212"/>
      <sheetName val="210_00512"/>
      <sheetName val="bdi_(edital_2)12"/>
      <sheetName val="Eqp_Eletrica12"/>
      <sheetName val="Eqp_Tub12"/>
      <sheetName val="TUBE_산출_INPUT_DATA12"/>
      <sheetName val="MOB-2_1112"/>
      <sheetName val="BM012_Sul_12"/>
      <sheetName val="MC_Sul12"/>
      <sheetName val="cron bas 2.10"/>
    </sheetNames>
    <sheetDataSet>
      <sheetData sheetId="0" refreshError="1"/>
      <sheetData sheetId="1" refreshError="1">
        <row r="17">
          <cell r="F17">
            <v>33002.895570190944</v>
          </cell>
        </row>
        <row r="18">
          <cell r="F18">
            <v>35630.342036747003</v>
          </cell>
        </row>
        <row r="23">
          <cell r="F23">
            <v>5.4845015210695882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7">
          <cell r="F17">
            <v>276.38673564524851</v>
          </cell>
        </row>
      </sheetData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7">
          <cell r="F17">
            <v>276.38673564524851</v>
          </cell>
        </row>
      </sheetData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17">
          <cell r="F17">
            <v>276.38673564524851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17">
          <cell r="F17">
            <v>276.38673564524851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7">
          <cell r="F17">
            <v>276.38673564524851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7">
          <cell r="F17">
            <v>276.38673564524851</v>
          </cell>
        </row>
      </sheetData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7">
          <cell r="F17">
            <v>276.38673564524851</v>
          </cell>
        </row>
      </sheetData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>
        <row r="17">
          <cell r="F17">
            <v>276.38673564524851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>
        <row r="17">
          <cell r="F17">
            <v>276.38673564524851</v>
          </cell>
        </row>
      </sheetData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17">
          <cell r="F17">
            <v>276.38673564524851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17">
          <cell r="F17">
            <v>276.38673564524851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17">
          <cell r="F17">
            <v>276.38673564524851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>
        <row r="17">
          <cell r="F17">
            <v>276.38673564524851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17">
          <cell r="F17">
            <v>276.38673564524851</v>
          </cell>
        </row>
      </sheetData>
      <sheetData sheetId="333"/>
      <sheetData sheetId="3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QQP"/>
      <sheetName val="PRICE LIST MO CORRETIVAS"/>
      <sheetName val="PRICE LIST MATERIAL"/>
      <sheetName val="QQP EQUIP HABITUAIS"/>
      <sheetName val="QQP EQUIP COMODATOS"/>
      <sheetName val="PRICE LIST SERVICOS"/>
      <sheetName val="PRICE LIST HE"/>
    </sheetNames>
    <sheetDataSet>
      <sheetData sheetId="0">
        <row r="2">
          <cell r="A2" t="str">
            <v>Valor total (R$)</v>
          </cell>
          <cell r="C2">
            <v>5000</v>
          </cell>
          <cell r="D2" t="str">
            <v>Despesas reembolsáveis - Viagens</v>
          </cell>
          <cell r="E2" t="str">
            <v>SV</v>
          </cell>
        </row>
        <row r="3">
          <cell r="C3">
            <v>5001</v>
          </cell>
          <cell r="D3" t="str">
            <v>ACA 122 - OS 029</v>
          </cell>
          <cell r="E3" t="str">
            <v>SV</v>
          </cell>
        </row>
        <row r="4">
          <cell r="C4">
            <v>5002</v>
          </cell>
          <cell r="D4" t="str">
            <v>ACA 122 - OS 009</v>
          </cell>
          <cell r="E4" t="str">
            <v>SV</v>
          </cell>
        </row>
        <row r="5">
          <cell r="C5">
            <v>5003</v>
          </cell>
          <cell r="D5" t="str">
            <v>ACA 122 - OS 043</v>
          </cell>
          <cell r="E5" t="str">
            <v>SV</v>
          </cell>
        </row>
        <row r="6">
          <cell r="C6">
            <v>5004</v>
          </cell>
          <cell r="D6" t="str">
            <v>ACA 122 - OS 053</v>
          </cell>
          <cell r="E6" t="str">
            <v>SV</v>
          </cell>
        </row>
        <row r="7">
          <cell r="C7">
            <v>5005</v>
          </cell>
          <cell r="D7" t="str">
            <v>ACA 122 - OS 062</v>
          </cell>
          <cell r="E7" t="str">
            <v>SV</v>
          </cell>
        </row>
        <row r="8">
          <cell r="C8">
            <v>5006</v>
          </cell>
          <cell r="D8" t="str">
            <v>ACA 122 - OS 040</v>
          </cell>
          <cell r="E8" t="str">
            <v>SV</v>
          </cell>
        </row>
        <row r="9">
          <cell r="C9">
            <v>5007</v>
          </cell>
          <cell r="D9" t="str">
            <v>ACA 122 - OS 024</v>
          </cell>
          <cell r="E9" t="str">
            <v>SV</v>
          </cell>
        </row>
        <row r="10">
          <cell r="C10">
            <v>5008</v>
          </cell>
          <cell r="D10" t="str">
            <v>ACA 122 - OS 037</v>
          </cell>
          <cell r="E10" t="str">
            <v>SV</v>
          </cell>
        </row>
        <row r="11">
          <cell r="C11">
            <v>5009</v>
          </cell>
          <cell r="D11" t="str">
            <v>ACA 122 - OS 038</v>
          </cell>
          <cell r="E11" t="str">
            <v>SV</v>
          </cell>
        </row>
        <row r="12">
          <cell r="C12">
            <v>5010</v>
          </cell>
          <cell r="D12" t="str">
            <v>ACA 122 - OS 047</v>
          </cell>
          <cell r="E12" t="str">
            <v>SV</v>
          </cell>
        </row>
        <row r="13">
          <cell r="C13">
            <v>5011</v>
          </cell>
          <cell r="D13" t="str">
            <v>ACA 122 - OS 051</v>
          </cell>
          <cell r="E13" t="str">
            <v>SV</v>
          </cell>
        </row>
        <row r="14">
          <cell r="C14">
            <v>5012</v>
          </cell>
          <cell r="D14" t="str">
            <v>ACA 122 - OS 060</v>
          </cell>
          <cell r="E14" t="str">
            <v>SV</v>
          </cell>
        </row>
        <row r="15">
          <cell r="C15">
            <v>5013</v>
          </cell>
          <cell r="D15" t="str">
            <v>ACA 122 - OS 032</v>
          </cell>
          <cell r="E15" t="str">
            <v>SV</v>
          </cell>
        </row>
        <row r="16">
          <cell r="C16">
            <v>5014</v>
          </cell>
          <cell r="D16" t="str">
            <v>ACA 122 - OS 031</v>
          </cell>
          <cell r="E16" t="str">
            <v>SV</v>
          </cell>
        </row>
        <row r="17">
          <cell r="C17">
            <v>5015</v>
          </cell>
          <cell r="D17" t="str">
            <v>ACA 122 - OS 033</v>
          </cell>
          <cell r="E17" t="str">
            <v>SV</v>
          </cell>
        </row>
        <row r="18">
          <cell r="C18">
            <v>5016</v>
          </cell>
          <cell r="D18" t="str">
            <v>ACA 122 - OS 035</v>
          </cell>
          <cell r="E18" t="str">
            <v>SV</v>
          </cell>
        </row>
        <row r="19">
          <cell r="C19">
            <v>5017</v>
          </cell>
          <cell r="D19" t="str">
            <v>ACA 122 - OS 045</v>
          </cell>
          <cell r="E19" t="str">
            <v>SV</v>
          </cell>
        </row>
        <row r="20">
          <cell r="C20">
            <v>5018</v>
          </cell>
          <cell r="D20" t="str">
            <v>ACA 122 - OS 039</v>
          </cell>
          <cell r="E20" t="str">
            <v>SV</v>
          </cell>
        </row>
        <row r="21">
          <cell r="C21">
            <v>5019</v>
          </cell>
          <cell r="D21" t="str">
            <v>ACA 122 - OS 046</v>
          </cell>
          <cell r="E21" t="str">
            <v>SV</v>
          </cell>
        </row>
        <row r="22">
          <cell r="C22">
            <v>5020</v>
          </cell>
          <cell r="D22" t="str">
            <v>ACA 122 - OS 048</v>
          </cell>
          <cell r="E22" t="str">
            <v>SV</v>
          </cell>
        </row>
        <row r="23">
          <cell r="C23">
            <v>5021</v>
          </cell>
          <cell r="D23" t="str">
            <v>ACA 122 - OS 036</v>
          </cell>
          <cell r="E23" t="str">
            <v>SV</v>
          </cell>
        </row>
        <row r="24">
          <cell r="C24">
            <v>5022</v>
          </cell>
          <cell r="D24" t="str">
            <v>ACA 122 - OS 049</v>
          </cell>
          <cell r="E24" t="str">
            <v>SV</v>
          </cell>
        </row>
        <row r="25">
          <cell r="C25">
            <v>5023</v>
          </cell>
          <cell r="D25" t="str">
            <v>ACA 122 - OS 050</v>
          </cell>
          <cell r="E25" t="str">
            <v>SV</v>
          </cell>
        </row>
        <row r="26">
          <cell r="C26">
            <v>5024</v>
          </cell>
          <cell r="D26" t="str">
            <v>ACA 122 - OS 055</v>
          </cell>
          <cell r="E26" t="str">
            <v>SV</v>
          </cell>
        </row>
        <row r="27">
          <cell r="C27">
            <v>5025</v>
          </cell>
          <cell r="D27" t="str">
            <v>ACA 122 - OS 057</v>
          </cell>
          <cell r="E27" t="str">
            <v>SV</v>
          </cell>
        </row>
        <row r="28">
          <cell r="C28">
            <v>5026</v>
          </cell>
          <cell r="D28" t="str">
            <v>ACA 122 - OS 059</v>
          </cell>
          <cell r="E28" t="str">
            <v>SV</v>
          </cell>
        </row>
        <row r="29">
          <cell r="C29">
            <v>5027</v>
          </cell>
          <cell r="D29" t="str">
            <v>ACA 122 - OS 059</v>
          </cell>
          <cell r="E29" t="str">
            <v>SV</v>
          </cell>
        </row>
        <row r="30">
          <cell r="C30">
            <v>5028</v>
          </cell>
          <cell r="D30" t="str">
            <v>ACA 122 - OS 063</v>
          </cell>
          <cell r="E30" t="str">
            <v>SV</v>
          </cell>
        </row>
        <row r="31">
          <cell r="C31">
            <v>5029</v>
          </cell>
          <cell r="D31" t="str">
            <v>ACA 122 - OS 064</v>
          </cell>
          <cell r="E31" t="str">
            <v>SV</v>
          </cell>
        </row>
        <row r="32">
          <cell r="C32">
            <v>5030</v>
          </cell>
          <cell r="D32" t="str">
            <v>ACA 122 - OS 066</v>
          </cell>
          <cell r="E32" t="str">
            <v>SV</v>
          </cell>
        </row>
        <row r="33">
          <cell r="C33">
            <v>5031</v>
          </cell>
          <cell r="D33" t="str">
            <v>ACA 122 - OS 067</v>
          </cell>
          <cell r="E33" t="str">
            <v>SV</v>
          </cell>
        </row>
        <row r="34">
          <cell r="C34">
            <v>5032</v>
          </cell>
          <cell r="D34" t="str">
            <v>ACA 122 - OS 068</v>
          </cell>
          <cell r="E34" t="str">
            <v>SV</v>
          </cell>
        </row>
        <row r="35">
          <cell r="C35">
            <v>5033</v>
          </cell>
          <cell r="D35" t="str">
            <v>ACA 122 - OS 069</v>
          </cell>
          <cell r="E35" t="str">
            <v>SV</v>
          </cell>
        </row>
        <row r="36">
          <cell r="C36">
            <v>5034</v>
          </cell>
          <cell r="D36" t="str">
            <v>ACA 122 - OS 070</v>
          </cell>
          <cell r="E36" t="str">
            <v>SV</v>
          </cell>
        </row>
        <row r="37">
          <cell r="C37">
            <v>5035</v>
          </cell>
          <cell r="D37" t="str">
            <v>ACA 122 - OS 071</v>
          </cell>
          <cell r="E37" t="str">
            <v>SV</v>
          </cell>
        </row>
        <row r="38">
          <cell r="C38">
            <v>5036</v>
          </cell>
          <cell r="D38" t="str">
            <v>ACA 122 - OS 073</v>
          </cell>
          <cell r="E38" t="str">
            <v>SV</v>
          </cell>
        </row>
        <row r="39">
          <cell r="C39">
            <v>5037</v>
          </cell>
          <cell r="D39" t="str">
            <v>ACA 122 - OS 074</v>
          </cell>
          <cell r="E39" t="str">
            <v>SV</v>
          </cell>
        </row>
        <row r="40">
          <cell r="C40">
            <v>5038</v>
          </cell>
          <cell r="D40" t="str">
            <v>ACA 122 - OS 076</v>
          </cell>
          <cell r="E40" t="str">
            <v>SV</v>
          </cell>
        </row>
        <row r="41">
          <cell r="C41">
            <v>5039</v>
          </cell>
          <cell r="D41" t="str">
            <v>ACA 122 - OS 078</v>
          </cell>
          <cell r="E41" t="str">
            <v>SV</v>
          </cell>
        </row>
        <row r="42">
          <cell r="C42">
            <v>5040</v>
          </cell>
          <cell r="D42" t="str">
            <v>ACA 122 - OS 080</v>
          </cell>
          <cell r="E42" t="str">
            <v>SV</v>
          </cell>
        </row>
        <row r="43">
          <cell r="C43">
            <v>5041</v>
          </cell>
          <cell r="D43" t="str">
            <v>ACA 122 - OS 077</v>
          </cell>
          <cell r="E43" t="str">
            <v>SV</v>
          </cell>
        </row>
        <row r="44">
          <cell r="C44">
            <v>5042</v>
          </cell>
          <cell r="D44" t="str">
            <v>ACA 122 - OS 079</v>
          </cell>
          <cell r="E44" t="str">
            <v>SV</v>
          </cell>
        </row>
        <row r="45">
          <cell r="C45">
            <v>5043</v>
          </cell>
          <cell r="D45" t="str">
            <v>ACA 122 - OS 072</v>
          </cell>
          <cell r="E45" t="str">
            <v>SV</v>
          </cell>
        </row>
        <row r="46">
          <cell r="C46">
            <v>5044</v>
          </cell>
          <cell r="D46" t="str">
            <v>ACA 122 - OS 081</v>
          </cell>
          <cell r="E46" t="str">
            <v>SV</v>
          </cell>
        </row>
        <row r="47">
          <cell r="C47">
            <v>5045</v>
          </cell>
          <cell r="D47" t="str">
            <v>ACA 122 - OS 082</v>
          </cell>
          <cell r="E47" t="str">
            <v>SV</v>
          </cell>
        </row>
        <row r="48">
          <cell r="C48">
            <v>5046</v>
          </cell>
          <cell r="D48" t="str">
            <v>ACA 122 - OS 075</v>
          </cell>
          <cell r="E48" t="str">
            <v>SV</v>
          </cell>
        </row>
        <row r="49">
          <cell r="C49">
            <v>5047</v>
          </cell>
          <cell r="D49" t="str">
            <v>ACA 122 - OS 083</v>
          </cell>
          <cell r="E49" t="str">
            <v>SV</v>
          </cell>
        </row>
        <row r="50">
          <cell r="C50">
            <v>5048</v>
          </cell>
          <cell r="D50" t="str">
            <v>ACA 122 - OS 085</v>
          </cell>
          <cell r="E50" t="str">
            <v>SV</v>
          </cell>
        </row>
        <row r="51">
          <cell r="C51">
            <v>5049</v>
          </cell>
          <cell r="D51" t="str">
            <v>Adequação sist. resíduos sólidos urbanos</v>
          </cell>
          <cell r="E51" t="str">
            <v>SV</v>
          </cell>
        </row>
        <row r="52">
          <cell r="C52">
            <v>5050</v>
          </cell>
          <cell r="D52" t="str">
            <v>Estudo Ambiental</v>
          </cell>
          <cell r="E52" t="str">
            <v>SV</v>
          </cell>
        </row>
        <row r="53">
          <cell r="C53">
            <v>5051</v>
          </cell>
          <cell r="D53" t="str">
            <v>Estudo dos impactos socioeconômicos</v>
          </cell>
          <cell r="E53" t="str">
            <v>SV</v>
          </cell>
        </row>
        <row r="54">
          <cell r="C54">
            <v>5052</v>
          </cell>
          <cell r="D54" t="str">
            <v>Fornecimento de Vale Transporte</v>
          </cell>
          <cell r="E54" t="str">
            <v>SV</v>
          </cell>
        </row>
        <row r="55">
          <cell r="C55">
            <v>5053</v>
          </cell>
          <cell r="D55" t="str">
            <v>Mobilização de voluntários</v>
          </cell>
          <cell r="E55" t="str">
            <v>SV</v>
          </cell>
        </row>
        <row r="56">
          <cell r="C56">
            <v>5054</v>
          </cell>
          <cell r="D56" t="str">
            <v>Programação visual e design gráfico</v>
          </cell>
          <cell r="E56" t="str">
            <v>SV</v>
          </cell>
        </row>
        <row r="57">
          <cell r="C57">
            <v>5055</v>
          </cell>
          <cell r="D57" t="str">
            <v>Repasse de verba</v>
          </cell>
          <cell r="E57" t="str">
            <v>SV</v>
          </cell>
        </row>
        <row r="58">
          <cell r="C58">
            <v>5056</v>
          </cell>
          <cell r="D58" t="str">
            <v>Serv. manutenção e suporte Portal Vale</v>
          </cell>
          <cell r="E58" t="str">
            <v>SV</v>
          </cell>
        </row>
        <row r="59">
          <cell r="C59">
            <v>5057</v>
          </cell>
          <cell r="D59" t="str">
            <v>Serv téc especializados - Socioeconomia</v>
          </cell>
          <cell r="E59" t="str">
            <v>SV</v>
          </cell>
        </row>
        <row r="60">
          <cell r="C60">
            <v>5058</v>
          </cell>
          <cell r="D60" t="str">
            <v>Vale Alimentação</v>
          </cell>
          <cell r="E60" t="str">
            <v>SV</v>
          </cell>
        </row>
        <row r="61">
          <cell r="C61">
            <v>5059</v>
          </cell>
          <cell r="D61" t="str">
            <v>Vale Refeição</v>
          </cell>
          <cell r="E61" t="str">
            <v>SV</v>
          </cell>
        </row>
        <row r="62">
          <cell r="C62">
            <v>3000000</v>
          </cell>
          <cell r="D62" t="str">
            <v>ASSINATURA ACESSO INFORMACAO ELETRONICA</v>
          </cell>
          <cell r="E62" t="str">
            <v>SV</v>
          </cell>
        </row>
        <row r="63">
          <cell r="C63">
            <v>3000001</v>
          </cell>
          <cell r="D63" t="str">
            <v>ADMIN.DE CONDOMINIO/MANUTENCAO INFRA-EST</v>
          </cell>
          <cell r="E63" t="str">
            <v>SV</v>
          </cell>
        </row>
        <row r="64">
          <cell r="C64">
            <v>3000002</v>
          </cell>
          <cell r="D64" t="str">
            <v>SERVICO DE APOIO A EVENTO</v>
          </cell>
          <cell r="E64" t="str">
            <v>SV</v>
          </cell>
        </row>
        <row r="65">
          <cell r="C65">
            <v>3000003</v>
          </cell>
          <cell r="D65" t="str">
            <v>APOIO ADMINISTRATIVO E DE SECRETARIADO</v>
          </cell>
          <cell r="E65" t="str">
            <v>SV</v>
          </cell>
        </row>
        <row r="66">
          <cell r="C66">
            <v>3000004</v>
          </cell>
          <cell r="D66" t="str">
            <v>SERVICO DE ENTRETENIMENTOS</v>
          </cell>
          <cell r="E66" t="str">
            <v>SV</v>
          </cell>
        </row>
        <row r="67">
          <cell r="C67">
            <v>3000005</v>
          </cell>
          <cell r="D67" t="str">
            <v>SERVICO DE GESTAO DE ARQUIVO DE DOCUMENT</v>
          </cell>
          <cell r="E67" t="str">
            <v>SV</v>
          </cell>
        </row>
        <row r="68">
          <cell r="C68">
            <v>3000006</v>
          </cell>
          <cell r="D68" t="str">
            <v>INTERPRETE/TRADUCAO SIMULTANEA DE TEXTO</v>
          </cell>
          <cell r="E68" t="str">
            <v>SV</v>
          </cell>
        </row>
        <row r="69">
          <cell r="C69">
            <v>3000007</v>
          </cell>
          <cell r="D69" t="str">
            <v>FORNECIMENTO DE AGUA EM CAMINHAO PIPA</v>
          </cell>
          <cell r="E69" t="str">
            <v>SV</v>
          </cell>
        </row>
        <row r="70">
          <cell r="C70">
            <v>3000008</v>
          </cell>
          <cell r="D70" t="str">
            <v>SERVICO DE CHAVEIRO</v>
          </cell>
          <cell r="E70" t="str">
            <v>SV</v>
          </cell>
        </row>
        <row r="71">
          <cell r="C71">
            <v>3000009</v>
          </cell>
          <cell r="D71" t="str">
            <v>SERVICO DE COSTUREIRA</v>
          </cell>
          <cell r="E71" t="str">
            <v>SV</v>
          </cell>
        </row>
        <row r="72">
          <cell r="C72">
            <v>3000010</v>
          </cell>
          <cell r="D72" t="str">
            <v>SERVICO DE DECORACAO/DESIGN DE INTERIOR</v>
          </cell>
          <cell r="E72" t="str">
            <v>SV</v>
          </cell>
        </row>
        <row r="73">
          <cell r="C73">
            <v>3000011</v>
          </cell>
          <cell r="D73" t="str">
            <v>SERVICO DE ESTACIONAMENTO</v>
          </cell>
          <cell r="E73" t="str">
            <v>SV</v>
          </cell>
        </row>
        <row r="74">
          <cell r="C74">
            <v>3000012</v>
          </cell>
          <cell r="D74" t="str">
            <v>MANUTENCAO DE CAPOTARIA E ESTOFAMENTO</v>
          </cell>
          <cell r="E74" t="str">
            <v>SV</v>
          </cell>
        </row>
        <row r="75">
          <cell r="C75">
            <v>3000013</v>
          </cell>
          <cell r="D75" t="str">
            <v>VIGILANCIA SANITARIA - ALIMENTO/ESTABELE</v>
          </cell>
          <cell r="E75" t="str">
            <v>SV</v>
          </cell>
        </row>
        <row r="76">
          <cell r="C76">
            <v>3000014</v>
          </cell>
          <cell r="D76" t="str">
            <v>SERVICO DE SEGURADORA</v>
          </cell>
          <cell r="E76" t="str">
            <v>SV</v>
          </cell>
        </row>
        <row r="77">
          <cell r="C77">
            <v>3000015</v>
          </cell>
          <cell r="D77" t="str">
            <v>SERVICO DE TELEMARKETING</v>
          </cell>
          <cell r="E77" t="str">
            <v>SV</v>
          </cell>
        </row>
        <row r="78">
          <cell r="C78">
            <v>3000016</v>
          </cell>
          <cell r="D78" t="str">
            <v>SERVICO DE ANALISE DE CREDITO</v>
          </cell>
          <cell r="E78" t="str">
            <v>SV</v>
          </cell>
        </row>
        <row r="79">
          <cell r="C79">
            <v>3000017</v>
          </cell>
          <cell r="D79" t="str">
            <v>SERVICO FINANCEIRO E CONTABIL</v>
          </cell>
          <cell r="E79" t="str">
            <v>SV</v>
          </cell>
        </row>
        <row r="80">
          <cell r="C80">
            <v>3000018</v>
          </cell>
          <cell r="D80" t="str">
            <v>CARTAO DE CAIXA PEQUENO</v>
          </cell>
          <cell r="E80" t="str">
            <v>SV</v>
          </cell>
        </row>
        <row r="81">
          <cell r="C81">
            <v>3000019</v>
          </cell>
          <cell r="D81" t="str">
            <v>CARTAO DE COMPRAS</v>
          </cell>
          <cell r="E81" t="str">
            <v>SV</v>
          </cell>
        </row>
        <row r="82">
          <cell r="C82">
            <v>3000020</v>
          </cell>
          <cell r="D82" t="str">
            <v>CARTAO DE CREDITO CORPORATIVO</v>
          </cell>
          <cell r="E82" t="str">
            <v>SV</v>
          </cell>
        </row>
        <row r="83">
          <cell r="C83">
            <v>3000021</v>
          </cell>
          <cell r="D83" t="str">
            <v>VERBA DE REPRESENTACAO</v>
          </cell>
          <cell r="E83" t="str">
            <v>SV</v>
          </cell>
        </row>
        <row r="84">
          <cell r="C84">
            <v>3000022</v>
          </cell>
          <cell r="D84" t="str">
            <v>CARTAO ESCOLAR</v>
          </cell>
          <cell r="E84" t="str">
            <v>SV</v>
          </cell>
        </row>
        <row r="85">
          <cell r="C85">
            <v>3000023</v>
          </cell>
          <cell r="D85" t="str">
            <v>SERVICO DE GERENCIAMENTO DE OBRA</v>
          </cell>
          <cell r="E85" t="str">
            <v>SV</v>
          </cell>
        </row>
        <row r="86">
          <cell r="C86">
            <v>3000024</v>
          </cell>
          <cell r="D86" t="str">
            <v>SERVICO DE GERENCIAMENTO EM GERAL</v>
          </cell>
          <cell r="E86" t="str">
            <v>SV</v>
          </cell>
        </row>
        <row r="87">
          <cell r="C87">
            <v>3000025</v>
          </cell>
          <cell r="D87" t="str">
            <v>ASSISTENCIA TECNICA PELO FABRICANTE</v>
          </cell>
          <cell r="E87" t="str">
            <v>SV</v>
          </cell>
        </row>
        <row r="88">
          <cell r="C88">
            <v>3000026</v>
          </cell>
          <cell r="D88" t="str">
            <v>SERVICO DE ARQUEOLOGIA EM GERAL</v>
          </cell>
          <cell r="E88" t="str">
            <v>SV</v>
          </cell>
        </row>
        <row r="89">
          <cell r="C89">
            <v>3000027</v>
          </cell>
          <cell r="D89" t="str">
            <v>SERVICO DE AEROFOTOGRAMETRIA</v>
          </cell>
          <cell r="E89" t="str">
            <v>SV</v>
          </cell>
        </row>
        <row r="90">
          <cell r="C90">
            <v>3000028</v>
          </cell>
          <cell r="D90" t="str">
            <v>SERVICO DE FOTOGRAMETRIA</v>
          </cell>
          <cell r="E90" t="str">
            <v>SV</v>
          </cell>
        </row>
        <row r="91">
          <cell r="C91">
            <v>3000029</v>
          </cell>
          <cell r="D91" t="str">
            <v>SERVICO DE IMAGEM VIA SATELITE</v>
          </cell>
          <cell r="E91" t="str">
            <v>SV</v>
          </cell>
        </row>
        <row r="92">
          <cell r="C92">
            <v>3000030</v>
          </cell>
          <cell r="D92" t="str">
            <v>IMPLANTACAO DE MARCO GEODESICO</v>
          </cell>
          <cell r="E92" t="str">
            <v>SV</v>
          </cell>
        </row>
        <row r="93">
          <cell r="C93">
            <v>3000031</v>
          </cell>
          <cell r="D93" t="str">
            <v>SERVICO DE INVESTIGACAO GEOTECNICA</v>
          </cell>
          <cell r="E93" t="str">
            <v>SV</v>
          </cell>
        </row>
        <row r="94">
          <cell r="C94">
            <v>3000032</v>
          </cell>
          <cell r="D94" t="str">
            <v>SERVICO DE LEVANTAMENTO GEOFISICO AEREO</v>
          </cell>
          <cell r="E94" t="str">
            <v>SV</v>
          </cell>
        </row>
        <row r="95">
          <cell r="C95">
            <v>3000033</v>
          </cell>
          <cell r="D95" t="str">
            <v>LEVANTAMENTO GEOFISICO TERRESTRE</v>
          </cell>
          <cell r="E95" t="str">
            <v>SV</v>
          </cell>
        </row>
        <row r="96">
          <cell r="C96">
            <v>3000034</v>
          </cell>
          <cell r="D96" t="str">
            <v>SERVICO DE APOIO GEOLOGICO</v>
          </cell>
          <cell r="E96" t="str">
            <v>SV</v>
          </cell>
        </row>
        <row r="97">
          <cell r="C97">
            <v>3000035</v>
          </cell>
          <cell r="D97" t="str">
            <v>COLETA DE AMOSTRAGEM GEOLOGICA</v>
          </cell>
          <cell r="E97" t="str">
            <v>SV</v>
          </cell>
        </row>
        <row r="98">
          <cell r="C98">
            <v>3000036</v>
          </cell>
          <cell r="D98" t="str">
            <v>SERVICO TECNICO EM GEOLOGIA</v>
          </cell>
          <cell r="E98" t="str">
            <v>SV</v>
          </cell>
        </row>
        <row r="99">
          <cell r="C99">
            <v>3000037</v>
          </cell>
          <cell r="D99" t="str">
            <v>SISTEMAS DE COMUNICACAO POR SATELITE</v>
          </cell>
          <cell r="E99" t="str">
            <v>SV</v>
          </cell>
        </row>
        <row r="100">
          <cell r="C100">
            <v>3000038</v>
          </cell>
          <cell r="D100" t="str">
            <v>ASSESSORIA AERONAUTICA EM GERAL</v>
          </cell>
          <cell r="E100" t="str">
            <v>SV</v>
          </cell>
        </row>
        <row r="101">
          <cell r="C101">
            <v>3000039</v>
          </cell>
          <cell r="D101" t="str">
            <v>SERVICO DE AUDITORIA AMBIENTAL</v>
          </cell>
          <cell r="E101" t="str">
            <v>SV</v>
          </cell>
        </row>
        <row r="102">
          <cell r="C102">
            <v>3000040</v>
          </cell>
          <cell r="D102" t="str">
            <v>AUDITORIA/CERTIFICACAO - SISTEMA GESTAO</v>
          </cell>
          <cell r="E102" t="str">
            <v>SV</v>
          </cell>
        </row>
        <row r="103">
          <cell r="C103">
            <v>3000041</v>
          </cell>
          <cell r="D103" t="str">
            <v>AUDITORIA E LAUDO DE AVALIACAO CONTABIL</v>
          </cell>
          <cell r="E103" t="str">
            <v>SV</v>
          </cell>
        </row>
        <row r="104">
          <cell r="C104">
            <v>3000042</v>
          </cell>
          <cell r="D104" t="str">
            <v>CONSULTORIA NA AREA DE ENGENHARIA CIVIL</v>
          </cell>
          <cell r="E104" t="str">
            <v>SV</v>
          </cell>
        </row>
        <row r="105">
          <cell r="C105">
            <v>3000043</v>
          </cell>
          <cell r="D105" t="str">
            <v>ASSESSORIA INFRAESTRUTURA EM TRANSPORTE</v>
          </cell>
          <cell r="E105" t="str">
            <v>SV</v>
          </cell>
        </row>
        <row r="106">
          <cell r="C106">
            <v>3000044</v>
          </cell>
          <cell r="D106" t="str">
            <v>CONSULTORIA EM COMUNICACAO CORPORATIVA</v>
          </cell>
          <cell r="E106" t="str">
            <v>SV</v>
          </cell>
        </row>
        <row r="107">
          <cell r="C107">
            <v>3000045</v>
          </cell>
          <cell r="D107" t="str">
            <v>CONSULTORIA EM CONTROLE DE QUALIDADE</v>
          </cell>
          <cell r="E107" t="str">
            <v>SV</v>
          </cell>
        </row>
        <row r="108">
          <cell r="C108">
            <v>3000046</v>
          </cell>
          <cell r="D108" t="str">
            <v>CONSULTORIA EM DRAGAGEM</v>
          </cell>
          <cell r="E108" t="str">
            <v>SV</v>
          </cell>
        </row>
        <row r="109">
          <cell r="C109">
            <v>3000047</v>
          </cell>
          <cell r="D109" t="str">
            <v>CONSULTORIA EM ENERGIA</v>
          </cell>
          <cell r="E109" t="str">
            <v>SV</v>
          </cell>
        </row>
        <row r="110">
          <cell r="C110">
            <v>3000048</v>
          </cell>
          <cell r="D110" t="str">
            <v>CONSULTORIA EM ENGENHARIA DA PRODUCAO</v>
          </cell>
          <cell r="E110" t="str">
            <v>SV</v>
          </cell>
        </row>
        <row r="111">
          <cell r="C111">
            <v>3000049</v>
          </cell>
          <cell r="D111" t="str">
            <v>CONSULTORIA EM ENG. FLORESTAL E AGROPECU</v>
          </cell>
          <cell r="E111" t="str">
            <v>SV</v>
          </cell>
        </row>
        <row r="112">
          <cell r="C112">
            <v>3000050</v>
          </cell>
          <cell r="D112" t="str">
            <v>CONSULTORIA EM ENGENHARIA NAVAL</v>
          </cell>
          <cell r="E112" t="str">
            <v>SV</v>
          </cell>
        </row>
        <row r="113">
          <cell r="C113">
            <v>3000051</v>
          </cell>
          <cell r="D113" t="str">
            <v>CONSULTORIA EM GESTAO CORPORATIVA</v>
          </cell>
          <cell r="E113" t="str">
            <v>SV</v>
          </cell>
        </row>
        <row r="114">
          <cell r="C114">
            <v>3000052</v>
          </cell>
          <cell r="D114" t="str">
            <v>CONSULTORIA EM LOGISTICA</v>
          </cell>
          <cell r="E114" t="str">
            <v>SV</v>
          </cell>
        </row>
        <row r="115">
          <cell r="C115">
            <v>3000053</v>
          </cell>
          <cell r="D115" t="str">
            <v>CONSULTORIA EM MEIO AMBIENTE</v>
          </cell>
          <cell r="E115" t="str">
            <v>SV</v>
          </cell>
        </row>
        <row r="116">
          <cell r="C116">
            <v>3000054</v>
          </cell>
          <cell r="D116" t="str">
            <v>CONSULTORIA EM MINERACAO E METALURGIA</v>
          </cell>
          <cell r="E116" t="str">
            <v>SV</v>
          </cell>
        </row>
        <row r="117">
          <cell r="C117">
            <v>3000055</v>
          </cell>
          <cell r="D117" t="str">
            <v>CONSULTORIA EM PLANEJAMENTO DE LAVRA</v>
          </cell>
          <cell r="E117" t="str">
            <v>SV</v>
          </cell>
        </row>
        <row r="118">
          <cell r="C118">
            <v>3000056</v>
          </cell>
          <cell r="D118" t="str">
            <v>CONSULTORIA EM RECURSO HUMANO</v>
          </cell>
          <cell r="E118" t="str">
            <v>SV</v>
          </cell>
        </row>
        <row r="119">
          <cell r="C119">
            <v>3000057</v>
          </cell>
          <cell r="D119" t="str">
            <v>CONSULTORIA EM RELACAO TRABALHISTA</v>
          </cell>
          <cell r="E119" t="str">
            <v>SV</v>
          </cell>
        </row>
        <row r="120">
          <cell r="C120">
            <v>3000058</v>
          </cell>
          <cell r="D120" t="str">
            <v>CONSULTORIA EM SEGURANCA E SAUDE OCUPACI</v>
          </cell>
          <cell r="E120" t="str">
            <v>SV</v>
          </cell>
        </row>
        <row r="121">
          <cell r="C121">
            <v>3000059</v>
          </cell>
          <cell r="D121" t="str">
            <v>CONSULTORIA SOCIO ECONOMICO FINANCEIRO</v>
          </cell>
          <cell r="E121" t="str">
            <v>SV</v>
          </cell>
        </row>
        <row r="122">
          <cell r="C122">
            <v>3000060</v>
          </cell>
          <cell r="D122" t="str">
            <v>AVALIACAO VIABILIDADE ECONOMICA/FINANCEI</v>
          </cell>
          <cell r="E122" t="str">
            <v>SV</v>
          </cell>
        </row>
        <row r="123">
          <cell r="C123">
            <v>3000061</v>
          </cell>
          <cell r="D123" t="str">
            <v>AVALIACAO DE VIABILIDADE TECNICA DE PROJ</v>
          </cell>
          <cell r="E123" t="str">
            <v>SV</v>
          </cell>
        </row>
        <row r="124">
          <cell r="C124">
            <v>3000062</v>
          </cell>
          <cell r="D124" t="str">
            <v>AVALIACAO E CORRETAGEM DE IMOVEL</v>
          </cell>
          <cell r="E124" t="str">
            <v>SV</v>
          </cell>
        </row>
        <row r="125">
          <cell r="C125">
            <v>3000063</v>
          </cell>
          <cell r="D125" t="str">
            <v>AVALIACAO E LAUDO EM OBRA DE ARTE</v>
          </cell>
          <cell r="E125" t="str">
            <v>SV</v>
          </cell>
        </row>
        <row r="126">
          <cell r="C126">
            <v>3000064</v>
          </cell>
          <cell r="D126" t="str">
            <v>ESTUDOS E PROJETOS - ARQUITETURA</v>
          </cell>
          <cell r="E126" t="str">
            <v>SV</v>
          </cell>
        </row>
        <row r="127">
          <cell r="C127">
            <v>3000065</v>
          </cell>
          <cell r="D127" t="str">
            <v>ESTUDOS E PROJETOS - INDUSTRIAL</v>
          </cell>
          <cell r="E127" t="str">
            <v>SV</v>
          </cell>
        </row>
        <row r="128">
          <cell r="C128">
            <v>3000066</v>
          </cell>
          <cell r="D128" t="str">
            <v>LUBRIFICACAO CENTRALIZADA</v>
          </cell>
          <cell r="E128" t="str">
            <v>SV</v>
          </cell>
        </row>
        <row r="129">
          <cell r="C129">
            <v>3000067</v>
          </cell>
          <cell r="D129" t="str">
            <v>ESTUDOS E PROJETOS - OBRA CIVIL  COM DED</v>
          </cell>
          <cell r="E129" t="str">
            <v>SV</v>
          </cell>
        </row>
        <row r="130">
          <cell r="C130">
            <v>3000068</v>
          </cell>
          <cell r="D130" t="str">
            <v>OBRA ELETROMECANICA   COM DEDUÇÃO DE MAT</v>
          </cell>
          <cell r="E130" t="str">
            <v>SV</v>
          </cell>
        </row>
        <row r="131">
          <cell r="C131">
            <v>3000069</v>
          </cell>
          <cell r="D131" t="str">
            <v>REPOTENCIAMENTO / ELETROMECANICA</v>
          </cell>
          <cell r="E131" t="str">
            <v>SV</v>
          </cell>
        </row>
        <row r="132">
          <cell r="C132">
            <v>3000070</v>
          </cell>
          <cell r="D132" t="str">
            <v>TRATAMENTO DE EFLUENTE</v>
          </cell>
          <cell r="E132" t="str">
            <v>SV</v>
          </cell>
        </row>
        <row r="133">
          <cell r="C133">
            <v>3000071</v>
          </cell>
          <cell r="D133" t="str">
            <v>ESTUDO E PROJETO AMBIENTAL</v>
          </cell>
          <cell r="E133" t="str">
            <v>SV</v>
          </cell>
        </row>
        <row r="134">
          <cell r="C134">
            <v>3000072</v>
          </cell>
          <cell r="D134" t="str">
            <v>ESTUDO E PROJETO DE ARQUITETURA</v>
          </cell>
          <cell r="E134" t="str">
            <v>SV</v>
          </cell>
        </row>
        <row r="135">
          <cell r="C135">
            <v>3000073</v>
          </cell>
          <cell r="D135" t="str">
            <v>ESTUDO/PROJ.CALCULO DE ELEMENTO FINITO</v>
          </cell>
          <cell r="E135" t="str">
            <v>SV</v>
          </cell>
        </row>
        <row r="136">
          <cell r="C136">
            <v>3000074</v>
          </cell>
          <cell r="D136" t="str">
            <v>ESTUDO E PROJ. ENG.TRAFEGO E TRANSPORTE</v>
          </cell>
          <cell r="E136" t="str">
            <v>SV</v>
          </cell>
        </row>
        <row r="137">
          <cell r="C137">
            <v>3000075</v>
          </cell>
          <cell r="D137" t="str">
            <v>ESTUDO E PROJETO DE ENGENHARIA ESTRUTURA</v>
          </cell>
          <cell r="E137" t="str">
            <v>SV</v>
          </cell>
        </row>
        <row r="138">
          <cell r="C138">
            <v>3000076</v>
          </cell>
          <cell r="D138" t="str">
            <v>ESTUDO E PROJETO-EQUIPTO DE CALDEIRARIA</v>
          </cell>
          <cell r="E138" t="str">
            <v>SV</v>
          </cell>
        </row>
        <row r="139">
          <cell r="C139">
            <v>3000077</v>
          </cell>
          <cell r="D139" t="str">
            <v>ESTUDO E PROJETO DE FERROVIA</v>
          </cell>
          <cell r="E139" t="str">
            <v>SV</v>
          </cell>
        </row>
        <row r="140">
          <cell r="C140">
            <v>3000078</v>
          </cell>
          <cell r="D140" t="str">
            <v>ESTUDO E PROJETO DE GEOLOGIA</v>
          </cell>
          <cell r="E140" t="str">
            <v>SV</v>
          </cell>
        </row>
        <row r="141">
          <cell r="C141">
            <v>3000079</v>
          </cell>
          <cell r="D141" t="str">
            <v>ESTUDO E PROJETO DE HIDROGEOLOGIA</v>
          </cell>
          <cell r="E141" t="str">
            <v>SV</v>
          </cell>
        </row>
        <row r="142">
          <cell r="C142">
            <v>3000080</v>
          </cell>
          <cell r="D142" t="str">
            <v>ESTUDO E PROJETO-LUBRIFICACAO INDUSTRIAL</v>
          </cell>
          <cell r="E142" t="str">
            <v>SV</v>
          </cell>
        </row>
        <row r="143">
          <cell r="C143">
            <v>3000081</v>
          </cell>
          <cell r="D143" t="str">
            <v>ESTUDO E PROJETO-MANUTENCAO INDUSTRIAL</v>
          </cell>
          <cell r="E143" t="str">
            <v>SV</v>
          </cell>
        </row>
        <row r="144">
          <cell r="C144">
            <v>3000082</v>
          </cell>
          <cell r="D144" t="str">
            <v>ESTUDO E PROJETO DE MECANICA DO SOLO</v>
          </cell>
          <cell r="E144" t="str">
            <v>SV</v>
          </cell>
        </row>
        <row r="145">
          <cell r="C145">
            <v>3000083</v>
          </cell>
          <cell r="D145" t="str">
            <v>ESTUDO E PROJETO-MEIO AMBIENTE -EIA/RIMA</v>
          </cell>
          <cell r="E145" t="str">
            <v>SV</v>
          </cell>
        </row>
        <row r="146">
          <cell r="C146">
            <v>3000084</v>
          </cell>
          <cell r="D146" t="str">
            <v>ESTUDO E PROJETO-MEIO AMBIENTE -RCA/PCA</v>
          </cell>
          <cell r="E146" t="str">
            <v>SV</v>
          </cell>
        </row>
        <row r="147">
          <cell r="C147">
            <v>3000085</v>
          </cell>
          <cell r="D147" t="str">
            <v>ESTUDO E PROJETO DE OBRA MARITIMA</v>
          </cell>
          <cell r="E147" t="str">
            <v>SV</v>
          </cell>
        </row>
        <row r="148">
          <cell r="C148">
            <v>3000086</v>
          </cell>
          <cell r="D148" t="str">
            <v>ESTUDO/PROJ. PLANEJ. DESENVOLVIMENTO URB</v>
          </cell>
          <cell r="E148" t="str">
            <v>SV</v>
          </cell>
        </row>
        <row r="149">
          <cell r="C149">
            <v>3000087</v>
          </cell>
          <cell r="D149" t="str">
            <v>ESTUDO/PROJ. REPOTENCIAMENTO / ELETROMEC</v>
          </cell>
          <cell r="E149" t="str">
            <v>SV</v>
          </cell>
        </row>
        <row r="150">
          <cell r="C150">
            <v>3000088</v>
          </cell>
          <cell r="D150" t="str">
            <v>ESTUDO/PROJ. REPOTENCIAMENTO DE EQUIPTO</v>
          </cell>
          <cell r="E150" t="str">
            <v>SV</v>
          </cell>
        </row>
        <row r="151">
          <cell r="C151">
            <v>3000089</v>
          </cell>
          <cell r="D151" t="str">
            <v>ESTUDO E PROJETO-SISTEMA AR CONDICIONADO</v>
          </cell>
          <cell r="E151" t="str">
            <v>SV</v>
          </cell>
        </row>
        <row r="152">
          <cell r="C152">
            <v>3000090</v>
          </cell>
          <cell r="D152" t="str">
            <v>ESTUDO E PROJETO INDUSTRIAL</v>
          </cell>
          <cell r="E152" t="str">
            <v>SV</v>
          </cell>
        </row>
        <row r="153">
          <cell r="C153">
            <v>3000091</v>
          </cell>
          <cell r="D153" t="str">
            <v>ESTUDO E PROJETO - PROCESSO DE MINERACAO</v>
          </cell>
          <cell r="E153" t="str">
            <v>SV</v>
          </cell>
        </row>
        <row r="154">
          <cell r="C154">
            <v>3000092</v>
          </cell>
          <cell r="D154" t="str">
            <v>ESTUDO E PROJETO OBRA CIVIL</v>
          </cell>
          <cell r="E154" t="str">
            <v>SV</v>
          </cell>
        </row>
        <row r="155">
          <cell r="C155">
            <v>3000093</v>
          </cell>
          <cell r="D155" t="str">
            <v>GERENCIAMENTO OBRA E PROJETO DE ENGENHAR</v>
          </cell>
          <cell r="E155" t="str">
            <v>SV</v>
          </cell>
        </row>
        <row r="156">
          <cell r="C156">
            <v>3000094</v>
          </cell>
          <cell r="D156" t="str">
            <v>PLANEJ. DE CONSERVACAO DE AREA FLORESTAL</v>
          </cell>
          <cell r="E156" t="str">
            <v>SV</v>
          </cell>
        </row>
        <row r="157">
          <cell r="C157">
            <v>3000095</v>
          </cell>
          <cell r="D157" t="str">
            <v>PLANEJ. DE CONSERVACAO RECURSO NATURAL</v>
          </cell>
          <cell r="E157" t="str">
            <v>SV</v>
          </cell>
        </row>
        <row r="158">
          <cell r="C158">
            <v>3000096</v>
          </cell>
          <cell r="D158" t="str">
            <v>CONFECCAO DE BRINDE</v>
          </cell>
          <cell r="E158" t="str">
            <v>SV</v>
          </cell>
        </row>
        <row r="159">
          <cell r="C159">
            <v>3000097</v>
          </cell>
          <cell r="D159" t="str">
            <v>SERVICO DE GESTAO COMPLETA DE EVENTO</v>
          </cell>
          <cell r="E159" t="str">
            <v>SV</v>
          </cell>
        </row>
        <row r="160">
          <cell r="C160">
            <v>3000098</v>
          </cell>
          <cell r="D160" t="str">
            <v>SERVICO DE HIDROGRAFIA</v>
          </cell>
          <cell r="E160" t="str">
            <v>SV</v>
          </cell>
        </row>
        <row r="161">
          <cell r="C161">
            <v>3000099</v>
          </cell>
          <cell r="D161" t="str">
            <v>SERVICO DE PESQUISA HIDROLOGICA</v>
          </cell>
          <cell r="E161" t="str">
            <v>SV</v>
          </cell>
        </row>
        <row r="162">
          <cell r="C162">
            <v>3000100</v>
          </cell>
          <cell r="D162" t="str">
            <v>SERVICO DE MERGULHO</v>
          </cell>
          <cell r="E162" t="str">
            <v>SV</v>
          </cell>
        </row>
        <row r="163">
          <cell r="C163">
            <v>3000101</v>
          </cell>
          <cell r="D163" t="str">
            <v>INSTALACAO/MONTAGEM-EQUIPTO TRANSMISSAO</v>
          </cell>
          <cell r="E163" t="str">
            <v>SV</v>
          </cell>
        </row>
        <row r="164">
          <cell r="C164">
            <v>3000102</v>
          </cell>
          <cell r="D164" t="str">
            <v>SISTEMA DE AR CONDICIONADO COM DEDUÇÃO D</v>
          </cell>
          <cell r="E164" t="str">
            <v>SV</v>
          </cell>
        </row>
        <row r="165">
          <cell r="C165">
            <v>3000103</v>
          </cell>
          <cell r="D165" t="str">
            <v>REFRIGERACAO/AR CONDICIONADO/AQUECIMENTO</v>
          </cell>
          <cell r="E165" t="str">
            <v>SV</v>
          </cell>
        </row>
        <row r="166">
          <cell r="C166">
            <v>3000104</v>
          </cell>
          <cell r="D166" t="str">
            <v>VENTILACAO/EXAUSTAO COM DEDUÇÃO DE MATER</v>
          </cell>
          <cell r="E166" t="str">
            <v>SV</v>
          </cell>
        </row>
        <row r="167">
          <cell r="C167">
            <v>3000105</v>
          </cell>
          <cell r="D167" t="str">
            <v>INSTALACAO EQUIPTOS VENTILACAO COM DEDUÇ</v>
          </cell>
          <cell r="E167" t="str">
            <v>SV</v>
          </cell>
        </row>
        <row r="168">
          <cell r="C168">
            <v>3000106</v>
          </cell>
          <cell r="D168" t="str">
            <v>INSTALACAO DE EQUIPTO COZINHA INDUSTRIAL</v>
          </cell>
          <cell r="E168" t="str">
            <v>SV</v>
          </cell>
        </row>
        <row r="169">
          <cell r="C169">
            <v>3000107</v>
          </cell>
          <cell r="D169" t="str">
            <v>INSTALACAO EQUIPTO ABASTECIMENTO COMBUST</v>
          </cell>
          <cell r="E169" t="str">
            <v>SV</v>
          </cell>
        </row>
        <row r="170">
          <cell r="C170">
            <v>3000108</v>
          </cell>
          <cell r="D170" t="str">
            <v>INSTALACAO EQUIPTO AUDIO-VISUAL</v>
          </cell>
          <cell r="E170" t="str">
            <v>SV</v>
          </cell>
        </row>
        <row r="171">
          <cell r="C171">
            <v>3000109</v>
          </cell>
          <cell r="D171" t="str">
            <v>INSTALACAO E MONTAGEM  DE PAINEIS</v>
          </cell>
          <cell r="E171" t="str">
            <v>SV</v>
          </cell>
        </row>
        <row r="172">
          <cell r="C172">
            <v>3000110</v>
          </cell>
          <cell r="D172" t="str">
            <v>INSTALACAO DE ELETRICOS EM GERAL</v>
          </cell>
          <cell r="E172" t="str">
            <v>SV</v>
          </cell>
        </row>
        <row r="173">
          <cell r="C173">
            <v>3000111</v>
          </cell>
          <cell r="D173" t="str">
            <v>INSTALACAO E MONTAGEM DE SUBESTACAO</v>
          </cell>
          <cell r="E173" t="str">
            <v>SV</v>
          </cell>
        </row>
        <row r="174">
          <cell r="C174">
            <v>3000112</v>
          </cell>
          <cell r="D174" t="str">
            <v>INSTALACAO DE EQUIPTO DE LABORATORIO</v>
          </cell>
          <cell r="E174" t="str">
            <v>SV</v>
          </cell>
        </row>
        <row r="175">
          <cell r="C175">
            <v>3000113</v>
          </cell>
          <cell r="D175" t="str">
            <v>INSTALACAO DE PIEZOMETRO</v>
          </cell>
          <cell r="E175" t="str">
            <v>SV</v>
          </cell>
        </row>
        <row r="176">
          <cell r="C176">
            <v>3000114</v>
          </cell>
          <cell r="D176" t="str">
            <v>INSTALACAO DE ESTACAO SISMOLOGICA</v>
          </cell>
          <cell r="E176" t="str">
            <v>SV</v>
          </cell>
        </row>
        <row r="177">
          <cell r="C177">
            <v>3000115</v>
          </cell>
          <cell r="D177" t="str">
            <v>INSTALACAO DE CIRCUITO FECHADO DE TV</v>
          </cell>
          <cell r="E177" t="str">
            <v>SV</v>
          </cell>
        </row>
        <row r="178">
          <cell r="C178">
            <v>3000116</v>
          </cell>
          <cell r="D178" t="str">
            <v>INSTALACAO DE ISOLAMENTO ACUSTICO</v>
          </cell>
          <cell r="E178" t="str">
            <v>SV</v>
          </cell>
        </row>
        <row r="179">
          <cell r="C179">
            <v>3000117</v>
          </cell>
          <cell r="D179" t="str">
            <v>INSTALACAO DE ISOLAMENTO TERMICO</v>
          </cell>
          <cell r="E179" t="str">
            <v>SV</v>
          </cell>
        </row>
        <row r="180">
          <cell r="C180">
            <v>3000118</v>
          </cell>
          <cell r="D180" t="str">
            <v>MONTAGEM/DESMONTAGEM PAINEL E  DIVISORIA</v>
          </cell>
          <cell r="E180" t="str">
            <v>SV</v>
          </cell>
        </row>
        <row r="181">
          <cell r="C181">
            <v>3000119</v>
          </cell>
          <cell r="D181" t="str">
            <v>INSTALACAO MATERIAIS ACABAMENTO PREDIAL</v>
          </cell>
          <cell r="E181" t="str">
            <v>SV</v>
          </cell>
        </row>
        <row r="182">
          <cell r="C182">
            <v>3000120</v>
          </cell>
          <cell r="D182" t="str">
            <v>INSTALACAO DE MOBILIA DE ESCRITORIO</v>
          </cell>
          <cell r="E182" t="str">
            <v>SV</v>
          </cell>
        </row>
        <row r="183">
          <cell r="C183">
            <v>3000121</v>
          </cell>
          <cell r="D183" t="str">
            <v>INSTALACAO DE MOBILIARIO DE LABORATORIO</v>
          </cell>
          <cell r="E183" t="str">
            <v>SV</v>
          </cell>
        </row>
        <row r="184">
          <cell r="C184">
            <v>3000122</v>
          </cell>
          <cell r="D184" t="str">
            <v>INSTALAÇÃO REDE DE ALTA TENSAO/DISTRIBUI</v>
          </cell>
          <cell r="E184" t="str">
            <v>SV</v>
          </cell>
        </row>
        <row r="185">
          <cell r="C185">
            <v>3000123</v>
          </cell>
          <cell r="D185" t="str">
            <v>INSTALACAO E MONTAGEM DE REFRATARIO</v>
          </cell>
          <cell r="E185" t="str">
            <v>SV</v>
          </cell>
        </row>
        <row r="186">
          <cell r="C186">
            <v>3000124</v>
          </cell>
          <cell r="D186" t="str">
            <v>INSTALACAO AUTOMACAO SINALIZACAO FERROVI</v>
          </cell>
          <cell r="E186" t="str">
            <v>SV</v>
          </cell>
        </row>
        <row r="187">
          <cell r="C187">
            <v>3000125</v>
          </cell>
          <cell r="D187" t="str">
            <v>INSTALACAO E MONTAGEM DE TUBO E DUTO   C</v>
          </cell>
          <cell r="E187" t="str">
            <v>SV</v>
          </cell>
        </row>
        <row r="188">
          <cell r="C188">
            <v>3000126</v>
          </cell>
          <cell r="D188" t="str">
            <v>INSTALACAO DE EQUIPAMENTO HIDRAULICO</v>
          </cell>
          <cell r="E188" t="str">
            <v>SV</v>
          </cell>
        </row>
        <row r="189">
          <cell r="C189">
            <v>3000127</v>
          </cell>
          <cell r="D189" t="str">
            <v>INSTALACAO MAQUINARIO INDUSTRIAL/OFICINA</v>
          </cell>
          <cell r="E189" t="str">
            <v>SV</v>
          </cell>
        </row>
        <row r="190">
          <cell r="C190">
            <v>3000128</v>
          </cell>
          <cell r="D190" t="str">
            <v>INSTALACAO DE SISTEMA DE AR COMPRIMIDO</v>
          </cell>
          <cell r="E190" t="str">
            <v>SV</v>
          </cell>
        </row>
        <row r="191">
          <cell r="C191">
            <v>3000129</v>
          </cell>
          <cell r="D191" t="str">
            <v>INSTALACAO SISTEMA DE ENERGIA/ILUMINACAO</v>
          </cell>
          <cell r="E191" t="str">
            <v>SV</v>
          </cell>
        </row>
        <row r="192">
          <cell r="C192">
            <v>3000130</v>
          </cell>
          <cell r="D192" t="str">
            <v>INSTALACAO E MONTAGEM DE SISTEMA DE GAS</v>
          </cell>
          <cell r="E192" t="str">
            <v>SV</v>
          </cell>
        </row>
        <row r="193">
          <cell r="C193">
            <v>3000131</v>
          </cell>
          <cell r="D193" t="str">
            <v>INSTALACAO SISTEMA PROTECAO CONTRA SURTO</v>
          </cell>
          <cell r="E193" t="str">
            <v>SV</v>
          </cell>
        </row>
        <row r="194">
          <cell r="C194">
            <v>3000132</v>
          </cell>
          <cell r="D194" t="str">
            <v>INSTALACAO ELETROMECANICA GRANDE PORTE</v>
          </cell>
          <cell r="E194" t="str">
            <v>SV</v>
          </cell>
        </row>
        <row r="195">
          <cell r="C195">
            <v>3000133</v>
          </cell>
          <cell r="D195" t="str">
            <v>INSTALACAO ELETROMECANICA MEDIO PORTE</v>
          </cell>
          <cell r="E195" t="str">
            <v>SV</v>
          </cell>
        </row>
        <row r="196">
          <cell r="C196">
            <v>3000134</v>
          </cell>
          <cell r="D196" t="str">
            <v>INSTAL,MONT DE PROD,PC,EQUIPS DE OBRAS</v>
          </cell>
          <cell r="E196" t="str">
            <v>SV</v>
          </cell>
        </row>
        <row r="197">
          <cell r="C197">
            <v>3000135</v>
          </cell>
          <cell r="D197" t="str">
            <v>SERVICO DE DEDETIZACAO E DESRATIZACAO</v>
          </cell>
          <cell r="E197" t="str">
            <v>SV</v>
          </cell>
        </row>
        <row r="198">
          <cell r="C198">
            <v>3000136</v>
          </cell>
          <cell r="D198" t="str">
            <v>SERVICO DE DESCONTAMINACAO</v>
          </cell>
          <cell r="E198" t="str">
            <v>SV</v>
          </cell>
        </row>
        <row r="199">
          <cell r="C199">
            <v>3000137</v>
          </cell>
          <cell r="D199" t="str">
            <v>SERVICO DE SANITIZACAO DE BANHEIRO</v>
          </cell>
          <cell r="E199" t="str">
            <v>SV</v>
          </cell>
        </row>
        <row r="200">
          <cell r="C200">
            <v>3000138</v>
          </cell>
          <cell r="D200" t="str">
            <v>SERVICO DE LIMPEZA DE VEICULO LEVE</v>
          </cell>
          <cell r="E200" t="str">
            <v>SV</v>
          </cell>
        </row>
        <row r="201">
          <cell r="C201">
            <v>3000139</v>
          </cell>
          <cell r="D201" t="str">
            <v>LIMP D MAQ,VEICULO,EQUIP,MOTOR,ELEVADOR</v>
          </cell>
          <cell r="E201" t="str">
            <v>SV</v>
          </cell>
        </row>
        <row r="202">
          <cell r="C202">
            <v>3000140</v>
          </cell>
          <cell r="D202" t="str">
            <v>SERVICO DE LAVAGEM DE TOALHA INDUSTRIAL</v>
          </cell>
          <cell r="E202" t="str">
            <v>SV</v>
          </cell>
        </row>
        <row r="203">
          <cell r="C203">
            <v>3000141</v>
          </cell>
          <cell r="D203" t="str">
            <v>SERVICO DE LAVANDERIA EM GERAL</v>
          </cell>
          <cell r="E203" t="str">
            <v>SV</v>
          </cell>
        </row>
        <row r="204">
          <cell r="C204">
            <v>3000142</v>
          </cell>
          <cell r="D204" t="str">
            <v>DESENTUPIMENTO EM GERAL</v>
          </cell>
          <cell r="E204" t="str">
            <v>SV</v>
          </cell>
        </row>
        <row r="205">
          <cell r="C205">
            <v>3000143</v>
          </cell>
          <cell r="D205" t="str">
            <v>LIMPEZA DE EQUIPAMENTO DE ALTA TENSAO</v>
          </cell>
          <cell r="E205" t="str">
            <v>SV</v>
          </cell>
        </row>
        <row r="206">
          <cell r="C206">
            <v>3000144</v>
          </cell>
          <cell r="D206" t="str">
            <v>SERVICO DE LIMPEZA DE FOSSA E TUBULACAO</v>
          </cell>
          <cell r="E206" t="str">
            <v>SV</v>
          </cell>
        </row>
        <row r="207">
          <cell r="C207">
            <v>3000145</v>
          </cell>
          <cell r="D207" t="str">
            <v>LIMPEZA INDUSTRIAL E SERVICOS DE APOIO</v>
          </cell>
          <cell r="E207" t="str">
            <v>SV</v>
          </cell>
        </row>
        <row r="208">
          <cell r="C208">
            <v>3000146</v>
          </cell>
          <cell r="D208" t="str">
            <v>LIMPEZA PREDIAL EM GERAL</v>
          </cell>
          <cell r="E208" t="str">
            <v>SV</v>
          </cell>
        </row>
        <row r="209">
          <cell r="C209">
            <v>3000147</v>
          </cell>
          <cell r="D209" t="str">
            <v>MANUTENCAO DE AREAS VERDES</v>
          </cell>
          <cell r="E209" t="str">
            <v>SV</v>
          </cell>
        </row>
        <row r="210">
          <cell r="C210">
            <v>3000148</v>
          </cell>
          <cell r="D210" t="str">
            <v>SERVICO DE COLETA DE LIXO</v>
          </cell>
          <cell r="E210" t="str">
            <v>SV</v>
          </cell>
        </row>
        <row r="211">
          <cell r="C211">
            <v>3000149</v>
          </cell>
          <cell r="D211" t="str">
            <v>ABERTURA DE PICADA</v>
          </cell>
          <cell r="E211" t="str">
            <v>SV</v>
          </cell>
        </row>
        <row r="212">
          <cell r="C212">
            <v>3000150</v>
          </cell>
          <cell r="D212" t="str">
            <v>CAPINA QUIMICA</v>
          </cell>
          <cell r="E212" t="str">
            <v>SV</v>
          </cell>
        </row>
        <row r="213">
          <cell r="C213">
            <v>3000151</v>
          </cell>
          <cell r="D213" t="str">
            <v>DESMATAMENTO</v>
          </cell>
          <cell r="E213" t="str">
            <v>SV</v>
          </cell>
        </row>
        <row r="214">
          <cell r="C214">
            <v>3000152</v>
          </cell>
          <cell r="D214" t="str">
            <v>ROCO E CAPINA MANUAL E MECANIZADA</v>
          </cell>
          <cell r="E214" t="str">
            <v>SV</v>
          </cell>
        </row>
        <row r="215">
          <cell r="C215">
            <v>3000153</v>
          </cell>
          <cell r="D215" t="str">
            <v>SERVICO DE JARDINAGEM</v>
          </cell>
          <cell r="E215" t="str">
            <v>SV</v>
          </cell>
        </row>
        <row r="216">
          <cell r="C216">
            <v>3000154</v>
          </cell>
          <cell r="D216" t="str">
            <v>SERVICO DE CARTAO ALIMENTACAO</v>
          </cell>
          <cell r="E216" t="str">
            <v>SV</v>
          </cell>
        </row>
        <row r="217">
          <cell r="C217">
            <v>3000155</v>
          </cell>
          <cell r="D217" t="str">
            <v>SERVICO DE CARTAO REFEICAO</v>
          </cell>
          <cell r="E217" t="str">
            <v>SV</v>
          </cell>
        </row>
        <row r="218">
          <cell r="C218">
            <v>3000156</v>
          </cell>
          <cell r="D218" t="str">
            <v>REFEICOES INDUSTRIAIS</v>
          </cell>
          <cell r="E218" t="str">
            <v>SV</v>
          </cell>
        </row>
        <row r="219">
          <cell r="C219">
            <v>3000157</v>
          </cell>
          <cell r="D219" t="str">
            <v>SERVICO DE CATERING</v>
          </cell>
          <cell r="E219" t="str">
            <v>SV</v>
          </cell>
        </row>
        <row r="220">
          <cell r="C220">
            <v>3000158</v>
          </cell>
          <cell r="D220" t="str">
            <v>SERVICO DE PREPARO/ENTREGA DE QUENTINHA</v>
          </cell>
          <cell r="E220" t="str">
            <v>SV</v>
          </cell>
        </row>
        <row r="221">
          <cell r="C221">
            <v>3000159</v>
          </cell>
          <cell r="D221" t="str">
            <v>SERVICO DE RESTAURANTE</v>
          </cell>
          <cell r="E221" t="str">
            <v>SV</v>
          </cell>
        </row>
        <row r="222">
          <cell r="C222">
            <v>3000160</v>
          </cell>
          <cell r="D222" t="str">
            <v>CALIBRACAO DE EQUIPAMENTO DE ANALISE EM</v>
          </cell>
          <cell r="E222" t="str">
            <v>SV</v>
          </cell>
        </row>
        <row r="223">
          <cell r="C223">
            <v>3000161</v>
          </cell>
          <cell r="D223" t="str">
            <v>CALIBRACAO DE EQUIPAMENTO DE PESAGEM</v>
          </cell>
          <cell r="E223" t="str">
            <v>SV</v>
          </cell>
        </row>
        <row r="224">
          <cell r="C224">
            <v>3000162</v>
          </cell>
          <cell r="D224" t="str">
            <v>CALIBRACAO DE EQUIPAMENTO DE RADIACAO</v>
          </cell>
          <cell r="E224" t="str">
            <v>SV</v>
          </cell>
        </row>
        <row r="225">
          <cell r="C225">
            <v>3000163</v>
          </cell>
          <cell r="D225" t="str">
            <v>CALIBRACAO DE EQUIPAMENTO DE RAIO X</v>
          </cell>
          <cell r="E225" t="str">
            <v>SV</v>
          </cell>
        </row>
        <row r="226">
          <cell r="C226">
            <v>3000164</v>
          </cell>
          <cell r="D226" t="str">
            <v>CALIBRACAO DE EQUIPAMENTO DE TEMPERATURA</v>
          </cell>
          <cell r="E226" t="str">
            <v>SV</v>
          </cell>
        </row>
        <row r="227">
          <cell r="C227">
            <v>3000165</v>
          </cell>
          <cell r="D227" t="str">
            <v>CALIBRACAO DE EQUIPAMENTO DE VAZAO</v>
          </cell>
          <cell r="E227" t="str">
            <v>SV</v>
          </cell>
        </row>
        <row r="228">
          <cell r="C228">
            <v>3000166</v>
          </cell>
          <cell r="D228" t="str">
            <v>CALIBRACAO DE EQUIPAMENTO METALURGICO</v>
          </cell>
          <cell r="E228" t="str">
            <v>SV</v>
          </cell>
        </row>
        <row r="229">
          <cell r="C229">
            <v>3000167</v>
          </cell>
          <cell r="D229" t="str">
            <v>CALIBRACAO INSTRUMENTO MEDICAO COMPRIMEN</v>
          </cell>
          <cell r="E229" t="str">
            <v>SV</v>
          </cell>
        </row>
        <row r="230">
          <cell r="C230">
            <v>3000168</v>
          </cell>
          <cell r="D230" t="str">
            <v>CALIBRACAO INSTRUMENTO DE MEDICAO-FORCA</v>
          </cell>
          <cell r="E230" t="str">
            <v>SV</v>
          </cell>
        </row>
        <row r="231">
          <cell r="C231">
            <v>3000169</v>
          </cell>
          <cell r="D231" t="str">
            <v>CALIBRACAO INSTRUMENTO MEDICAO-PRESSAO</v>
          </cell>
          <cell r="E231" t="str">
            <v>SV</v>
          </cell>
        </row>
        <row r="232">
          <cell r="C232">
            <v>3000170</v>
          </cell>
          <cell r="D232" t="str">
            <v>CALIBRACAO DE INSTRUMENTO AERONAUTICO</v>
          </cell>
          <cell r="E232" t="str">
            <v>SV</v>
          </cell>
        </row>
        <row r="233">
          <cell r="C233">
            <v>3000171</v>
          </cell>
          <cell r="D233" t="str">
            <v>CALIBRACAO INSTRUMENTO HIGIENE/SEGURANCA</v>
          </cell>
          <cell r="E233" t="str">
            <v>SV</v>
          </cell>
        </row>
        <row r="234">
          <cell r="C234">
            <v>3000172</v>
          </cell>
          <cell r="D234" t="str">
            <v>CALIBRACAO INSTRUMENTO ELETRICO/ELETRONI</v>
          </cell>
          <cell r="E234" t="str">
            <v>SV</v>
          </cell>
        </row>
        <row r="235">
          <cell r="C235">
            <v>3000173</v>
          </cell>
          <cell r="D235" t="str">
            <v>SERVICO DE MANUTENCAO DE AERONAVE</v>
          </cell>
          <cell r="E235" t="str">
            <v>SV</v>
          </cell>
        </row>
        <row r="236">
          <cell r="C236">
            <v>3000174</v>
          </cell>
          <cell r="D236" t="str">
            <v>MANUTENCAO DE MAQUINARIO AGRICOLA</v>
          </cell>
          <cell r="E236" t="str">
            <v>SV</v>
          </cell>
        </row>
        <row r="237">
          <cell r="C237">
            <v>3000175</v>
          </cell>
          <cell r="D237" t="str">
            <v>MANUTENCAO DE CALDEIRA DE RECUPERACAO</v>
          </cell>
          <cell r="E237" t="str">
            <v>SV</v>
          </cell>
        </row>
        <row r="238">
          <cell r="C238">
            <v>3000176</v>
          </cell>
          <cell r="D238" t="str">
            <v>MANUTENCAO DE CALDEIRA E BOILER</v>
          </cell>
          <cell r="E238" t="str">
            <v>SV</v>
          </cell>
        </row>
        <row r="239">
          <cell r="C239">
            <v>3000177</v>
          </cell>
          <cell r="D239" t="str">
            <v>MANUTENCAO DE EQUIPAMENTO DE VACUO</v>
          </cell>
          <cell r="E239" t="str">
            <v>SV</v>
          </cell>
        </row>
        <row r="240">
          <cell r="C240">
            <v>3000178</v>
          </cell>
          <cell r="D240" t="str">
            <v>SERV REPARO DE FORNO E FORNALHA</v>
          </cell>
          <cell r="E240" t="str">
            <v>SV</v>
          </cell>
        </row>
        <row r="241">
          <cell r="C241">
            <v>3000179</v>
          </cell>
          <cell r="D241" t="str">
            <v>SERV REPARO DE TANQUE, VASO E SILO</v>
          </cell>
          <cell r="E241" t="str">
            <v>SV</v>
          </cell>
        </row>
        <row r="242">
          <cell r="C242">
            <v>3000180</v>
          </cell>
          <cell r="D242" t="str">
            <v>SERV REPARO DE EQUIP DE MOAGEM/MOINHO</v>
          </cell>
          <cell r="E242" t="str">
            <v>SV</v>
          </cell>
        </row>
        <row r="243">
          <cell r="C243">
            <v>3000181</v>
          </cell>
          <cell r="D243" t="str">
            <v>MANUTENCAO EQUIPTO PROCESSO MINERACAO</v>
          </cell>
          <cell r="E243" t="str">
            <v>SV</v>
          </cell>
        </row>
        <row r="244">
          <cell r="C244">
            <v>3000182</v>
          </cell>
          <cell r="D244" t="str">
            <v>SERV REPARO EQUIP USINA CONCENTRACAO</v>
          </cell>
          <cell r="E244" t="str">
            <v>SV</v>
          </cell>
        </row>
        <row r="245">
          <cell r="C245">
            <v>3000183</v>
          </cell>
          <cell r="D245" t="str">
            <v>SERV REPARO DE SISTEMA DE PELOTIZACAO</v>
          </cell>
          <cell r="E245" t="str">
            <v>SV</v>
          </cell>
        </row>
        <row r="246">
          <cell r="C246">
            <v>3000184</v>
          </cell>
          <cell r="D246" t="str">
            <v>SERV REPARO - USINA DE HIDRATACAO DE CAL</v>
          </cell>
          <cell r="E246" t="str">
            <v>SV</v>
          </cell>
        </row>
        <row r="247">
          <cell r="C247">
            <v>3000185</v>
          </cell>
          <cell r="D247" t="str">
            <v>MANUTENCAO DE CAMINHAO FORA DE ESTRADA</v>
          </cell>
          <cell r="E247" t="str">
            <v>SV</v>
          </cell>
        </row>
        <row r="248">
          <cell r="C248">
            <v>3000186</v>
          </cell>
          <cell r="D248" t="str">
            <v>MANUTENCAO CARRO DE GRELHA DE MINERACAO</v>
          </cell>
          <cell r="E248" t="str">
            <v>SV</v>
          </cell>
        </row>
        <row r="249">
          <cell r="C249">
            <v>3000187</v>
          </cell>
          <cell r="D249" t="str">
            <v>SERVICO DE ENROLAMENTO DE MOTOR ELETRICO</v>
          </cell>
          <cell r="E249" t="str">
            <v>SV</v>
          </cell>
        </row>
        <row r="250">
          <cell r="C250">
            <v>3000188</v>
          </cell>
          <cell r="D250" t="str">
            <v>SERVICO DE MANUTENCAO DE ARMADURA</v>
          </cell>
          <cell r="E250" t="str">
            <v>SV</v>
          </cell>
        </row>
        <row r="251">
          <cell r="C251">
            <v>3000189</v>
          </cell>
          <cell r="D251" t="str">
            <v>MANUTENCAO DE BATERIA ELETRICA</v>
          </cell>
          <cell r="E251" t="str">
            <v>SV</v>
          </cell>
        </row>
        <row r="252">
          <cell r="C252">
            <v>3000190</v>
          </cell>
          <cell r="D252" t="str">
            <v>SERVICO DE MANUTENCAO DE BOBINA ELETRICA</v>
          </cell>
          <cell r="E252" t="str">
            <v>SV</v>
          </cell>
        </row>
        <row r="253">
          <cell r="C253">
            <v>3000191</v>
          </cell>
          <cell r="D253" t="str">
            <v>SERV REPARO DE CABINE DE ALTA TENSAO</v>
          </cell>
          <cell r="E253" t="str">
            <v>SV</v>
          </cell>
        </row>
        <row r="254">
          <cell r="C254">
            <v>3000192</v>
          </cell>
          <cell r="D254" t="str">
            <v>SERV REPARO CENTRO DISTRIBUICAO ENERGIA</v>
          </cell>
          <cell r="E254" t="str">
            <v>SV</v>
          </cell>
        </row>
        <row r="255">
          <cell r="C255">
            <v>3000193</v>
          </cell>
          <cell r="D255" t="str">
            <v>SERVICO DE MANUTENCAO DE ESTATOR</v>
          </cell>
          <cell r="E255" t="str">
            <v>SV</v>
          </cell>
        </row>
        <row r="256">
          <cell r="C256">
            <v>3000194</v>
          </cell>
          <cell r="D256" t="str">
            <v>SERV REPARO DE LINHA DE TRANSMISSAO</v>
          </cell>
          <cell r="E256" t="str">
            <v>SV</v>
          </cell>
        </row>
        <row r="257">
          <cell r="C257">
            <v>3000195</v>
          </cell>
          <cell r="D257" t="str">
            <v>MANUTENCAO MOTOR/GERADOR ALTA TENSAO</v>
          </cell>
          <cell r="E257" t="str">
            <v>SV</v>
          </cell>
        </row>
        <row r="258">
          <cell r="C258">
            <v>3000196</v>
          </cell>
          <cell r="D258" t="str">
            <v>MANUTENCAO MOTOR/GERADOR BAIXA TENSAO</v>
          </cell>
          <cell r="E258" t="str">
            <v>SV</v>
          </cell>
        </row>
        <row r="259">
          <cell r="C259">
            <v>3000197</v>
          </cell>
          <cell r="D259" t="str">
            <v>MANUTENCAO MOTOR/GERADOR MEDIA TENSAO</v>
          </cell>
          <cell r="E259" t="str">
            <v>SV</v>
          </cell>
        </row>
        <row r="260">
          <cell r="C260">
            <v>3000198</v>
          </cell>
          <cell r="D260" t="str">
            <v>MANUTENCAO DE OUTROS EQUIPTOS ELETRICOS</v>
          </cell>
          <cell r="E260" t="str">
            <v>SV</v>
          </cell>
        </row>
        <row r="261">
          <cell r="C261">
            <v>3000199</v>
          </cell>
          <cell r="D261" t="str">
            <v>SERV REPARO DE PAINEL ELETRICO</v>
          </cell>
          <cell r="E261" t="str">
            <v>SV</v>
          </cell>
        </row>
        <row r="262">
          <cell r="C262">
            <v>3000200</v>
          </cell>
          <cell r="D262" t="str">
            <v>SERV REPARO REDE ELETRICA DE ALTA TENSAO</v>
          </cell>
          <cell r="E262" t="str">
            <v>SV</v>
          </cell>
        </row>
        <row r="263">
          <cell r="C263">
            <v>3000201</v>
          </cell>
          <cell r="D263" t="str">
            <v>SERV REPARO REDE ELETRICA BAIXA TENSAO</v>
          </cell>
          <cell r="E263" t="str">
            <v>SV</v>
          </cell>
        </row>
        <row r="264">
          <cell r="C264">
            <v>3000202</v>
          </cell>
          <cell r="D264" t="str">
            <v>SERV REPARO REDE ELETRICA MEDIA TENSAO</v>
          </cell>
          <cell r="E264" t="str">
            <v>SV</v>
          </cell>
        </row>
        <row r="265">
          <cell r="C265">
            <v>3000203</v>
          </cell>
          <cell r="D265" t="str">
            <v>SERV REPARO DE SUBESTACAO</v>
          </cell>
          <cell r="E265" t="str">
            <v>SV</v>
          </cell>
        </row>
        <row r="266">
          <cell r="C266">
            <v>3000204</v>
          </cell>
          <cell r="D266" t="str">
            <v>SERVICO DE MANUTENCAO DE TRANSFORMADOR</v>
          </cell>
          <cell r="E266" t="str">
            <v>SV</v>
          </cell>
        </row>
        <row r="267">
          <cell r="C267">
            <v>3000205</v>
          </cell>
          <cell r="D267" t="str">
            <v>SERV REPARO TRANSMISSOR ENERGIA CINETICA</v>
          </cell>
          <cell r="E267" t="str">
            <v>SV</v>
          </cell>
        </row>
        <row r="268">
          <cell r="C268">
            <v>3000206</v>
          </cell>
          <cell r="D268" t="str">
            <v>SERV REPARO DE TURBINA</v>
          </cell>
          <cell r="E268" t="str">
            <v>SV</v>
          </cell>
        </row>
        <row r="269">
          <cell r="C269">
            <v>3000207</v>
          </cell>
          <cell r="D269" t="str">
            <v>SERV REPARO DE TURBO-ALIMENTADOR</v>
          </cell>
          <cell r="E269" t="str">
            <v>SV</v>
          </cell>
        </row>
        <row r="270">
          <cell r="C270">
            <v>3000208</v>
          </cell>
          <cell r="D270" t="str">
            <v>SERV REPARO DE TURBO-GERADOR</v>
          </cell>
          <cell r="E270" t="str">
            <v>SV</v>
          </cell>
        </row>
        <row r="271">
          <cell r="C271">
            <v>3000209</v>
          </cell>
          <cell r="D271" t="str">
            <v>MANUTENCAO DE CATRACA ELETRONICA</v>
          </cell>
          <cell r="E271" t="str">
            <v>SV</v>
          </cell>
        </row>
        <row r="272">
          <cell r="C272">
            <v>3000210</v>
          </cell>
          <cell r="D272" t="str">
            <v>MANUTENCAO DE ELETRODOMESTICO DE COZINHA</v>
          </cell>
          <cell r="E272" t="str">
            <v>SV</v>
          </cell>
        </row>
        <row r="273">
          <cell r="C273">
            <v>3000211</v>
          </cell>
          <cell r="D273" t="str">
            <v>MANUTENCAO DE EQUIPAMENTO AUDIO-VISUAL</v>
          </cell>
          <cell r="E273" t="str">
            <v>SV</v>
          </cell>
        </row>
        <row r="274">
          <cell r="C274">
            <v>3000212</v>
          </cell>
          <cell r="D274" t="str">
            <v>SERV REPARO DE SISTEMA DE DESPOEIRAMENTO</v>
          </cell>
          <cell r="E274" t="str">
            <v>SV</v>
          </cell>
        </row>
        <row r="275">
          <cell r="C275">
            <v>3000213</v>
          </cell>
          <cell r="D275" t="str">
            <v>MANUTENCAO DE TV E VIDEO</v>
          </cell>
          <cell r="E275" t="str">
            <v>SV</v>
          </cell>
        </row>
        <row r="276">
          <cell r="C276">
            <v>3000214</v>
          </cell>
          <cell r="D276" t="str">
            <v>MANUTENCAO DE BOMBA E BICO INJETOR</v>
          </cell>
          <cell r="E276" t="str">
            <v>SV</v>
          </cell>
        </row>
        <row r="277">
          <cell r="C277">
            <v>3000215</v>
          </cell>
          <cell r="D277" t="str">
            <v>MANUTENCAO DE BOMBA EM GERAL</v>
          </cell>
          <cell r="E277" t="str">
            <v>SV</v>
          </cell>
        </row>
        <row r="278">
          <cell r="C278">
            <v>3000216</v>
          </cell>
          <cell r="D278" t="str">
            <v>MANUTENCAO DE BOMBA HIDROLAVADORA</v>
          </cell>
          <cell r="E278" t="str">
            <v>SV</v>
          </cell>
        </row>
        <row r="279">
          <cell r="C279">
            <v>3000217</v>
          </cell>
          <cell r="D279" t="str">
            <v>MANUTENCAO DE CILINDRO HIDRAULICO</v>
          </cell>
          <cell r="E279" t="str">
            <v>SV</v>
          </cell>
        </row>
        <row r="280">
          <cell r="C280">
            <v>3000218</v>
          </cell>
          <cell r="D280" t="str">
            <v>MANUTENCAO DE CILINDRO PNEUMATICO</v>
          </cell>
          <cell r="E280" t="str">
            <v>SV</v>
          </cell>
        </row>
        <row r="281">
          <cell r="C281">
            <v>3000219</v>
          </cell>
          <cell r="D281" t="str">
            <v>MANUTENCAO DE EQUIPAMENTO HIDRAULICO</v>
          </cell>
          <cell r="E281" t="str">
            <v>SV</v>
          </cell>
        </row>
        <row r="282">
          <cell r="C282">
            <v>3000220</v>
          </cell>
          <cell r="D282" t="str">
            <v>MANUTENCAO DE EQUIPAMENTO PNEUMATICO</v>
          </cell>
          <cell r="E282" t="str">
            <v>SV</v>
          </cell>
        </row>
        <row r="283">
          <cell r="C283">
            <v>3000221</v>
          </cell>
          <cell r="D283" t="str">
            <v>MANUTENCAO DE BALANCA DE LABORATORIO</v>
          </cell>
          <cell r="E283" t="str">
            <v>SV</v>
          </cell>
        </row>
        <row r="284">
          <cell r="C284">
            <v>3000222</v>
          </cell>
          <cell r="D284" t="str">
            <v>MANUTENCAO DE INSTRUMENTO DE LABORATORIO</v>
          </cell>
          <cell r="E284" t="str">
            <v>SV</v>
          </cell>
        </row>
        <row r="285">
          <cell r="C285">
            <v>3000223</v>
          </cell>
          <cell r="D285" t="str">
            <v>MANUTENCAO DE EQUIPAMENTO DE LAVANDERIA</v>
          </cell>
          <cell r="E285" t="str">
            <v>SV</v>
          </cell>
        </row>
        <row r="286">
          <cell r="C286">
            <v>3000224</v>
          </cell>
          <cell r="D286" t="str">
            <v>MANUTENCAO DE EQUIPAMENTO INDUSTRIAL</v>
          </cell>
          <cell r="E286" t="str">
            <v>SV</v>
          </cell>
        </row>
        <row r="287">
          <cell r="C287">
            <v>3000225</v>
          </cell>
          <cell r="D287" t="str">
            <v>MANUTENCAO DE MAQUINA DE SOLDA</v>
          </cell>
          <cell r="E287" t="str">
            <v>SV</v>
          </cell>
        </row>
        <row r="288">
          <cell r="C288">
            <v>3000226</v>
          </cell>
          <cell r="D288" t="str">
            <v>MANUTENCAO DE MAQUINA OPERATRIZ</v>
          </cell>
          <cell r="E288" t="str">
            <v>SV</v>
          </cell>
        </row>
        <row r="289">
          <cell r="C289">
            <v>3000227</v>
          </cell>
          <cell r="D289" t="str">
            <v>MANUTENCAO DE EQUIPAMENTO DE OFICINA</v>
          </cell>
          <cell r="E289" t="str">
            <v>SV</v>
          </cell>
        </row>
        <row r="290">
          <cell r="C290">
            <v>3000228</v>
          </cell>
          <cell r="D290" t="str">
            <v>BALANCEAMENTO DE PECAS/EQUIPTO ROTATIVO</v>
          </cell>
          <cell r="E290" t="str">
            <v>SV</v>
          </cell>
        </row>
        <row r="291">
          <cell r="C291">
            <v>3000229</v>
          </cell>
          <cell r="D291" t="str">
            <v>SERVICO DE MANUTENCAO DE ACOPLAMENTO</v>
          </cell>
          <cell r="E291" t="str">
            <v>SV</v>
          </cell>
        </row>
        <row r="292">
          <cell r="C292">
            <v>3000230</v>
          </cell>
          <cell r="D292" t="str">
            <v>SERVICO DE MANUTENCAO DE COMPRESSOR</v>
          </cell>
          <cell r="E292" t="str">
            <v>SV</v>
          </cell>
        </row>
        <row r="293">
          <cell r="C293">
            <v>3000231</v>
          </cell>
          <cell r="D293" t="str">
            <v>MANUTENCAO EQUIPTO ABASTECIMENTO COMBUST</v>
          </cell>
          <cell r="E293" t="str">
            <v>SV</v>
          </cell>
        </row>
        <row r="294">
          <cell r="C294">
            <v>3000232</v>
          </cell>
          <cell r="D294" t="str">
            <v>MANUTENCAO DE REDUTOR DE VELOCIDADE</v>
          </cell>
          <cell r="E294" t="str">
            <v>SV</v>
          </cell>
        </row>
        <row r="295">
          <cell r="C295">
            <v>3000233</v>
          </cell>
          <cell r="D295" t="str">
            <v>MANUTENCAO DE BALANCA RODOVIARIA</v>
          </cell>
          <cell r="E295" t="str">
            <v>SV</v>
          </cell>
        </row>
        <row r="296">
          <cell r="C296">
            <v>3000234</v>
          </cell>
          <cell r="D296" t="str">
            <v>MANUTENCAO DE INSTRUMENTO DE MEDICAO</v>
          </cell>
          <cell r="E296" t="str">
            <v>SV</v>
          </cell>
        </row>
        <row r="297">
          <cell r="C297">
            <v>3000235</v>
          </cell>
          <cell r="D297" t="str">
            <v>MANUTENCAO DE EQUIPTO MEDICO/-HOSPITALAR</v>
          </cell>
          <cell r="E297" t="str">
            <v>SV</v>
          </cell>
        </row>
        <row r="298">
          <cell r="C298">
            <v>3000236</v>
          </cell>
          <cell r="D298" t="str">
            <v>MANUTENCAO DE DISPENSADORA DE BEBIDA</v>
          </cell>
          <cell r="E298" t="str">
            <v>SV</v>
          </cell>
        </row>
        <row r="299">
          <cell r="C299">
            <v>3000237</v>
          </cell>
          <cell r="D299" t="str">
            <v>MANUTENCAO EM EQUIPAMENTO DE COZINHA</v>
          </cell>
          <cell r="E299" t="str">
            <v>SV</v>
          </cell>
        </row>
        <row r="300">
          <cell r="C300">
            <v>3000238</v>
          </cell>
          <cell r="D300" t="str">
            <v>MANUTENCAO DE EQUIPTO COMBATE A INCENDIO</v>
          </cell>
          <cell r="E300" t="str">
            <v>SV</v>
          </cell>
        </row>
        <row r="301">
          <cell r="C301">
            <v>3000239</v>
          </cell>
          <cell r="D301" t="str">
            <v>MANUTENCAO DE EQUIPAMENTO DE VIGILANCIA</v>
          </cell>
          <cell r="E301" t="str">
            <v>SV</v>
          </cell>
        </row>
        <row r="302">
          <cell r="C302">
            <v>3000240</v>
          </cell>
          <cell r="D302" t="str">
            <v>MANUTENCAO INSTRUMENTO HIGIENE/SEGURANCA</v>
          </cell>
          <cell r="E302" t="str">
            <v>SV</v>
          </cell>
        </row>
        <row r="303">
          <cell r="C303">
            <v>3000241</v>
          </cell>
          <cell r="D303" t="str">
            <v>MANUTENCAO SISTEMA CONTROLE DE ACESSO</v>
          </cell>
          <cell r="E303" t="str">
            <v>SV</v>
          </cell>
        </row>
        <row r="304">
          <cell r="C304">
            <v>3000242</v>
          </cell>
          <cell r="D304" t="str">
            <v>MANUTENCAO SIST. SINALIZACAO TRAFEGO AER</v>
          </cell>
          <cell r="E304" t="str">
            <v>SV</v>
          </cell>
        </row>
        <row r="305">
          <cell r="C305">
            <v>3000243</v>
          </cell>
          <cell r="D305" t="str">
            <v>MANUTENCAO SIST. SINALIZACAO TRAFEGO FER</v>
          </cell>
          <cell r="E305" t="str">
            <v>SV</v>
          </cell>
        </row>
        <row r="306">
          <cell r="C306">
            <v>3000244</v>
          </cell>
          <cell r="D306" t="str">
            <v>MANUTENCAO SIST. SINALIZACAO TRAFEGO MAR</v>
          </cell>
          <cell r="E306" t="str">
            <v>SV</v>
          </cell>
        </row>
        <row r="307">
          <cell r="C307">
            <v>3000245</v>
          </cell>
          <cell r="D307" t="str">
            <v>MANUTENCAO SIST. SINALIZACAO TRAFEGO ROD</v>
          </cell>
          <cell r="E307" t="str">
            <v>SV</v>
          </cell>
        </row>
        <row r="308">
          <cell r="C308">
            <v>3000246</v>
          </cell>
          <cell r="D308" t="str">
            <v>MANUTENCAO/RECARGA DE EXTINTOR INCENDIO</v>
          </cell>
          <cell r="E308" t="str">
            <v>SV</v>
          </cell>
        </row>
        <row r="309">
          <cell r="C309">
            <v>3000247</v>
          </cell>
          <cell r="D309" t="str">
            <v>MANUTENCAO DE EQUIPAMENTO DE TOPOGRAFIA</v>
          </cell>
          <cell r="E309" t="str">
            <v>SV</v>
          </cell>
        </row>
        <row r="310">
          <cell r="C310">
            <v>3000248</v>
          </cell>
          <cell r="D310" t="str">
            <v>MANUTENCAO ALTERNADOR-VEICULO FERROVIARI</v>
          </cell>
          <cell r="E310" t="str">
            <v>SV</v>
          </cell>
        </row>
        <row r="311">
          <cell r="C311">
            <v>3000249</v>
          </cell>
          <cell r="D311" t="str">
            <v>MANUTENCAO DE MOTOR FERROVIARIO</v>
          </cell>
          <cell r="E311" t="str">
            <v>SV</v>
          </cell>
        </row>
        <row r="312">
          <cell r="C312">
            <v>3000250</v>
          </cell>
          <cell r="D312" t="str">
            <v>MANUTENCAO DE TREM E LOCOMOTIVA</v>
          </cell>
          <cell r="E312" t="str">
            <v>SV</v>
          </cell>
        </row>
        <row r="313">
          <cell r="C313">
            <v>3000251</v>
          </cell>
          <cell r="D313" t="str">
            <v>MANUTENCAO DE TRUCK FERROVIARIO</v>
          </cell>
          <cell r="E313" t="str">
            <v>SV</v>
          </cell>
        </row>
        <row r="314">
          <cell r="C314">
            <v>3000252</v>
          </cell>
          <cell r="D314" t="str">
            <v>SERVICO DE MANUTENCAO DE VAGAO</v>
          </cell>
          <cell r="E314" t="str">
            <v>SV</v>
          </cell>
        </row>
        <row r="315">
          <cell r="C315">
            <v>3000253</v>
          </cell>
          <cell r="D315" t="str">
            <v>SERVICO DE MANUTENCAO DE EMBARCACAO</v>
          </cell>
          <cell r="E315" t="str">
            <v>SV</v>
          </cell>
        </row>
        <row r="316">
          <cell r="C316">
            <v>3000254</v>
          </cell>
          <cell r="D316" t="str">
            <v>LANTERNAGEM E PINTURA DE VEICULO</v>
          </cell>
          <cell r="E316" t="str">
            <v>SV</v>
          </cell>
        </row>
        <row r="317">
          <cell r="C317">
            <v>3000255</v>
          </cell>
          <cell r="D317" t="str">
            <v>SERVICO DE MANUTENCAO DE BICICLETA</v>
          </cell>
          <cell r="E317" t="str">
            <v>SV</v>
          </cell>
        </row>
        <row r="318">
          <cell r="C318">
            <v>3000256</v>
          </cell>
          <cell r="D318" t="str">
            <v>MANUTENCAO DE CAMINHAO EM GERAL</v>
          </cell>
          <cell r="E318" t="str">
            <v>SV</v>
          </cell>
        </row>
        <row r="319">
          <cell r="C319">
            <v>3000257</v>
          </cell>
          <cell r="D319" t="str">
            <v>MANUTENCAO DE CARROCERIA DE VEICULO</v>
          </cell>
          <cell r="E319" t="str">
            <v>SV</v>
          </cell>
        </row>
        <row r="320">
          <cell r="C320">
            <v>3000258</v>
          </cell>
          <cell r="D320" t="str">
            <v>SERVICO DE MANUTENCAO DE MOTOCICLETA</v>
          </cell>
          <cell r="E320" t="str">
            <v>SV</v>
          </cell>
        </row>
        <row r="321">
          <cell r="C321">
            <v>3000259</v>
          </cell>
          <cell r="D321" t="str">
            <v>SERVICO DE MANUTENCAO DE RADIADOR</v>
          </cell>
          <cell r="E321" t="str">
            <v>SV</v>
          </cell>
        </row>
        <row r="322">
          <cell r="C322">
            <v>3000260</v>
          </cell>
          <cell r="D322" t="str">
            <v>MANUTENCAO VEICULO ESPECIAL - AMBULANCIA</v>
          </cell>
          <cell r="E322" t="str">
            <v>SV</v>
          </cell>
        </row>
        <row r="323">
          <cell r="C323">
            <v>3000261</v>
          </cell>
          <cell r="D323" t="str">
            <v>SERVICO DE MANUTENCAO DE VEICULO LEVE</v>
          </cell>
          <cell r="E323" t="str">
            <v>SV</v>
          </cell>
        </row>
        <row r="324">
          <cell r="C324">
            <v>3000262</v>
          </cell>
          <cell r="D324" t="str">
            <v>MANUTENCAO VEICULO UTILITARIO/MICRO-ONIB</v>
          </cell>
          <cell r="E324" t="str">
            <v>SV</v>
          </cell>
        </row>
        <row r="325">
          <cell r="C325">
            <v>3000263</v>
          </cell>
          <cell r="D325" t="str">
            <v>SERV REPARO CARREGADOR/DESCARREG. NAVIO</v>
          </cell>
          <cell r="E325" t="str">
            <v>SV</v>
          </cell>
        </row>
        <row r="326">
          <cell r="C326">
            <v>3000264</v>
          </cell>
          <cell r="D326" t="str">
            <v>SERV REPARO DE CORREIA TRANSPORTADORA</v>
          </cell>
          <cell r="E326" t="str">
            <v>SV</v>
          </cell>
        </row>
        <row r="327">
          <cell r="C327">
            <v>3000265</v>
          </cell>
          <cell r="D327" t="str">
            <v>SER REPARO DE ELEVADOR E ESCADA ROLANTE</v>
          </cell>
          <cell r="E327" t="str">
            <v>SV</v>
          </cell>
        </row>
        <row r="328">
          <cell r="C328">
            <v>3000266</v>
          </cell>
          <cell r="D328" t="str">
            <v>SERVICO DE MANUTENCAO DE EMPILHADEIRA</v>
          </cell>
          <cell r="E328" t="str">
            <v>SV</v>
          </cell>
        </row>
        <row r="329">
          <cell r="C329">
            <v>3000267</v>
          </cell>
          <cell r="D329" t="str">
            <v>MANUTENCAO TRATOR/ESCAVADEIRA/RETROESCAV</v>
          </cell>
          <cell r="E329" t="str">
            <v>SV</v>
          </cell>
        </row>
        <row r="330">
          <cell r="C330">
            <v>3000268</v>
          </cell>
          <cell r="D330" t="str">
            <v>SERVICO DE MANUTENCAO DE GUINDASTE</v>
          </cell>
          <cell r="E330" t="str">
            <v>SV</v>
          </cell>
        </row>
        <row r="331">
          <cell r="C331">
            <v>3000269</v>
          </cell>
          <cell r="D331" t="str">
            <v>SERVICO DE MANUTENCAO DE PONTE ROLANTE</v>
          </cell>
          <cell r="E331" t="str">
            <v>SV</v>
          </cell>
        </row>
        <row r="332">
          <cell r="C332">
            <v>3000270</v>
          </cell>
          <cell r="D332" t="str">
            <v>SERVICO DE MANUTENCAO DE RECUPERADORA</v>
          </cell>
          <cell r="E332" t="str">
            <v>SV</v>
          </cell>
        </row>
        <row r="333">
          <cell r="C333">
            <v>3000271</v>
          </cell>
          <cell r="D333" t="str">
            <v>SERVICO DE MANUTENCAO DE TALHA</v>
          </cell>
          <cell r="E333" t="str">
            <v>SV</v>
          </cell>
        </row>
        <row r="334">
          <cell r="C334">
            <v>3000272</v>
          </cell>
          <cell r="D334" t="str">
            <v>SERV REPARO CORREIA TRANSPORTADORA</v>
          </cell>
          <cell r="E334" t="str">
            <v>SV</v>
          </cell>
        </row>
        <row r="335">
          <cell r="C335">
            <v>3000273</v>
          </cell>
          <cell r="D335" t="str">
            <v>MANUT TRANSPORTADOR CORREIA-ACESSORIOS</v>
          </cell>
          <cell r="E335" t="str">
            <v>SV</v>
          </cell>
        </row>
        <row r="336">
          <cell r="C336">
            <v>3000274</v>
          </cell>
          <cell r="D336" t="str">
            <v>MANUT TRANSPORTADOR CORREIA-VULCANIZACAO</v>
          </cell>
          <cell r="E336" t="str">
            <v>SV</v>
          </cell>
        </row>
        <row r="337">
          <cell r="C337">
            <v>3000275</v>
          </cell>
          <cell r="D337" t="str">
            <v>MANUT. TRANSP.CORREIA-VULCANIZACAO FRIO</v>
          </cell>
          <cell r="E337" t="str">
            <v>SV</v>
          </cell>
        </row>
        <row r="338">
          <cell r="C338">
            <v>3000276</v>
          </cell>
          <cell r="D338" t="str">
            <v>SERV REPARO DE TRANSPORTADOR DE CORREIA</v>
          </cell>
          <cell r="E338" t="str">
            <v>SV</v>
          </cell>
        </row>
        <row r="339">
          <cell r="C339">
            <v>3000277</v>
          </cell>
          <cell r="D339" t="str">
            <v>MANUTENCAO DE FERRAMENTA DE FORCA</v>
          </cell>
          <cell r="E339" t="str">
            <v>SV</v>
          </cell>
        </row>
        <row r="340">
          <cell r="C340">
            <v>3000278</v>
          </cell>
          <cell r="D340" t="str">
            <v>MANUTENCAO DE FERRAMENTA ELETRICA</v>
          </cell>
          <cell r="E340" t="str">
            <v>SV</v>
          </cell>
        </row>
        <row r="341">
          <cell r="C341">
            <v>3000279</v>
          </cell>
          <cell r="D341" t="str">
            <v>SERVICO DE MANUTENCAO DE MOTO - SERRA</v>
          </cell>
          <cell r="E341" t="str">
            <v>SV</v>
          </cell>
        </row>
        <row r="342">
          <cell r="C342">
            <v>3000280</v>
          </cell>
          <cell r="D342" t="str">
            <v>MANUTENCAO DE INSTRUMENTO DE AVIACAO</v>
          </cell>
          <cell r="E342" t="str">
            <v>SV</v>
          </cell>
        </row>
        <row r="343">
          <cell r="C343">
            <v>3000281</v>
          </cell>
          <cell r="D343" t="str">
            <v>SERVICO DE MANUTENCAO DE MANGUEIRA</v>
          </cell>
          <cell r="E343" t="str">
            <v>SV</v>
          </cell>
        </row>
        <row r="344">
          <cell r="C344">
            <v>3000282</v>
          </cell>
          <cell r="D344" t="str">
            <v>SERV REPARO DE TUBO E DUTO</v>
          </cell>
          <cell r="E344" t="str">
            <v>SV</v>
          </cell>
        </row>
        <row r="345">
          <cell r="C345">
            <v>3000283</v>
          </cell>
          <cell r="D345" t="str">
            <v>SERVICO DE MANUTENCAO DE VALVULA</v>
          </cell>
          <cell r="E345" t="str">
            <v>SV</v>
          </cell>
        </row>
        <row r="346">
          <cell r="C346">
            <v>3000284</v>
          </cell>
          <cell r="D346" t="str">
            <v>MANUTENCAO MOBILIA ESCRITORIO/INDUSTRIAL</v>
          </cell>
          <cell r="E346" t="str">
            <v>SV</v>
          </cell>
        </row>
        <row r="347">
          <cell r="C347">
            <v>3000285</v>
          </cell>
          <cell r="D347" t="str">
            <v>SERVICO DE MANUTENCAO DE MOBILIA DE USO</v>
          </cell>
          <cell r="E347" t="str">
            <v>SV</v>
          </cell>
        </row>
        <row r="348">
          <cell r="C348">
            <v>3000286</v>
          </cell>
          <cell r="D348" t="str">
            <v>ALINHAMENTO E BALANCEAMENTO DE PNEU</v>
          </cell>
          <cell r="E348" t="str">
            <v>SV</v>
          </cell>
        </row>
        <row r="349">
          <cell r="C349">
            <v>3000287</v>
          </cell>
          <cell r="D349" t="str">
            <v>GESTAO DE PNEUS</v>
          </cell>
          <cell r="E349" t="str">
            <v>SV</v>
          </cell>
        </row>
        <row r="350">
          <cell r="C350">
            <v>3000288</v>
          </cell>
          <cell r="D350" t="str">
            <v>SERV REPARO DE VIA FERROVIARIA</v>
          </cell>
          <cell r="E350" t="str">
            <v>SV</v>
          </cell>
        </row>
        <row r="351">
          <cell r="C351">
            <v>3000289</v>
          </cell>
          <cell r="D351" t="str">
            <v>SERV REPARO DE VIA RODOVIARIA</v>
          </cell>
          <cell r="E351" t="str">
            <v>SV</v>
          </cell>
        </row>
        <row r="352">
          <cell r="C352">
            <v>3000290</v>
          </cell>
          <cell r="D352" t="str">
            <v>MANUTENCAO DE BEBEDOURO E REFRIGERADOR</v>
          </cell>
          <cell r="E352" t="str">
            <v>SV</v>
          </cell>
        </row>
        <row r="353">
          <cell r="C353">
            <v>3000291</v>
          </cell>
          <cell r="D353" t="str">
            <v>MANUTENCAO DE REFRIGERADOR INDUSTRIAL</v>
          </cell>
          <cell r="E353" t="str">
            <v>SV</v>
          </cell>
        </row>
        <row r="354">
          <cell r="C354">
            <v>3000292</v>
          </cell>
          <cell r="D354" t="str">
            <v>MANUTENCAO DE SOPRADOR TERMICO</v>
          </cell>
          <cell r="E354" t="str">
            <v>SV</v>
          </cell>
        </row>
        <row r="355">
          <cell r="C355">
            <v>3000293</v>
          </cell>
          <cell r="D355" t="str">
            <v>GERENCIAMENTO MANUT/INSTALACAO INDUSTRIA</v>
          </cell>
          <cell r="E355" t="str">
            <v>SV</v>
          </cell>
        </row>
        <row r="356">
          <cell r="C356">
            <v>3000294</v>
          </cell>
          <cell r="D356" t="str">
            <v>MANUTENCAO MAQUINA FOTOGRAFICA/FILMADORA</v>
          </cell>
          <cell r="E356" t="str">
            <v>SV</v>
          </cell>
        </row>
        <row r="357">
          <cell r="C357">
            <v>3000295</v>
          </cell>
          <cell r="D357" t="str">
            <v>SERV REPARO HIDRAULICA</v>
          </cell>
          <cell r="E357" t="str">
            <v>SV</v>
          </cell>
        </row>
        <row r="358">
          <cell r="C358">
            <v>3000296</v>
          </cell>
          <cell r="D358" t="str">
            <v>SERV REPARO PREDIAL CIVIL</v>
          </cell>
          <cell r="E358" t="str">
            <v>SV</v>
          </cell>
        </row>
        <row r="359">
          <cell r="C359">
            <v>3000297</v>
          </cell>
          <cell r="D359" t="str">
            <v>SERV REPARO PREDIAL ELETRICA</v>
          </cell>
          <cell r="E359" t="str">
            <v>SV</v>
          </cell>
        </row>
        <row r="360">
          <cell r="C360">
            <v>3000298</v>
          </cell>
          <cell r="D360" t="str">
            <v>SERVICO DE PINTURA PREDIAL</v>
          </cell>
          <cell r="E360" t="str">
            <v>SV</v>
          </cell>
        </row>
        <row r="361">
          <cell r="C361">
            <v>3000299</v>
          </cell>
          <cell r="D361" t="str">
            <v>RECONDICIONAMENTO DE PNEU - BORRACHARIA</v>
          </cell>
          <cell r="E361" t="str">
            <v>SV</v>
          </cell>
        </row>
        <row r="362">
          <cell r="C362">
            <v>3000300</v>
          </cell>
          <cell r="D362" t="str">
            <v>MANUTENCAO MOTOR DIESEL VEICULO FORA DE</v>
          </cell>
          <cell r="E362" t="str">
            <v>SV</v>
          </cell>
        </row>
        <row r="363">
          <cell r="C363">
            <v>3000301</v>
          </cell>
          <cell r="D363" t="str">
            <v>MANUTENCAO MOTOR DIESEL VEICULO UTILITAR</v>
          </cell>
          <cell r="E363" t="str">
            <v>SV</v>
          </cell>
        </row>
        <row r="364">
          <cell r="C364">
            <v>3000302</v>
          </cell>
          <cell r="D364" t="str">
            <v>RETIFICA MOTOR VEICULO FORA DE ESTRADA</v>
          </cell>
          <cell r="E364" t="str">
            <v>SV</v>
          </cell>
        </row>
        <row r="365">
          <cell r="C365">
            <v>3000303</v>
          </cell>
          <cell r="D365" t="str">
            <v>RETIFICA MOTOR VEICULO UTILITARIO/LEVE</v>
          </cell>
          <cell r="E365" t="str">
            <v>SV</v>
          </cell>
        </row>
        <row r="366">
          <cell r="C366">
            <v>3000304</v>
          </cell>
          <cell r="D366" t="str">
            <v>REFORMA E CONSERTO - PNEUS RODOVIARIOS</v>
          </cell>
          <cell r="E366" t="str">
            <v>SV</v>
          </cell>
        </row>
        <row r="367">
          <cell r="C367">
            <v>3000305</v>
          </cell>
          <cell r="D367" t="str">
            <v>REFORMA E CONSERTO-PNEUS FORA DE ESTRADA</v>
          </cell>
          <cell r="E367" t="str">
            <v>SV</v>
          </cell>
        </row>
        <row r="368">
          <cell r="C368">
            <v>3000306</v>
          </cell>
          <cell r="D368" t="str">
            <v>MONTAGEM/DESMONTAGEM EQUIPTO MOVEL MINER</v>
          </cell>
          <cell r="E368" t="str">
            <v>SV</v>
          </cell>
        </row>
        <row r="369">
          <cell r="C369">
            <v>3000307</v>
          </cell>
          <cell r="D369" t="str">
            <v>MANUTENCAO EQUIPTO MOVEL MINERACAO-LEVES</v>
          </cell>
          <cell r="E369" t="str">
            <v>SV</v>
          </cell>
        </row>
        <row r="370">
          <cell r="C370">
            <v>3000308</v>
          </cell>
          <cell r="D370" t="str">
            <v>MANUTENCAO EQUIPTO MOVEL MINERACAO-PESAD</v>
          </cell>
          <cell r="E370" t="str">
            <v>SV</v>
          </cell>
        </row>
        <row r="371">
          <cell r="C371">
            <v>3000309</v>
          </cell>
          <cell r="D371" t="str">
            <v>REFORMA EQUIPTO MOVEL/COMPON. MINERACAO</v>
          </cell>
          <cell r="E371" t="str">
            <v>SV</v>
          </cell>
        </row>
        <row r="372">
          <cell r="C372">
            <v>3000310</v>
          </cell>
          <cell r="D372" t="str">
            <v>SERVICO DE ANALISE BIOTECNOLOGICA</v>
          </cell>
          <cell r="E372" t="str">
            <v>SV</v>
          </cell>
        </row>
        <row r="373">
          <cell r="C373">
            <v>3000311</v>
          </cell>
          <cell r="D373" t="str">
            <v>SERVICO DE ANALISE DA AGUA</v>
          </cell>
          <cell r="E373" t="str">
            <v>SV</v>
          </cell>
        </row>
        <row r="374">
          <cell r="C374">
            <v>3000312</v>
          </cell>
          <cell r="D374" t="str">
            <v>SERVICO DE ANALISE DE FALHA</v>
          </cell>
          <cell r="E374" t="str">
            <v>SV</v>
          </cell>
        </row>
        <row r="375">
          <cell r="C375">
            <v>3000313</v>
          </cell>
          <cell r="D375" t="str">
            <v>SERVICO DE ANALISE DE VIBRACAO</v>
          </cell>
          <cell r="E375" t="str">
            <v>SV</v>
          </cell>
        </row>
        <row r="376">
          <cell r="C376">
            <v>3000314</v>
          </cell>
          <cell r="D376" t="str">
            <v>SERVICO DE ANALISE E TRATAMENTO DE AR</v>
          </cell>
          <cell r="E376" t="str">
            <v>SV</v>
          </cell>
        </row>
        <row r="377">
          <cell r="C377">
            <v>3000315</v>
          </cell>
          <cell r="D377" t="str">
            <v>ANALISE E TRATAMENTO DE AR CLIMATIZADO</v>
          </cell>
          <cell r="E377" t="str">
            <v>SV</v>
          </cell>
        </row>
        <row r="378">
          <cell r="C378">
            <v>3000316</v>
          </cell>
          <cell r="D378" t="str">
            <v>SERVICO DE ANALISE EM SOLO</v>
          </cell>
          <cell r="E378" t="str">
            <v>SV</v>
          </cell>
        </row>
        <row r="379">
          <cell r="C379">
            <v>3000317</v>
          </cell>
          <cell r="D379" t="str">
            <v>SERVICO DE ANALISE ESPECTROGRAFICA</v>
          </cell>
          <cell r="E379" t="str">
            <v>SV</v>
          </cell>
        </row>
        <row r="380">
          <cell r="C380">
            <v>3000318</v>
          </cell>
          <cell r="D380" t="str">
            <v>ANALISE FISICA E QUIMICA EM ESCORIA</v>
          </cell>
          <cell r="E380" t="str">
            <v>SV</v>
          </cell>
        </row>
        <row r="381">
          <cell r="C381">
            <v>3000319</v>
          </cell>
          <cell r="D381" t="str">
            <v>ANALISE FISICA E QUIMICA EM MINERIO</v>
          </cell>
          <cell r="E381" t="str">
            <v>SV</v>
          </cell>
        </row>
        <row r="382">
          <cell r="C382">
            <v>3000320</v>
          </cell>
          <cell r="D382" t="str">
            <v>ANALISE LUPA BINOCULAR A GRAO SOLTO-SOJA</v>
          </cell>
          <cell r="E382" t="str">
            <v>SV</v>
          </cell>
        </row>
        <row r="383">
          <cell r="C383">
            <v>3000321</v>
          </cell>
          <cell r="D383" t="str">
            <v>SERVICO DE ANALISE METALURGICA</v>
          </cell>
          <cell r="E383" t="str">
            <v>SV</v>
          </cell>
        </row>
        <row r="384">
          <cell r="C384">
            <v>3000322</v>
          </cell>
          <cell r="D384" t="str">
            <v>ANALISE MICROBIOLOGICA E BROMATOLOGICA</v>
          </cell>
          <cell r="E384" t="str">
            <v>SV</v>
          </cell>
        </row>
        <row r="385">
          <cell r="C385">
            <v>3000323</v>
          </cell>
          <cell r="D385" t="str">
            <v>SERVICO DE ANALISE PETROGRAFICA</v>
          </cell>
          <cell r="E385" t="str">
            <v>SV</v>
          </cell>
        </row>
        <row r="386">
          <cell r="C386">
            <v>3000324</v>
          </cell>
          <cell r="D386" t="str">
            <v>SERVICO DE CERTIFICACAO DE PRODUTO</v>
          </cell>
          <cell r="E386" t="str">
            <v>SV</v>
          </cell>
        </row>
        <row r="387">
          <cell r="C387">
            <v>3000325</v>
          </cell>
          <cell r="D387" t="str">
            <v>CONTROLE DE CONTAMINACAO EM ALIMENTO</v>
          </cell>
          <cell r="E387" t="str">
            <v>SV</v>
          </cell>
        </row>
        <row r="388">
          <cell r="C388">
            <v>3000326</v>
          </cell>
          <cell r="D388" t="str">
            <v>INSPECAO E TESTE FABRICACAO DE EQUIPTOS</v>
          </cell>
          <cell r="E388" t="str">
            <v>SV</v>
          </cell>
        </row>
        <row r="389">
          <cell r="C389">
            <v>3000327</v>
          </cell>
          <cell r="D389" t="str">
            <v>SERVICO DE INSPECAO A LASER</v>
          </cell>
          <cell r="E389" t="str">
            <v>SV</v>
          </cell>
        </row>
        <row r="390">
          <cell r="C390">
            <v>3000328</v>
          </cell>
          <cell r="D390" t="str">
            <v>INSPECAO DE NIVEL DE RADIACAO IONIZANTE</v>
          </cell>
          <cell r="E390" t="str">
            <v>SV</v>
          </cell>
        </row>
        <row r="391">
          <cell r="C391">
            <v>3000329</v>
          </cell>
          <cell r="D391" t="str">
            <v>INSPECAO NIVEL DE RADIACAO NAO-IONIZANTE</v>
          </cell>
          <cell r="E391" t="str">
            <v>SV</v>
          </cell>
        </row>
        <row r="392">
          <cell r="C392">
            <v>3000330</v>
          </cell>
          <cell r="D392" t="str">
            <v>SERVICO DE INSPECAO DE NIVEL DE RUIDO</v>
          </cell>
          <cell r="E392" t="str">
            <v>SV</v>
          </cell>
        </row>
        <row r="393">
          <cell r="C393">
            <v>3000331</v>
          </cell>
          <cell r="D393" t="str">
            <v>INSPECAO DE SEGURANCA EM CALDEIRA</v>
          </cell>
          <cell r="E393" t="str">
            <v>SV</v>
          </cell>
        </row>
        <row r="394">
          <cell r="C394">
            <v>3000332</v>
          </cell>
          <cell r="D394" t="str">
            <v>SERVICO DE INSPECAO DE TUBULACAO</v>
          </cell>
          <cell r="E394" t="str">
            <v>SV</v>
          </cell>
        </row>
        <row r="395">
          <cell r="C395">
            <v>3000333</v>
          </cell>
          <cell r="D395" t="str">
            <v>INSPECAO EQUIPTO GERACAO ENERGIA ELETRIC</v>
          </cell>
          <cell r="E395" t="str">
            <v>SV</v>
          </cell>
        </row>
        <row r="396">
          <cell r="C396">
            <v>3000334</v>
          </cell>
          <cell r="D396" t="str">
            <v>SERVICO DE INSPECAO EM METAL</v>
          </cell>
          <cell r="E396" t="str">
            <v>SV</v>
          </cell>
        </row>
        <row r="397">
          <cell r="C397">
            <v>3000335</v>
          </cell>
          <cell r="D397" t="str">
            <v>SERVICO DE INSPECAO POR ULTRA SOM</v>
          </cell>
          <cell r="E397" t="str">
            <v>SV</v>
          </cell>
        </row>
        <row r="398">
          <cell r="C398">
            <v>3000336</v>
          </cell>
          <cell r="D398" t="str">
            <v>SERVICO DE INSPECAO PREDIAL</v>
          </cell>
          <cell r="E398" t="str">
            <v>SV</v>
          </cell>
        </row>
        <row r="399">
          <cell r="C399">
            <v>3000337</v>
          </cell>
          <cell r="D399" t="str">
            <v>SERVICO DE INSPECAO SUB AQUATICA</v>
          </cell>
          <cell r="E399" t="str">
            <v>SV</v>
          </cell>
        </row>
        <row r="400">
          <cell r="C400">
            <v>3000338</v>
          </cell>
          <cell r="D400" t="str">
            <v>SERVICO DE INSPECAO TERMOGRAFICA</v>
          </cell>
          <cell r="E400" t="str">
            <v>SV</v>
          </cell>
        </row>
        <row r="401">
          <cell r="C401">
            <v>3000339</v>
          </cell>
          <cell r="D401" t="str">
            <v>SERVICO DE ENFERMAGEM E FARMACEUTICO</v>
          </cell>
          <cell r="E401" t="str">
            <v>SV</v>
          </cell>
        </row>
        <row r="402">
          <cell r="C402">
            <v>3000340</v>
          </cell>
          <cell r="D402" t="str">
            <v>COLOCACAO DE PROTESE ORTOPEDICA</v>
          </cell>
          <cell r="E402" t="str">
            <v>SV</v>
          </cell>
        </row>
        <row r="403">
          <cell r="C403">
            <v>3000341</v>
          </cell>
          <cell r="D403" t="str">
            <v>SERVICO MEDICO VETERINARIO</v>
          </cell>
          <cell r="E403" t="str">
            <v>SV</v>
          </cell>
        </row>
        <row r="404">
          <cell r="C404">
            <v>3000342</v>
          </cell>
          <cell r="D404" t="str">
            <v>SERVICO MEDICO, DENTISTA E TERAPEUTA</v>
          </cell>
          <cell r="E404" t="str">
            <v>SV</v>
          </cell>
        </row>
        <row r="405">
          <cell r="C405">
            <v>3000343</v>
          </cell>
          <cell r="D405" t="str">
            <v>SERVICO DE ANALISE CLINICA EM LABORATORI</v>
          </cell>
          <cell r="E405" t="str">
            <v>SV</v>
          </cell>
        </row>
        <row r="406">
          <cell r="C406">
            <v>3000344</v>
          </cell>
          <cell r="D406" t="str">
            <v>SERVICO MEDICO EM CLINICA PARTICULAR</v>
          </cell>
          <cell r="E406" t="str">
            <v>SV</v>
          </cell>
        </row>
        <row r="407">
          <cell r="C407">
            <v>3000345</v>
          </cell>
          <cell r="D407" t="str">
            <v>SERVICO MEDICO EM HOSPITAL E CLINICA</v>
          </cell>
          <cell r="E407" t="str">
            <v>SV</v>
          </cell>
        </row>
        <row r="408">
          <cell r="C408">
            <v>3000346</v>
          </cell>
          <cell r="D408" t="str">
            <v>SERVICO DE ATERRO DE RESIDUO CLASSE I</v>
          </cell>
          <cell r="E408" t="str">
            <v>SV</v>
          </cell>
        </row>
        <row r="409">
          <cell r="C409">
            <v>3000347</v>
          </cell>
          <cell r="D409" t="str">
            <v>SERVICO DE ATERRO DE RESIDUO CLASSE II</v>
          </cell>
          <cell r="E409" t="str">
            <v>SV</v>
          </cell>
        </row>
        <row r="410">
          <cell r="C410">
            <v>3000348</v>
          </cell>
          <cell r="D410" t="str">
            <v>SERVICO DE BLENDAGEM DE RESIDUO CLASSE I</v>
          </cell>
          <cell r="E410" t="str">
            <v>SV</v>
          </cell>
        </row>
        <row r="411">
          <cell r="C411">
            <v>3000349</v>
          </cell>
          <cell r="D411" t="str">
            <v>BLENDAGEM DE RESIDUO CLASSE II</v>
          </cell>
          <cell r="E411" t="str">
            <v>SV</v>
          </cell>
        </row>
        <row r="412">
          <cell r="C412">
            <v>3000350</v>
          </cell>
          <cell r="D412" t="str">
            <v>INCINERACAO DE RESIDUOS CLASSE I E II</v>
          </cell>
          <cell r="E412" t="str">
            <v>SV</v>
          </cell>
        </row>
        <row r="413">
          <cell r="C413">
            <v>3000351</v>
          </cell>
          <cell r="D413" t="str">
            <v>SERVICO DE COLETA DE LIXO EM GERAL</v>
          </cell>
          <cell r="E413" t="str">
            <v>SV</v>
          </cell>
        </row>
        <row r="414">
          <cell r="C414">
            <v>3000352</v>
          </cell>
          <cell r="D414" t="str">
            <v>MANUSEIO/ACONDICIONAM. RESIDUO CLASSE I</v>
          </cell>
          <cell r="E414" t="str">
            <v>SV</v>
          </cell>
        </row>
        <row r="415">
          <cell r="C415">
            <v>3000353</v>
          </cell>
          <cell r="D415" t="str">
            <v>MANUSEIO/ACONDICIONAM. RESIDUO CLASSE II</v>
          </cell>
          <cell r="E415" t="str">
            <v>SV</v>
          </cell>
        </row>
        <row r="416">
          <cell r="C416">
            <v>3000354</v>
          </cell>
          <cell r="D416" t="str">
            <v>SERVICO DE LEVANTAMENTO DE FAUNA E FLORA</v>
          </cell>
          <cell r="E416" t="str">
            <v>SV</v>
          </cell>
        </row>
        <row r="417">
          <cell r="C417">
            <v>3000355</v>
          </cell>
          <cell r="D417" t="str">
            <v>SERVICO DE MONITORAMENTO AMBIENTAL</v>
          </cell>
          <cell r="E417" t="str">
            <v>SV</v>
          </cell>
        </row>
        <row r="418">
          <cell r="C418">
            <v>3000356</v>
          </cell>
          <cell r="D418" t="str">
            <v>OPER. FLORESTAL-MANUT. FLORESTA EUCALIPT</v>
          </cell>
          <cell r="E418" t="str">
            <v>SV</v>
          </cell>
        </row>
        <row r="419">
          <cell r="C419">
            <v>3000357</v>
          </cell>
          <cell r="D419" t="str">
            <v>SERVICO DE COMPOSTAGEM DE RESIDUOS</v>
          </cell>
          <cell r="E419" t="str">
            <v>SV</v>
          </cell>
        </row>
        <row r="420">
          <cell r="C420">
            <v>3000358</v>
          </cell>
          <cell r="D420" t="str">
            <v>CO-PROCESSAMENTO DE RESIDUOS CLASSE I</v>
          </cell>
          <cell r="E420" t="str">
            <v>SV</v>
          </cell>
        </row>
        <row r="421">
          <cell r="C421">
            <v>3000359</v>
          </cell>
          <cell r="D421" t="str">
            <v>CO-PROCESSAMENTO DE RESIDUOS CLASSE II</v>
          </cell>
          <cell r="E421" t="str">
            <v>SV</v>
          </cell>
        </row>
        <row r="422">
          <cell r="C422">
            <v>3000360</v>
          </cell>
          <cell r="D422" t="str">
            <v>CO-PROCESSAMENTO DE RESIDUOS OLEOSOS</v>
          </cell>
          <cell r="E422" t="str">
            <v>SV</v>
          </cell>
        </row>
        <row r="423">
          <cell r="C423">
            <v>3000361</v>
          </cell>
          <cell r="D423" t="str">
            <v>SERVICO DE RECICLAGEM DE RESIDUOS</v>
          </cell>
          <cell r="E423" t="str">
            <v>SV</v>
          </cell>
        </row>
        <row r="424">
          <cell r="C424">
            <v>3000362</v>
          </cell>
          <cell r="D424" t="str">
            <v>REPROCESSAMENTO DE BATERIA E PILHA</v>
          </cell>
          <cell r="E424" t="str">
            <v>SV</v>
          </cell>
        </row>
        <row r="425">
          <cell r="C425">
            <v>3000363</v>
          </cell>
          <cell r="D425" t="str">
            <v>SERVICO DE REPROCESSAMENTO DE BORRACHA</v>
          </cell>
          <cell r="E425" t="str">
            <v>SV</v>
          </cell>
        </row>
        <row r="426">
          <cell r="C426">
            <v>3000364</v>
          </cell>
          <cell r="D426" t="str">
            <v>REPROCESSAMENTO DE LAMA E LODO</v>
          </cell>
          <cell r="E426" t="str">
            <v>SV</v>
          </cell>
        </row>
        <row r="427">
          <cell r="C427">
            <v>3000365</v>
          </cell>
          <cell r="D427" t="str">
            <v>SERVICO DE REPROCESSAMENTO DE LAMPADA</v>
          </cell>
          <cell r="E427" t="str">
            <v>SV</v>
          </cell>
        </row>
        <row r="428">
          <cell r="C428">
            <v>3000366</v>
          </cell>
          <cell r="D428" t="str">
            <v>REPROCESSAMENTO OUTRO RESIDUO CLASSE II</v>
          </cell>
          <cell r="E428" t="str">
            <v>SV</v>
          </cell>
        </row>
        <row r="429">
          <cell r="C429">
            <v>3000367</v>
          </cell>
          <cell r="D429" t="str">
            <v>SERVICO DE REPROCESSAMENTO DE PAPEL E PA</v>
          </cell>
          <cell r="E429" t="str">
            <v>SV</v>
          </cell>
        </row>
        <row r="430">
          <cell r="C430">
            <v>3000368</v>
          </cell>
          <cell r="D430" t="str">
            <v>SERVICO DE REPROCESSAMENTO DE PLASTICO</v>
          </cell>
          <cell r="E430" t="str">
            <v>SV</v>
          </cell>
        </row>
        <row r="431">
          <cell r="C431">
            <v>3000369</v>
          </cell>
          <cell r="D431" t="str">
            <v>REPROCESSAMENTO DE RERREFINO DE OLEO</v>
          </cell>
          <cell r="E431" t="str">
            <v>SV</v>
          </cell>
        </row>
        <row r="432">
          <cell r="C432">
            <v>3000370</v>
          </cell>
          <cell r="D432" t="str">
            <v>REPROCESSAMENTO DE RESIDUOS PERIGOSOS</v>
          </cell>
          <cell r="E432" t="str">
            <v>SV</v>
          </cell>
        </row>
        <row r="433">
          <cell r="C433">
            <v>3000371</v>
          </cell>
          <cell r="D433" t="str">
            <v>REPROCESSAMENTO DE RESIDUOS REFRATARIOS</v>
          </cell>
          <cell r="E433" t="str">
            <v>SV</v>
          </cell>
        </row>
        <row r="434">
          <cell r="C434">
            <v>3000372</v>
          </cell>
          <cell r="D434" t="str">
            <v>REPROCESSAMENTO SUCATA METALICA/NAO META</v>
          </cell>
          <cell r="E434" t="str">
            <v>SV</v>
          </cell>
        </row>
        <row r="435">
          <cell r="C435">
            <v>3000373</v>
          </cell>
          <cell r="D435" t="str">
            <v>PROTECAO, CONTROLE E SEGURANCA AMBIENTAL</v>
          </cell>
          <cell r="E435" t="str">
            <v>SV</v>
          </cell>
        </row>
        <row r="436">
          <cell r="C436">
            <v>3000374</v>
          </cell>
          <cell r="D436" t="str">
            <v>SERVICO DE CATA DE SEMENTE</v>
          </cell>
          <cell r="E436" t="str">
            <v>SV</v>
          </cell>
        </row>
        <row r="437">
          <cell r="C437">
            <v>3000375</v>
          </cell>
          <cell r="D437" t="str">
            <v>SERVICO DE CONTROLE BIOLOGICO</v>
          </cell>
          <cell r="E437" t="str">
            <v>SV</v>
          </cell>
        </row>
        <row r="438">
          <cell r="C438">
            <v>3000376</v>
          </cell>
          <cell r="D438" t="str">
            <v>SERVICO DE FITOTECNIA</v>
          </cell>
          <cell r="E438" t="str">
            <v>SV</v>
          </cell>
        </row>
        <row r="439">
          <cell r="C439">
            <v>3000377</v>
          </cell>
          <cell r="D439" t="str">
            <v>SERVICO DE PLANTIO DE MUDA</v>
          </cell>
          <cell r="E439" t="str">
            <v>SV</v>
          </cell>
        </row>
        <row r="440">
          <cell r="C440">
            <v>3000378</v>
          </cell>
          <cell r="D440" t="str">
            <v>SERVICO DE REABILITACAO DE AREA DEGRADAD</v>
          </cell>
          <cell r="E440" t="str">
            <v>SV</v>
          </cell>
        </row>
        <row r="441">
          <cell r="C441">
            <v>3000379</v>
          </cell>
          <cell r="D441" t="str">
            <v>SERVICO DE REMEDIACAO DE AREA CONTAMINAD</v>
          </cell>
          <cell r="E441" t="str">
            <v>SV</v>
          </cell>
        </row>
        <row r="442">
          <cell r="C442">
            <v>3000380</v>
          </cell>
          <cell r="D442" t="str">
            <v>TRANSPORTE DE RESIDUO CLASSE I</v>
          </cell>
          <cell r="E442" t="str">
            <v>SV</v>
          </cell>
        </row>
        <row r="443">
          <cell r="C443">
            <v>3000381</v>
          </cell>
          <cell r="D443" t="str">
            <v>TRANSPORTE DE RESIDUO CLASSE II</v>
          </cell>
          <cell r="E443" t="str">
            <v>SV</v>
          </cell>
        </row>
        <row r="444">
          <cell r="C444">
            <v>3000382</v>
          </cell>
          <cell r="D444" t="str">
            <v>MONITORAMENTO DE DETONADOR</v>
          </cell>
          <cell r="E444" t="str">
            <v>SV</v>
          </cell>
        </row>
        <row r="445">
          <cell r="C445">
            <v>3000383</v>
          </cell>
          <cell r="D445" t="str">
            <v>AGLOMERADOR DE RESIDUO MINERAL</v>
          </cell>
          <cell r="E445" t="str">
            <v>SV</v>
          </cell>
        </row>
        <row r="446">
          <cell r="C446">
            <v>3000384</v>
          </cell>
          <cell r="D446" t="str">
            <v>EXTRACAO DE MINERIO</v>
          </cell>
          <cell r="E446" t="str">
            <v>SV</v>
          </cell>
        </row>
        <row r="447">
          <cell r="C447">
            <v>3000385</v>
          </cell>
          <cell r="D447" t="str">
            <v>MONITORAMENTO PIEZOMETRICO/HIDROMETRICO</v>
          </cell>
          <cell r="E447" t="str">
            <v>SV</v>
          </cell>
        </row>
        <row r="448">
          <cell r="C448">
            <v>3000386</v>
          </cell>
          <cell r="D448" t="str">
            <v>PROCESSAMENTO E CONTROLE DE MINERIO</v>
          </cell>
          <cell r="E448" t="str">
            <v>SV</v>
          </cell>
        </row>
        <row r="449">
          <cell r="C449">
            <v>3000387</v>
          </cell>
          <cell r="D449" t="str">
            <v>REMOCAO DE ESTERIL</v>
          </cell>
          <cell r="E449" t="str">
            <v>SV</v>
          </cell>
        </row>
        <row r="450">
          <cell r="C450">
            <v>3000388</v>
          </cell>
          <cell r="D450" t="str">
            <v>INDUSTRIALIZACAO DE METAL NOBRE</v>
          </cell>
          <cell r="E450" t="str">
            <v>SV</v>
          </cell>
        </row>
        <row r="451">
          <cell r="C451">
            <v>3000389</v>
          </cell>
          <cell r="D451" t="str">
            <v>LAVRA</v>
          </cell>
          <cell r="E451" t="str">
            <v>SV</v>
          </cell>
        </row>
        <row r="452">
          <cell r="C452">
            <v>3000390</v>
          </cell>
          <cell r="D452" t="str">
            <v>PREPARACAO DE AMOSTRAS MINERIO</v>
          </cell>
          <cell r="E452" t="str">
            <v>SV</v>
          </cell>
        </row>
        <row r="453">
          <cell r="C453">
            <v>3000391</v>
          </cell>
          <cell r="D453" t="str">
            <v>CONTROLE DE AGUA E GAS EM PERFURACAO</v>
          </cell>
          <cell r="E453" t="str">
            <v>SV</v>
          </cell>
        </row>
        <row r="454">
          <cell r="C454">
            <v>3000392</v>
          </cell>
          <cell r="D454" t="str">
            <v>POCO TUBULAR CONV. ATE 150 M PROFUNDIDAD</v>
          </cell>
          <cell r="E454" t="str">
            <v>SV</v>
          </cell>
        </row>
        <row r="455">
          <cell r="C455">
            <v>3000393</v>
          </cell>
          <cell r="D455" t="str">
            <v>POCO TUBULAR PROFUNDO ACIMA 150 M PROFUN</v>
          </cell>
          <cell r="E455" t="str">
            <v>SV</v>
          </cell>
        </row>
        <row r="456">
          <cell r="C456">
            <v>3000394</v>
          </cell>
          <cell r="D456" t="str">
            <v>SONDAGEM GEOLOGICA  COM DEDUÇÃO DE MATER</v>
          </cell>
          <cell r="E456" t="str">
            <v>SV</v>
          </cell>
        </row>
        <row r="457">
          <cell r="C457">
            <v>3000395</v>
          </cell>
          <cell r="D457" t="str">
            <v>LOCACAO EQUIPAMENTOS LEVES</v>
          </cell>
          <cell r="E457" t="str">
            <v>SV</v>
          </cell>
        </row>
        <row r="458">
          <cell r="C458">
            <v>3000396</v>
          </cell>
          <cell r="D458" t="str">
            <v>LOCACAO EQUIPAMENTOS PESADOS</v>
          </cell>
          <cell r="E458" t="str">
            <v>SV</v>
          </cell>
        </row>
        <row r="459">
          <cell r="C459">
            <v>3000397</v>
          </cell>
          <cell r="D459" t="str">
            <v>FABRICACAO ESTRUTURAS METALICAS - LEVE C</v>
          </cell>
          <cell r="E459" t="str">
            <v>SV</v>
          </cell>
        </row>
        <row r="460">
          <cell r="C460">
            <v>3000398</v>
          </cell>
          <cell r="D460" t="str">
            <v>FABRICACAO ESTRUTURAS METALICAS - MEDIA</v>
          </cell>
          <cell r="E460" t="str">
            <v>SV</v>
          </cell>
        </row>
        <row r="461">
          <cell r="C461">
            <v>3000399</v>
          </cell>
          <cell r="D461" t="str">
            <v>FABRICACAO ESTRUTURAS METALICAS - PESADA</v>
          </cell>
          <cell r="E461" t="str">
            <v>SV</v>
          </cell>
        </row>
        <row r="462">
          <cell r="C462">
            <v>3000400</v>
          </cell>
          <cell r="D462" t="str">
            <v>FABRICACAO ESTUFA AGRICOLA ESTRUTURA MET</v>
          </cell>
          <cell r="E462" t="str">
            <v>SV</v>
          </cell>
        </row>
        <row r="463">
          <cell r="C463">
            <v>3000401</v>
          </cell>
          <cell r="D463" t="str">
            <v>CAPTACAO/TRATAMENTO DE AGUA/ESGOTO/DESPE</v>
          </cell>
          <cell r="E463" t="str">
            <v>SV</v>
          </cell>
        </row>
        <row r="464">
          <cell r="C464">
            <v>3000402</v>
          </cell>
          <cell r="D464" t="str">
            <v>OBRA DE DRENAGEM  COM DEDUÇÃO DE MATERIA</v>
          </cell>
          <cell r="E464" t="str">
            <v>SV</v>
          </cell>
        </row>
        <row r="465">
          <cell r="C465">
            <v>3000403</v>
          </cell>
          <cell r="D465" t="str">
            <v>SERVICO DE  CARPINTARIA PESADA</v>
          </cell>
          <cell r="E465" t="str">
            <v>SV</v>
          </cell>
        </row>
        <row r="466">
          <cell r="C466">
            <v>3000404</v>
          </cell>
          <cell r="D466" t="str">
            <v>SERVICO DE CARPINTARIA E MARCENARIA</v>
          </cell>
          <cell r="E466" t="str">
            <v>SV</v>
          </cell>
        </row>
        <row r="467">
          <cell r="C467">
            <v>3000405</v>
          </cell>
          <cell r="D467" t="str">
            <v>BARRAGEM/DIQUE TERRA CONCRETO MEDIO/GRAN</v>
          </cell>
          <cell r="E467" t="str">
            <v>SV</v>
          </cell>
        </row>
        <row r="468">
          <cell r="C468">
            <v>3000406</v>
          </cell>
          <cell r="D468" t="str">
            <v>BARRAGEM/DIQUE TERRA CONCRETO PEQ. PORTE</v>
          </cell>
          <cell r="E468" t="str">
            <v>SV</v>
          </cell>
        </row>
        <row r="469">
          <cell r="C469">
            <v>3000407</v>
          </cell>
          <cell r="D469" t="str">
            <v>CONSTRUCAO BARRAGEM/DIQUE CONCRETO MEDIO</v>
          </cell>
          <cell r="E469" t="str">
            <v>SV</v>
          </cell>
        </row>
        <row r="470">
          <cell r="C470">
            <v>3000408</v>
          </cell>
          <cell r="D470" t="str">
            <v>CONSTRUCAO BARRAGEM/DIQUE TERRA GRANDE P</v>
          </cell>
          <cell r="E470" t="str">
            <v>SV</v>
          </cell>
        </row>
        <row r="471">
          <cell r="C471">
            <v>3000409</v>
          </cell>
          <cell r="D471" t="str">
            <v>CONSTRUCAO BARRAGEM/DIQUE TERRA MEDIO PO</v>
          </cell>
          <cell r="E471" t="str">
            <v>SV</v>
          </cell>
        </row>
        <row r="472">
          <cell r="C472">
            <v>3000410</v>
          </cell>
          <cell r="D472" t="str">
            <v>CONSTRUCAO BARRAGEM/DIQUE TERRA PEQ. POR</v>
          </cell>
          <cell r="E472" t="str">
            <v>SV</v>
          </cell>
        </row>
        <row r="473">
          <cell r="C473">
            <v>3000411</v>
          </cell>
          <cell r="D473" t="str">
            <v>COBERTURA VEGETAL</v>
          </cell>
          <cell r="E473" t="str">
            <v>SV</v>
          </cell>
        </row>
        <row r="474">
          <cell r="C474">
            <v>3000412</v>
          </cell>
          <cell r="D474" t="str">
            <v>CONTENCAO E ESTABILIZACAO</v>
          </cell>
          <cell r="E474" t="str">
            <v>SV</v>
          </cell>
        </row>
        <row r="475">
          <cell r="C475">
            <v>3000413</v>
          </cell>
          <cell r="D475" t="str">
            <v>CONSTRUCAO EDIFICACAO PREDIAL-FUNDACAO</v>
          </cell>
          <cell r="E475" t="str">
            <v>SV</v>
          </cell>
        </row>
        <row r="476">
          <cell r="C476">
            <v>3000414</v>
          </cell>
          <cell r="D476" t="str">
            <v>CONSTRUCAO EDIFICACAO PREDIAL-MEDIO/GRAN</v>
          </cell>
          <cell r="E476" t="str">
            <v>SV</v>
          </cell>
        </row>
        <row r="477">
          <cell r="C477">
            <v>3000415</v>
          </cell>
          <cell r="D477" t="str">
            <v>CONSTRUCAO EDIFICACAO PREDIAL-METALICA</v>
          </cell>
          <cell r="E477" t="str">
            <v>SV</v>
          </cell>
        </row>
        <row r="478">
          <cell r="C478">
            <v>3000416</v>
          </cell>
          <cell r="D478" t="str">
            <v>CONSTRUCAO EDIFICACAO PREDIAL-PEQ. PORTE</v>
          </cell>
          <cell r="E478" t="str">
            <v>SV</v>
          </cell>
        </row>
        <row r="479">
          <cell r="C479">
            <v>3000417</v>
          </cell>
          <cell r="D479" t="str">
            <v>CONSTRUCAO OBRA INDUSTRIAL-MEDIO PORTE</v>
          </cell>
          <cell r="E479" t="str">
            <v>SV</v>
          </cell>
        </row>
        <row r="480">
          <cell r="C480">
            <v>3000418</v>
          </cell>
          <cell r="D480" t="str">
            <v>CONSTRUCAO OBRAS INDUSTRIAIS-GRANDE PORT</v>
          </cell>
          <cell r="E480" t="str">
            <v>SV</v>
          </cell>
        </row>
        <row r="481">
          <cell r="C481">
            <v>3000419</v>
          </cell>
          <cell r="D481" t="str">
            <v>CONSTRUCAO OBRAS INDUSTRIAIS-PEQ. PORTE</v>
          </cell>
          <cell r="E481" t="str">
            <v>SV</v>
          </cell>
        </row>
        <row r="482">
          <cell r="C482">
            <v>3000420</v>
          </cell>
          <cell r="D482" t="str">
            <v>PORTUARIA E OFF SHORE  COM DEDUÇÃO DE MA</v>
          </cell>
          <cell r="E482" t="str">
            <v>SV</v>
          </cell>
        </row>
        <row r="483">
          <cell r="C483">
            <v>3000421</v>
          </cell>
          <cell r="D483" t="str">
            <v>CONSTRUCAO PONTE/VIADUTO MEDIO/GRANDE PO</v>
          </cell>
          <cell r="E483" t="str">
            <v>SV</v>
          </cell>
        </row>
        <row r="484">
          <cell r="C484">
            <v>3000422</v>
          </cell>
          <cell r="D484" t="str">
            <v>CONSTRUCAO PONTE/VIADUTO PEQUENO PORTE C</v>
          </cell>
          <cell r="E484" t="str">
            <v>SV</v>
          </cell>
        </row>
        <row r="485">
          <cell r="C485">
            <v>3000423</v>
          </cell>
          <cell r="D485" t="str">
            <v>OBRAS DE ARTES (PONTES E VIADUTOS)</v>
          </cell>
          <cell r="E485" t="str">
            <v>SV</v>
          </cell>
        </row>
        <row r="486">
          <cell r="C486">
            <v>3000424</v>
          </cell>
          <cell r="D486" t="str">
            <v>CONSTRUCAO PONTE/VIADUTO METALICA - GRAN</v>
          </cell>
          <cell r="E486" t="str">
            <v>SV</v>
          </cell>
        </row>
        <row r="487">
          <cell r="C487">
            <v>3000425</v>
          </cell>
          <cell r="D487" t="str">
            <v>CONSTRUCAO PONTE/VIADUTO METALICA - PEQU</v>
          </cell>
          <cell r="E487" t="str">
            <v>SV</v>
          </cell>
        </row>
        <row r="488">
          <cell r="C488">
            <v>3000426</v>
          </cell>
          <cell r="D488" t="str">
            <v>CONSTRUCAO PONTE/VIADUTO METALICA MEDIO</v>
          </cell>
          <cell r="E488" t="str">
            <v>SV</v>
          </cell>
        </row>
        <row r="489">
          <cell r="C489">
            <v>3000427</v>
          </cell>
          <cell r="D489" t="str">
            <v>CONSTRUCAO DE TUNEL COM DEDUÇÃO DE MATER</v>
          </cell>
          <cell r="E489" t="str">
            <v>SV</v>
          </cell>
        </row>
        <row r="490">
          <cell r="C490">
            <v>3000428</v>
          </cell>
          <cell r="D490" t="str">
            <v>DRAGAGEM MARITIMA COM DEDUÇÃO DE MATERIA</v>
          </cell>
          <cell r="E490" t="str">
            <v>SV</v>
          </cell>
        </row>
        <row r="491">
          <cell r="C491">
            <v>3000429</v>
          </cell>
          <cell r="D491" t="str">
            <v>LEVANTAMENTO BATIMETRICO</v>
          </cell>
          <cell r="E491" t="str">
            <v>SV</v>
          </cell>
        </row>
        <row r="492">
          <cell r="C492">
            <v>3000430</v>
          </cell>
          <cell r="D492" t="str">
            <v>SERVICO DE DRAGAGEM EM GERAL COM DEDUÇÃO</v>
          </cell>
          <cell r="E492" t="str">
            <v>SV</v>
          </cell>
        </row>
        <row r="493">
          <cell r="C493">
            <v>3000431</v>
          </cell>
          <cell r="D493" t="str">
            <v>SERVICO DE FUNDACAO - PROFUNDA COM DEDUÇ</v>
          </cell>
          <cell r="E493" t="str">
            <v>SV</v>
          </cell>
        </row>
        <row r="494">
          <cell r="C494">
            <v>3000432</v>
          </cell>
          <cell r="D494" t="str">
            <v>SERVICO DE FUNDACAO DIVERSAS  COM DEDUÇÃ</v>
          </cell>
          <cell r="E494" t="str">
            <v>SV</v>
          </cell>
        </row>
        <row r="495">
          <cell r="C495">
            <v>3000433</v>
          </cell>
          <cell r="D495" t="str">
            <v>SERVICO DE FUNDACAO - SUBAQUATICA  COM D</v>
          </cell>
          <cell r="E495" t="str">
            <v>SV</v>
          </cell>
        </row>
        <row r="496">
          <cell r="C496">
            <v>3000434</v>
          </cell>
          <cell r="D496" t="str">
            <v>SERV REPARO/REPARO DE ESTRUTURA CONCRETO</v>
          </cell>
          <cell r="E496" t="str">
            <v>SV</v>
          </cell>
        </row>
        <row r="497">
          <cell r="C497">
            <v>3000435</v>
          </cell>
          <cell r="D497" t="str">
            <v>CONSERT, REP, RESTAUR, REFOR E BLIND</v>
          </cell>
          <cell r="E497" t="str">
            <v>SV</v>
          </cell>
        </row>
        <row r="498">
          <cell r="C498">
            <v>3000436</v>
          </cell>
          <cell r="D498" t="str">
            <v>SERVICO DE CABEAMENTO ELETRICO EM GERAL</v>
          </cell>
          <cell r="E498" t="str">
            <v>SV</v>
          </cell>
        </row>
        <row r="499">
          <cell r="C499">
            <v>3000437</v>
          </cell>
          <cell r="D499" t="str">
            <v>SERVICO DE ELETRIFICACAO EM GERAL</v>
          </cell>
          <cell r="E499" t="str">
            <v>SV</v>
          </cell>
        </row>
        <row r="500">
          <cell r="C500">
            <v>3000438</v>
          </cell>
          <cell r="D500" t="str">
            <v>OBRA EM REDE ELETRICA MEDIA TENSAO  COM</v>
          </cell>
          <cell r="E500" t="str">
            <v>SV</v>
          </cell>
        </row>
        <row r="501">
          <cell r="C501">
            <v>3000439</v>
          </cell>
          <cell r="D501" t="str">
            <v>OBRAS DE ELETRICIDADE ALTA TENSAO  COM D</v>
          </cell>
          <cell r="E501" t="str">
            <v>SV</v>
          </cell>
        </row>
        <row r="502">
          <cell r="C502">
            <v>3000440</v>
          </cell>
          <cell r="D502" t="str">
            <v>OBRAS DE ELETRICIDADE BAIXA TENSAO  COM</v>
          </cell>
          <cell r="E502" t="str">
            <v>SV</v>
          </cell>
        </row>
        <row r="503">
          <cell r="C503">
            <v>3000441</v>
          </cell>
          <cell r="D503" t="str">
            <v>OBRAS ELETRICIDADE CABEAMENTO/ATERRAMENT</v>
          </cell>
          <cell r="E503" t="str">
            <v>SV</v>
          </cell>
        </row>
        <row r="504">
          <cell r="C504">
            <v>3000442</v>
          </cell>
          <cell r="D504" t="str">
            <v>OBRA ELETRICIDADE REALOCACAO POSTE ELETR</v>
          </cell>
          <cell r="E504" t="str">
            <v>SV</v>
          </cell>
        </row>
        <row r="505">
          <cell r="C505">
            <v>3000443</v>
          </cell>
          <cell r="D505" t="str">
            <v>CONSTRUCAO E REPARO DE OLEODUTO  COM DED</v>
          </cell>
          <cell r="E505" t="str">
            <v>SV</v>
          </cell>
        </row>
        <row r="506">
          <cell r="C506">
            <v>3000444</v>
          </cell>
          <cell r="D506" t="str">
            <v>CONSTRUCAO DE ESTRUTURA DE CONCRETO  COM</v>
          </cell>
          <cell r="E506" t="str">
            <v>SV</v>
          </cell>
        </row>
        <row r="507">
          <cell r="C507">
            <v>3000445</v>
          </cell>
          <cell r="D507" t="str">
            <v>CONSTRUCAO OBRA ESTRUTURAL-SILO/ARMAZEM</v>
          </cell>
          <cell r="E507" t="str">
            <v>SV</v>
          </cell>
        </row>
        <row r="508">
          <cell r="C508">
            <v>3000446</v>
          </cell>
          <cell r="D508" t="str">
            <v>PAVIMENTACAO EM GERAL COM DEDUÇÃO DE MAT</v>
          </cell>
          <cell r="E508" t="str">
            <v>SV</v>
          </cell>
        </row>
        <row r="509">
          <cell r="C509">
            <v>3000447</v>
          </cell>
          <cell r="D509" t="str">
            <v>SERVICO DE DEMOLICAO EM GERAL</v>
          </cell>
          <cell r="E509" t="str">
            <v>SV</v>
          </cell>
        </row>
        <row r="510">
          <cell r="C510">
            <v>3000448</v>
          </cell>
          <cell r="D510" t="str">
            <v>SERVICO DE DESMONTE DE ROCHA</v>
          </cell>
          <cell r="E510" t="str">
            <v>SV</v>
          </cell>
        </row>
        <row r="511">
          <cell r="C511">
            <v>3000449</v>
          </cell>
          <cell r="D511" t="str">
            <v>SERVICO DE TOPOGRAFIA</v>
          </cell>
          <cell r="E511" t="str">
            <v>SV</v>
          </cell>
        </row>
        <row r="512">
          <cell r="C512">
            <v>3000450</v>
          </cell>
          <cell r="D512" t="str">
            <v>SERVICO DE IMPERMEABILIZACAO</v>
          </cell>
          <cell r="E512" t="str">
            <v>SV</v>
          </cell>
        </row>
        <row r="513">
          <cell r="C513">
            <v>3000451</v>
          </cell>
          <cell r="D513" t="str">
            <v>REVESTIMENTO DE FIBRA DE VIDRO</v>
          </cell>
          <cell r="E513" t="str">
            <v>SV</v>
          </cell>
        </row>
        <row r="514">
          <cell r="C514">
            <v>3000452</v>
          </cell>
          <cell r="D514" t="str">
            <v>REVESTIMENTO DE PLASTICO ANTIADERENTE</v>
          </cell>
          <cell r="E514" t="str">
            <v>SV</v>
          </cell>
        </row>
        <row r="515">
          <cell r="C515">
            <v>3000453</v>
          </cell>
          <cell r="D515" t="str">
            <v>REVESTIMENTO DE PROTECAO CONTRA FOGO</v>
          </cell>
          <cell r="E515" t="str">
            <v>SV</v>
          </cell>
        </row>
        <row r="516">
          <cell r="C516">
            <v>3000454</v>
          </cell>
          <cell r="D516" t="str">
            <v>SERVICO DE REVESTIMENTO EM GERAL</v>
          </cell>
          <cell r="E516" t="str">
            <v>SV</v>
          </cell>
        </row>
        <row r="517">
          <cell r="C517">
            <v>3000455</v>
          </cell>
          <cell r="D517" t="str">
            <v>SERVICO DE DESMONTE DE ROCHA</v>
          </cell>
          <cell r="E517" t="str">
            <v>SV</v>
          </cell>
        </row>
        <row r="518">
          <cell r="C518">
            <v>3000456</v>
          </cell>
          <cell r="D518" t="str">
            <v>SERVICO DE TERRAPLENAGEM DE GRANDE PORTE</v>
          </cell>
          <cell r="E518" t="str">
            <v>SV</v>
          </cell>
        </row>
        <row r="519">
          <cell r="C519">
            <v>3000457</v>
          </cell>
          <cell r="D519" t="str">
            <v>SERVICO DE TERRAPLENAGEM DE MEDIO PORTE</v>
          </cell>
          <cell r="E519" t="str">
            <v>SV</v>
          </cell>
        </row>
        <row r="520">
          <cell r="C520">
            <v>3000458</v>
          </cell>
          <cell r="D520" t="str">
            <v>TERRAPLENAGEM DE PEQUENO PORTE COM DEDUÇ</v>
          </cell>
          <cell r="E520" t="str">
            <v>SV</v>
          </cell>
        </row>
        <row r="521">
          <cell r="C521">
            <v>3000459</v>
          </cell>
          <cell r="D521" t="str">
            <v>URBANISMO E PAISAGISMO</v>
          </cell>
          <cell r="E521" t="str">
            <v>SV</v>
          </cell>
        </row>
        <row r="522">
          <cell r="C522">
            <v>3000460</v>
          </cell>
          <cell r="D522" t="str">
            <v>PESQUISA DE MERCADO, MIDIA E OPINIAO</v>
          </cell>
          <cell r="E522" t="str">
            <v>SV</v>
          </cell>
        </row>
        <row r="523">
          <cell r="C523">
            <v>3000461</v>
          </cell>
          <cell r="D523" t="str">
            <v>SERVICO DE DIRECIONAMENTO UNIVERSITARIO</v>
          </cell>
          <cell r="E523" t="str">
            <v>SV</v>
          </cell>
        </row>
        <row r="524">
          <cell r="C524">
            <v>3000462</v>
          </cell>
          <cell r="D524" t="str">
            <v>SERVICO DE ENSINO DE IDIOMA</v>
          </cell>
          <cell r="E524" t="str">
            <v>SV</v>
          </cell>
        </row>
        <row r="525">
          <cell r="C525">
            <v>3000463</v>
          </cell>
          <cell r="D525" t="str">
            <v>AVALIACAO E TESTE PSICOTECNICO</v>
          </cell>
          <cell r="E525" t="str">
            <v>SV</v>
          </cell>
        </row>
        <row r="526">
          <cell r="C526">
            <v>3000464</v>
          </cell>
          <cell r="D526" t="str">
            <v>LOCACAO DE MAO-DE-OBRA TEMPORARIA</v>
          </cell>
          <cell r="E526" t="str">
            <v>SV</v>
          </cell>
        </row>
        <row r="527">
          <cell r="C527">
            <v>3000465</v>
          </cell>
          <cell r="D527" t="str">
            <v>SERVICO DE REALOCACAO DE PESSOAL</v>
          </cell>
          <cell r="E527" t="str">
            <v>SV</v>
          </cell>
        </row>
        <row r="528">
          <cell r="C528">
            <v>3000466</v>
          </cell>
          <cell r="D528" t="str">
            <v>SERVICO DE RECRUTAMENTO DE PESSOAL</v>
          </cell>
          <cell r="E528" t="str">
            <v>SV</v>
          </cell>
        </row>
        <row r="529">
          <cell r="C529">
            <v>3000467</v>
          </cell>
          <cell r="D529" t="str">
            <v>RECRUTAMENTO E SELECAO DE PESSOAL</v>
          </cell>
          <cell r="E529" t="str">
            <v>SV</v>
          </cell>
        </row>
        <row r="530">
          <cell r="C530">
            <v>3000468</v>
          </cell>
          <cell r="D530" t="str">
            <v>TREINAMENTO DE AREA ADMINISTRATIVA</v>
          </cell>
          <cell r="E530" t="str">
            <v>SV</v>
          </cell>
        </row>
        <row r="531">
          <cell r="C531">
            <v>3000469</v>
          </cell>
          <cell r="D531" t="str">
            <v>TREINAMENTO DE AREA COMERCIAL</v>
          </cell>
          <cell r="E531" t="str">
            <v>SV</v>
          </cell>
        </row>
        <row r="532">
          <cell r="C532">
            <v>3000470</v>
          </cell>
          <cell r="D532" t="str">
            <v>TREINAMENTO AREA TECNOLOGIA INFORMACAO</v>
          </cell>
          <cell r="E532" t="str">
            <v>SV</v>
          </cell>
        </row>
        <row r="533">
          <cell r="C533">
            <v>3000471</v>
          </cell>
          <cell r="D533" t="str">
            <v>TREINAMENTO DE AREA FINANCEIRA</v>
          </cell>
          <cell r="E533" t="str">
            <v>SV</v>
          </cell>
        </row>
        <row r="534">
          <cell r="C534">
            <v>3000472</v>
          </cell>
          <cell r="D534" t="str">
            <v>TREINAMENTO DE AREA OPERACIONAL</v>
          </cell>
          <cell r="E534" t="str">
            <v>SV</v>
          </cell>
        </row>
        <row r="535">
          <cell r="C535">
            <v>3000473</v>
          </cell>
          <cell r="D535" t="str">
            <v>TREINAMENTO CONDUTOR DE VEICULOS-GERAL</v>
          </cell>
          <cell r="E535" t="str">
            <v>SV</v>
          </cell>
        </row>
        <row r="536">
          <cell r="C536">
            <v>3000474</v>
          </cell>
          <cell r="D536" t="str">
            <v>SERVICO DE TREINAMENTO DE EXECUTIVO</v>
          </cell>
          <cell r="E536" t="str">
            <v>SV</v>
          </cell>
        </row>
        <row r="537">
          <cell r="C537">
            <v>3000475</v>
          </cell>
          <cell r="D537" t="str">
            <v>TREINAMENTO OPERACAO/MANUTENCAO EQUIPTO</v>
          </cell>
          <cell r="E537" t="str">
            <v>SV</v>
          </cell>
        </row>
        <row r="538">
          <cell r="C538">
            <v>3000476</v>
          </cell>
          <cell r="D538" t="str">
            <v>TREINAMENTO PILOTO DE AERONAVE EM GERAL</v>
          </cell>
          <cell r="E538" t="str">
            <v>SV</v>
          </cell>
        </row>
        <row r="539">
          <cell r="C539">
            <v>3000477</v>
          </cell>
          <cell r="D539" t="str">
            <v>SERVICO DE TREINAMENTO EM MEIO AMBIENTE</v>
          </cell>
          <cell r="E539" t="str">
            <v>SV</v>
          </cell>
        </row>
        <row r="540">
          <cell r="C540">
            <v>3000478</v>
          </cell>
          <cell r="D540" t="str">
            <v>SERVICO DE TREINAMENTO EM QUIMICA</v>
          </cell>
          <cell r="E540" t="str">
            <v>SV</v>
          </cell>
        </row>
        <row r="541">
          <cell r="C541">
            <v>3000479</v>
          </cell>
          <cell r="D541" t="str">
            <v>TREINAMENTO SEGURANCA SAUDE OCUPACIONAL</v>
          </cell>
          <cell r="E541" t="str">
            <v>SV</v>
          </cell>
        </row>
        <row r="542">
          <cell r="C542">
            <v>3000480</v>
          </cell>
          <cell r="D542" t="str">
            <v>SERVICO REGULAMENTORIAL DE ASSOCIACAO</v>
          </cell>
          <cell r="E542" t="str">
            <v>SV</v>
          </cell>
        </row>
        <row r="543">
          <cell r="C543">
            <v>3000481</v>
          </cell>
          <cell r="D543" t="str">
            <v>SERVICO SOCIAL-FUNCIONARIO/TERCEIRO EM G</v>
          </cell>
          <cell r="E543" t="str">
            <v>SV</v>
          </cell>
        </row>
        <row r="544">
          <cell r="C544">
            <v>3000482</v>
          </cell>
          <cell r="D544" t="str">
            <v>PREVENCAO E RISCO DE EXPLOSAO E INCENDIO</v>
          </cell>
          <cell r="E544" t="str">
            <v>SV</v>
          </cell>
        </row>
        <row r="545">
          <cell r="C545">
            <v>3000483</v>
          </cell>
          <cell r="D545" t="str">
            <v>SERVICO DE RESGATE</v>
          </cell>
          <cell r="E545" t="str">
            <v>SV</v>
          </cell>
        </row>
        <row r="546">
          <cell r="C546">
            <v>3000484</v>
          </cell>
          <cell r="D546" t="str">
            <v>BLINDAGEM DE VEICULO</v>
          </cell>
          <cell r="E546" t="str">
            <v>SV</v>
          </cell>
        </row>
        <row r="547">
          <cell r="C547">
            <v>3000485</v>
          </cell>
          <cell r="D547" t="str">
            <v>PORTARIA  E RECEPCAO</v>
          </cell>
          <cell r="E547" t="str">
            <v>SV</v>
          </cell>
        </row>
        <row r="548">
          <cell r="C548">
            <v>3000486</v>
          </cell>
          <cell r="D548" t="str">
            <v>SEGURANCA PESSOAL</v>
          </cell>
          <cell r="E548" t="str">
            <v>SV</v>
          </cell>
        </row>
        <row r="549">
          <cell r="C549">
            <v>3000487</v>
          </cell>
          <cell r="D549" t="str">
            <v>VIGILANCIA E SEGURANCA</v>
          </cell>
          <cell r="E549" t="str">
            <v>SV</v>
          </cell>
        </row>
        <row r="550">
          <cell r="C550">
            <v>3000488</v>
          </cell>
          <cell r="D550" t="str">
            <v>SERVIÇO DE MOVIMENTAÇÃO EM MINAS</v>
          </cell>
          <cell r="E550" t="str">
            <v>SV</v>
          </cell>
        </row>
        <row r="551">
          <cell r="C551">
            <v>3000489</v>
          </cell>
          <cell r="D551" t="str">
            <v>SERVIÇO DE MOVIMENTAÇÃO EM PORTOS</v>
          </cell>
          <cell r="E551" t="str">
            <v>SV</v>
          </cell>
        </row>
        <row r="552">
          <cell r="C552">
            <v>3000490</v>
          </cell>
          <cell r="D552" t="str">
            <v>SERVIÇO DE  MOVIMENTAÇÃO EM USINAS</v>
          </cell>
          <cell r="E552" t="str">
            <v>SV</v>
          </cell>
        </row>
        <row r="553">
          <cell r="C553">
            <v>3000491</v>
          </cell>
          <cell r="D553" t="str">
            <v>MOVIMENTAÇÃO COM EQUIPTOS FORA DE ESTRAD</v>
          </cell>
          <cell r="E553" t="str">
            <v>SV</v>
          </cell>
        </row>
        <row r="554">
          <cell r="C554">
            <v>3000492</v>
          </cell>
          <cell r="D554" t="str">
            <v>UMECTACAO DE VIAS COM CAMINHAO PIPA</v>
          </cell>
          <cell r="E554" t="str">
            <v>SV</v>
          </cell>
        </row>
        <row r="555">
          <cell r="C555">
            <v>3000493</v>
          </cell>
          <cell r="D555" t="str">
            <v>LOCAÇÃO EQUIPTOS DE MOVIMENTAÇÃO EM MINA</v>
          </cell>
          <cell r="E555" t="str">
            <v>SV</v>
          </cell>
        </row>
        <row r="556">
          <cell r="C556">
            <v>3000494</v>
          </cell>
          <cell r="D556" t="str">
            <v>LOCAÇÃO EQUIPTO DE MOVIMENTAÇÃO EM PORTO</v>
          </cell>
          <cell r="E556" t="str">
            <v>SV</v>
          </cell>
        </row>
        <row r="557">
          <cell r="C557">
            <v>3000495</v>
          </cell>
          <cell r="D557" t="str">
            <v>LOCAÇÃO EQUIPTO DE MOVIMENTAÇÃO EM USINA</v>
          </cell>
          <cell r="E557" t="str">
            <v>SV</v>
          </cell>
        </row>
        <row r="558">
          <cell r="C558">
            <v>3000496</v>
          </cell>
          <cell r="D558" t="str">
            <v>LOCAÇÃO DE EQUIPTOS DE MOVIMENTAÇÃO FORA</v>
          </cell>
          <cell r="E558" t="str">
            <v>SV</v>
          </cell>
        </row>
        <row r="559">
          <cell r="C559">
            <v>3000497</v>
          </cell>
          <cell r="D559" t="str">
            <v>LOCAÇÃO DE CAMINHAO PIPA PARA UMECTACAO</v>
          </cell>
          <cell r="E559" t="str">
            <v>SV</v>
          </cell>
        </row>
        <row r="560">
          <cell r="C560">
            <v>3000498</v>
          </cell>
          <cell r="D560" t="str">
            <v>COURRIER</v>
          </cell>
          <cell r="E560" t="str">
            <v>SV</v>
          </cell>
        </row>
        <row r="561">
          <cell r="C561">
            <v>3000499</v>
          </cell>
          <cell r="D561" t="str">
            <v>SERVICO DE CORREIO</v>
          </cell>
          <cell r="E561" t="str">
            <v>SV</v>
          </cell>
        </row>
        <row r="562">
          <cell r="C562">
            <v>3000500</v>
          </cell>
          <cell r="D562" t="str">
            <v>SERVICO DE ARQUEACAO DE NAVIO</v>
          </cell>
          <cell r="E562" t="str">
            <v>SV</v>
          </cell>
        </row>
        <row r="563">
          <cell r="C563">
            <v>3000501</v>
          </cell>
          <cell r="D563" t="str">
            <v>SERVICO DE CONTAINERIZACAO DE PRODUTO</v>
          </cell>
          <cell r="E563" t="str">
            <v>SV</v>
          </cell>
        </row>
        <row r="564">
          <cell r="C564">
            <v>3000502</v>
          </cell>
          <cell r="D564" t="str">
            <v>SERVICO DE DESEMBARACO DE CARGA</v>
          </cell>
          <cell r="E564" t="str">
            <v>SV</v>
          </cell>
        </row>
        <row r="565">
          <cell r="C565">
            <v>3000503</v>
          </cell>
          <cell r="D565" t="str">
            <v>INSPECAO EM CARGA TRANSPORTADA</v>
          </cell>
          <cell r="E565" t="str">
            <v>SV</v>
          </cell>
        </row>
        <row r="566">
          <cell r="C566">
            <v>3000504</v>
          </cell>
          <cell r="D566" t="str">
            <v>SERVICO DE ATRACAGEM</v>
          </cell>
          <cell r="E566" t="str">
            <v>SV</v>
          </cell>
        </row>
        <row r="567">
          <cell r="C567">
            <v>3000505</v>
          </cell>
          <cell r="D567" t="str">
            <v>SERVICO DE REBOQUE DE NAVIO</v>
          </cell>
          <cell r="E567" t="str">
            <v>SV</v>
          </cell>
        </row>
        <row r="568">
          <cell r="C568">
            <v>3000506</v>
          </cell>
          <cell r="D568" t="str">
            <v>SERVICO DE REPARO ESTRUTURAL DE NAVIO</v>
          </cell>
          <cell r="E568" t="str">
            <v>SV</v>
          </cell>
        </row>
        <row r="569">
          <cell r="C569">
            <v>3000507</v>
          </cell>
          <cell r="D569" t="str">
            <v>CARGA INTERMODAL - INTERNACIONAL</v>
          </cell>
          <cell r="E569" t="str">
            <v>SV</v>
          </cell>
        </row>
        <row r="570">
          <cell r="C570">
            <v>3000508</v>
          </cell>
          <cell r="D570" t="str">
            <v>CARGA INTERMODAL - NACIONAL COM CATRACA</v>
          </cell>
          <cell r="E570" t="str">
            <v>SV</v>
          </cell>
        </row>
        <row r="571">
          <cell r="C571">
            <v>3000509</v>
          </cell>
          <cell r="D571" t="str">
            <v>SERVICO DE REBOQUE DE VEICULO</v>
          </cell>
          <cell r="E571" t="str">
            <v>SV</v>
          </cell>
        </row>
        <row r="572">
          <cell r="C572">
            <v>3000510</v>
          </cell>
          <cell r="D572" t="str">
            <v>SERVICO DE TRANSPORTE AEREO DE CARGA  CO</v>
          </cell>
          <cell r="E572" t="str">
            <v>SV</v>
          </cell>
        </row>
        <row r="573">
          <cell r="C573">
            <v>3000511</v>
          </cell>
          <cell r="D573" t="str">
            <v>SERVICO DE TRANSPORTE DE VALOR</v>
          </cell>
          <cell r="E573" t="str">
            <v>SV</v>
          </cell>
        </row>
        <row r="574">
          <cell r="C574">
            <v>3000512</v>
          </cell>
          <cell r="D574" t="str">
            <v>TRANSPORTE FERROVIARIO DE CARGA  COM CAT</v>
          </cell>
          <cell r="E574" t="str">
            <v>SV</v>
          </cell>
        </row>
        <row r="575">
          <cell r="C575">
            <v>3000513</v>
          </cell>
          <cell r="D575" t="str">
            <v>SERVICO DE TRANSPORTE FLUVIAL DE CARGA C</v>
          </cell>
          <cell r="E575" t="str">
            <v>SV</v>
          </cell>
        </row>
        <row r="576">
          <cell r="C576">
            <v>3000514</v>
          </cell>
          <cell r="D576" t="str">
            <v>SERVICO DE TRANSPORTE MARITIMO DE CARGA</v>
          </cell>
          <cell r="E576" t="str">
            <v>SV</v>
          </cell>
        </row>
        <row r="577">
          <cell r="C577">
            <v>3000515</v>
          </cell>
          <cell r="D577" t="str">
            <v>SERVICO DE TRANSBORDO DE CARGA C/CATRACA</v>
          </cell>
          <cell r="E577" t="str">
            <v>SV</v>
          </cell>
        </row>
        <row r="578">
          <cell r="C578">
            <v>3000516</v>
          </cell>
          <cell r="D578" t="str">
            <v>FRETAMENTO DE ONIBUS DE TURISMO - COM CA</v>
          </cell>
          <cell r="E578" t="str">
            <v>SV</v>
          </cell>
        </row>
        <row r="579">
          <cell r="C579">
            <v>3000517</v>
          </cell>
          <cell r="D579" t="str">
            <v>SERVICO DE TAXI</v>
          </cell>
          <cell r="E579" t="str">
            <v>SV</v>
          </cell>
        </row>
        <row r="580">
          <cell r="C580">
            <v>3000518</v>
          </cell>
          <cell r="D580" t="str">
            <v>TRANSPORTE MARITIMO DE PASSAGEIRO  - COM</v>
          </cell>
          <cell r="E580" t="str">
            <v>SV</v>
          </cell>
        </row>
        <row r="581">
          <cell r="C581">
            <v>3000519</v>
          </cell>
          <cell r="D581" t="str">
            <v>TRANSPORTE COLETIVO DE PESSOAL  - COM CA</v>
          </cell>
          <cell r="E581" t="str">
            <v>SV</v>
          </cell>
        </row>
        <row r="582">
          <cell r="C582">
            <v>3000520</v>
          </cell>
          <cell r="D582" t="str">
            <v>TRANSPORTE PASSAGEIRO VEICULO LEVE/UTILI</v>
          </cell>
          <cell r="E582" t="str">
            <v>SV</v>
          </cell>
        </row>
        <row r="583">
          <cell r="C583">
            <v>3000521</v>
          </cell>
          <cell r="D583" t="str">
            <v>TRANSPORTE INTERMODAL DE CARGA COM CATRA</v>
          </cell>
          <cell r="E583" t="str">
            <v>SV</v>
          </cell>
        </row>
        <row r="584">
          <cell r="C584">
            <v>3000522</v>
          </cell>
          <cell r="D584" t="str">
            <v>CARGA SECA LOTACAO COM CATRACA</v>
          </cell>
          <cell r="E584" t="str">
            <v>SV</v>
          </cell>
        </row>
        <row r="585">
          <cell r="C585">
            <v>3000523</v>
          </cell>
          <cell r="D585" t="str">
            <v>CARGA ESPECIAL COM CATRACA</v>
          </cell>
          <cell r="E585" t="str">
            <v>SV</v>
          </cell>
        </row>
        <row r="586">
          <cell r="C586">
            <v>3000524</v>
          </cell>
          <cell r="D586" t="str">
            <v>CARGA FRACIONADA COM CATRACA</v>
          </cell>
          <cell r="E586" t="str">
            <v>SV</v>
          </cell>
        </row>
        <row r="587">
          <cell r="C587">
            <v>3000525</v>
          </cell>
          <cell r="D587" t="str">
            <v>CARGAS EXPRESSAS COM CATRACA</v>
          </cell>
          <cell r="E587" t="str">
            <v>SV</v>
          </cell>
        </row>
        <row r="588">
          <cell r="C588">
            <v>3000526</v>
          </cell>
          <cell r="D588" t="str">
            <v>TRANSPORTE RODOVIARIO - GRANEL SOLIDO CO</v>
          </cell>
          <cell r="E588" t="str">
            <v>SV</v>
          </cell>
        </row>
        <row r="589">
          <cell r="C589">
            <v>3000527</v>
          </cell>
          <cell r="D589" t="str">
            <v>TRANSPORTE RODOVIARIO - GRANEL LIQUIDO C</v>
          </cell>
          <cell r="E589" t="str">
            <v>SV</v>
          </cell>
        </row>
        <row r="590">
          <cell r="C590">
            <v>3000528</v>
          </cell>
          <cell r="D590" t="str">
            <v>TRANSPORTE RODOVIA-GRANEL SILO PRESSURIZ</v>
          </cell>
          <cell r="E590" t="str">
            <v>SV</v>
          </cell>
        </row>
        <row r="591">
          <cell r="C591">
            <v>3000529</v>
          </cell>
          <cell r="D591" t="str">
            <v>COLETA SELETIVA DE RESÍDUOS</v>
          </cell>
          <cell r="E591" t="str">
            <v>SV</v>
          </cell>
        </row>
        <row r="592">
          <cell r="C592">
            <v>3000530</v>
          </cell>
          <cell r="D592" t="str">
            <v>CARGA DE PRODUTOS PERIGOSOS COM CATRACA</v>
          </cell>
          <cell r="E592" t="str">
            <v>SV</v>
          </cell>
        </row>
        <row r="593">
          <cell r="C593">
            <v>3000531</v>
          </cell>
          <cell r="D593" t="str">
            <v>TRANSPORTE DE TRILHOS/VAGOES/DORMENTES</v>
          </cell>
          <cell r="E593" t="str">
            <v>SV</v>
          </cell>
        </row>
        <row r="594">
          <cell r="C594">
            <v>3000532</v>
          </cell>
          <cell r="D594" t="str">
            <v>MUDANCA DE BENS - INTERNACIONAL</v>
          </cell>
          <cell r="E594" t="str">
            <v>SV</v>
          </cell>
        </row>
        <row r="595">
          <cell r="C595">
            <v>3000533</v>
          </cell>
          <cell r="D595" t="str">
            <v>MUDANCA DE BENS - NACIONAL COM CATRACA</v>
          </cell>
          <cell r="E595" t="str">
            <v>SV</v>
          </cell>
        </row>
        <row r="596">
          <cell r="C596">
            <v>3000534</v>
          </cell>
          <cell r="D596" t="str">
            <v>PASSAGENS AEREAS</v>
          </cell>
          <cell r="E596" t="str">
            <v>SV</v>
          </cell>
        </row>
        <row r="597">
          <cell r="C597">
            <v>3000535</v>
          </cell>
          <cell r="D597" t="str">
            <v>PASSAGENS FERROVIARIAS</v>
          </cell>
          <cell r="E597" t="str">
            <v>SV</v>
          </cell>
        </row>
        <row r="598">
          <cell r="C598">
            <v>3000536</v>
          </cell>
          <cell r="D598" t="str">
            <v>PASSAGENS RODOVIARIAS</v>
          </cell>
          <cell r="E598" t="str">
            <v>SV</v>
          </cell>
        </row>
        <row r="599">
          <cell r="C599">
            <v>3000537</v>
          </cell>
          <cell r="D599" t="str">
            <v>SERVICO DE ARTE PLASTICA E ARTESANATO</v>
          </cell>
          <cell r="E599" t="str">
            <v>SV</v>
          </cell>
        </row>
        <row r="600">
          <cell r="C600">
            <v>3000538</v>
          </cell>
          <cell r="D600" t="str">
            <v>VEICULACAO DE TV A CABO E ABERTA</v>
          </cell>
          <cell r="E600" t="str">
            <v>SV</v>
          </cell>
        </row>
        <row r="601">
          <cell r="C601">
            <v>3000539</v>
          </cell>
          <cell r="D601" t="str">
            <v>SERVICO DE FOTOGRAFIA AEREA</v>
          </cell>
          <cell r="E601" t="str">
            <v>SV</v>
          </cell>
        </row>
        <row r="602">
          <cell r="C602">
            <v>3000540</v>
          </cell>
          <cell r="D602" t="str">
            <v>SERVICO DE FOTOGRAFO E FILMAGEM</v>
          </cell>
          <cell r="E602" t="str">
            <v>SV</v>
          </cell>
        </row>
        <row r="603">
          <cell r="C603">
            <v>3000541</v>
          </cell>
          <cell r="D603" t="str">
            <v>SERVICO DE PRODUCAO DE VIDEO</v>
          </cell>
          <cell r="E603" t="str">
            <v>SV</v>
          </cell>
        </row>
        <row r="604">
          <cell r="C604">
            <v>3000542</v>
          </cell>
          <cell r="D604" t="str">
            <v>SERVICO DE REPRODUCAO DE MULTIMIDIA</v>
          </cell>
          <cell r="E604" t="str">
            <v>SV</v>
          </cell>
        </row>
        <row r="605">
          <cell r="C605">
            <v>3000543</v>
          </cell>
          <cell r="D605" t="str">
            <v>COPIA, PLOTAGEM, SCANNER E VETORIZACAO</v>
          </cell>
          <cell r="E605" t="str">
            <v>SV</v>
          </cell>
        </row>
        <row r="606">
          <cell r="C606">
            <v>3000544</v>
          </cell>
          <cell r="D606" t="str">
            <v>ENCADERNACAO</v>
          </cell>
          <cell r="E606" t="str">
            <v>SV</v>
          </cell>
        </row>
        <row r="607">
          <cell r="C607">
            <v>3000545</v>
          </cell>
          <cell r="D607" t="str">
            <v>SERVICO DE CONFECCAO DE CARIMBO</v>
          </cell>
          <cell r="E607" t="str">
            <v>SV</v>
          </cell>
        </row>
        <row r="608">
          <cell r="C608">
            <v>3000546</v>
          </cell>
          <cell r="D608" t="str">
            <v>CONFECCAO PLACA/CARTAZ/BANNER/FAIXA/OUTD</v>
          </cell>
          <cell r="E608" t="str">
            <v>SV</v>
          </cell>
        </row>
        <row r="609">
          <cell r="C609">
            <v>3000547</v>
          </cell>
          <cell r="D609" t="str">
            <v>SERVICO DE DIGITALIZACAO</v>
          </cell>
          <cell r="E609" t="str">
            <v>SV</v>
          </cell>
        </row>
        <row r="610">
          <cell r="C610">
            <v>3000548</v>
          </cell>
          <cell r="D610" t="str">
            <v>PRODUCAO ARTE GRAFICA/EDITORACAO IMPRESS</v>
          </cell>
          <cell r="E610" t="str">
            <v>SV</v>
          </cell>
        </row>
        <row r="611">
          <cell r="C611">
            <v>3000549</v>
          </cell>
          <cell r="D611" t="str">
            <v>CONFECCAO DE AGENDA E CARTAO DE VISITA</v>
          </cell>
          <cell r="E611" t="str">
            <v>SV</v>
          </cell>
        </row>
        <row r="612">
          <cell r="C612">
            <v>3000550</v>
          </cell>
          <cell r="D612" t="str">
            <v>CONFECCAO DE FORMULARIO E ENVELOPE</v>
          </cell>
          <cell r="E612" t="str">
            <v>SV</v>
          </cell>
        </row>
        <row r="613">
          <cell r="C613">
            <v>3000551</v>
          </cell>
          <cell r="D613" t="str">
            <v>IMPRESSAO E MONTAGEM DE FOTOLITO</v>
          </cell>
          <cell r="E613" t="str">
            <v>SV</v>
          </cell>
        </row>
        <row r="614">
          <cell r="C614">
            <v>3000552</v>
          </cell>
          <cell r="D614" t="str">
            <v>SERVICO DE SILKSCREEN</v>
          </cell>
          <cell r="E614" t="str">
            <v>SV</v>
          </cell>
        </row>
        <row r="615">
          <cell r="C615">
            <v>3000553</v>
          </cell>
          <cell r="D615" t="str">
            <v>SERVICO DE CLIPPING</v>
          </cell>
          <cell r="E615" t="str">
            <v>SV</v>
          </cell>
        </row>
        <row r="616">
          <cell r="C616">
            <v>3000554</v>
          </cell>
          <cell r="D616" t="str">
            <v>SERVICO DE CONFECCAO DE MAQUETE</v>
          </cell>
          <cell r="E616" t="str">
            <v>SV</v>
          </cell>
        </row>
        <row r="617">
          <cell r="C617">
            <v>3000555</v>
          </cell>
          <cell r="D617" t="str">
            <v>PUBLICIDADE E VEICULACAO DE ANUNCIOS</v>
          </cell>
          <cell r="E617" t="str">
            <v>SV</v>
          </cell>
        </row>
        <row r="618">
          <cell r="C618">
            <v>3000556</v>
          </cell>
          <cell r="D618" t="str">
            <v>CONSULTORIA TECNICA - LOCOMOTIVAS</v>
          </cell>
          <cell r="E618" t="str">
            <v>SV</v>
          </cell>
        </row>
        <row r="619">
          <cell r="C619">
            <v>3000557</v>
          </cell>
          <cell r="D619" t="str">
            <v>CONSULTORIA TECNICA - MAQUINAS DE VP</v>
          </cell>
          <cell r="E619" t="str">
            <v>SV</v>
          </cell>
        </row>
        <row r="620">
          <cell r="C620">
            <v>3000558</v>
          </cell>
          <cell r="D620" t="str">
            <v>CONSULTORIA TECNICA - VAGOES</v>
          </cell>
          <cell r="E620" t="str">
            <v>SV</v>
          </cell>
        </row>
        <row r="621">
          <cell r="C621">
            <v>3000559</v>
          </cell>
          <cell r="D621" t="str">
            <v>CONSULTORIA TECNICA - VP</v>
          </cell>
          <cell r="E621" t="str">
            <v>SV</v>
          </cell>
        </row>
        <row r="622">
          <cell r="C622">
            <v>3000560</v>
          </cell>
          <cell r="D622" t="str">
            <v>INSTALACAO - LOCOMOTIVAS</v>
          </cell>
          <cell r="E622" t="str">
            <v>SV</v>
          </cell>
        </row>
        <row r="623">
          <cell r="C623">
            <v>3000561</v>
          </cell>
          <cell r="D623" t="str">
            <v>INSTALACAO - MAQUINAS DE VP</v>
          </cell>
          <cell r="E623" t="str">
            <v>SV</v>
          </cell>
        </row>
        <row r="624">
          <cell r="C624">
            <v>3000562</v>
          </cell>
          <cell r="D624" t="str">
            <v>INSTALACAO - VAGOES</v>
          </cell>
          <cell r="E624" t="str">
            <v>SV</v>
          </cell>
        </row>
        <row r="625">
          <cell r="C625">
            <v>3000563</v>
          </cell>
          <cell r="D625" t="str">
            <v>INSTALACAO - VP</v>
          </cell>
          <cell r="E625" t="str">
            <v>SV</v>
          </cell>
        </row>
        <row r="626">
          <cell r="C626">
            <v>3000564</v>
          </cell>
          <cell r="D626" t="str">
            <v>MANUTENCAO - LOCOMOTIVAS</v>
          </cell>
          <cell r="E626" t="str">
            <v>SV</v>
          </cell>
        </row>
        <row r="627">
          <cell r="C627">
            <v>3000565</v>
          </cell>
          <cell r="D627" t="str">
            <v>MANUTENCAO - MAQUINAS DE VP</v>
          </cell>
          <cell r="E627" t="str">
            <v>SV</v>
          </cell>
        </row>
        <row r="628">
          <cell r="C628">
            <v>3000566</v>
          </cell>
          <cell r="D628" t="str">
            <v>MANUTENCAO - VAGOES</v>
          </cell>
          <cell r="E628" t="str">
            <v>SV</v>
          </cell>
        </row>
        <row r="629">
          <cell r="C629">
            <v>3000567</v>
          </cell>
          <cell r="D629" t="str">
            <v>MANUTENCAO - VP</v>
          </cell>
          <cell r="E629" t="str">
            <v>SV</v>
          </cell>
        </row>
        <row r="630">
          <cell r="C630">
            <v>3000568</v>
          </cell>
          <cell r="D630" t="str">
            <v>SERVICOS GRAFICOS EM GERAL</v>
          </cell>
          <cell r="E630" t="str">
            <v>SV</v>
          </cell>
        </row>
        <row r="631">
          <cell r="C631">
            <v>3000569</v>
          </cell>
          <cell r="D631" t="str">
            <v>SERVICO DE CALCULO PERICIAL E JUDICIAL</v>
          </cell>
          <cell r="E631" t="str">
            <v>SV</v>
          </cell>
        </row>
        <row r="632">
          <cell r="C632">
            <v>3000570</v>
          </cell>
          <cell r="D632" t="str">
            <v>SERVICO DE CARTORIO E DESPACHANTE</v>
          </cell>
          <cell r="E632" t="str">
            <v>SV</v>
          </cell>
        </row>
        <row r="633">
          <cell r="C633">
            <v>3000571</v>
          </cell>
          <cell r="D633" t="str">
            <v>SERVICO JURIDICO E ADVOCATICIO</v>
          </cell>
          <cell r="E633" t="str">
            <v>SV</v>
          </cell>
        </row>
        <row r="634">
          <cell r="C634">
            <v>3000572</v>
          </cell>
          <cell r="D634" t="str">
            <v>CROMAGEM E RECUPERACAO</v>
          </cell>
          <cell r="E634" t="str">
            <v>SV</v>
          </cell>
        </row>
        <row r="635">
          <cell r="C635">
            <v>3000573</v>
          </cell>
          <cell r="D635" t="str">
            <v>CALDEIRARIA EM ACO CARBONO - LEVE</v>
          </cell>
          <cell r="E635" t="str">
            <v>SV</v>
          </cell>
        </row>
        <row r="636">
          <cell r="C636">
            <v>3000574</v>
          </cell>
          <cell r="D636" t="str">
            <v>CALDEIRARIA EM ACO CARBONO - MEDIA</v>
          </cell>
          <cell r="E636" t="str">
            <v>SV</v>
          </cell>
        </row>
        <row r="637">
          <cell r="C637">
            <v>3000575</v>
          </cell>
          <cell r="D637" t="str">
            <v>CALDEIRARIA EM ACO CARBONO - PESADA</v>
          </cell>
          <cell r="E637" t="str">
            <v>SV</v>
          </cell>
        </row>
        <row r="638">
          <cell r="C638">
            <v>3000576</v>
          </cell>
          <cell r="D638" t="str">
            <v>CALDEIRARIA EM ACO INOX - LEVE</v>
          </cell>
          <cell r="E638" t="str">
            <v>SV</v>
          </cell>
        </row>
        <row r="639">
          <cell r="C639">
            <v>3000577</v>
          </cell>
          <cell r="D639" t="str">
            <v>CALDEIRARIA EM ACO INOX - MEDIA</v>
          </cell>
          <cell r="E639" t="str">
            <v>SV</v>
          </cell>
        </row>
        <row r="640">
          <cell r="C640">
            <v>3000578</v>
          </cell>
          <cell r="D640" t="str">
            <v>CALDEIRARIA EM ACO INOX - PESADA</v>
          </cell>
          <cell r="E640" t="str">
            <v>SV</v>
          </cell>
        </row>
        <row r="641">
          <cell r="C641">
            <v>3000579</v>
          </cell>
          <cell r="D641" t="str">
            <v>MANUTENCAO ARMADURA EQUIPTO CALDEIRARIA</v>
          </cell>
          <cell r="E641" t="str">
            <v>SV</v>
          </cell>
        </row>
        <row r="642">
          <cell r="C642">
            <v>3000580</v>
          </cell>
          <cell r="D642" t="str">
            <v>SERVICO DE FORJARIA EM GERAL</v>
          </cell>
          <cell r="E642" t="str">
            <v>SV</v>
          </cell>
        </row>
        <row r="643">
          <cell r="C643">
            <v>3000581</v>
          </cell>
          <cell r="D643" t="str">
            <v>SERVICO DE FUNDICAO EM ACO</v>
          </cell>
          <cell r="E643" t="str">
            <v>SV</v>
          </cell>
        </row>
        <row r="644">
          <cell r="C644">
            <v>3000582</v>
          </cell>
          <cell r="D644" t="str">
            <v>SERVICO DE FUNDICAO EM FERRO</v>
          </cell>
          <cell r="E644" t="str">
            <v>SV</v>
          </cell>
        </row>
        <row r="645">
          <cell r="C645">
            <v>3000583</v>
          </cell>
          <cell r="D645" t="str">
            <v>SERVICO DE FUNDICAO EM LIGA NAO FERROSA</v>
          </cell>
          <cell r="E645" t="str">
            <v>SV</v>
          </cell>
        </row>
        <row r="646">
          <cell r="C646">
            <v>3000584</v>
          </cell>
          <cell r="D646" t="str">
            <v>SERVICO DE SERRALHERIA EM ACO</v>
          </cell>
          <cell r="E646" t="str">
            <v>SV</v>
          </cell>
        </row>
        <row r="647">
          <cell r="C647">
            <v>3000585</v>
          </cell>
          <cell r="D647" t="str">
            <v>SERVICO DE SERRALHERIA EM ALUMINIO</v>
          </cell>
          <cell r="E647" t="str">
            <v>SV</v>
          </cell>
        </row>
        <row r="648">
          <cell r="C648">
            <v>3000586</v>
          </cell>
          <cell r="D648" t="str">
            <v>SERVICO DE SOLDAGEM</v>
          </cell>
          <cell r="E648" t="str">
            <v>SV</v>
          </cell>
        </row>
        <row r="649">
          <cell r="C649">
            <v>3000587</v>
          </cell>
          <cell r="D649" t="str">
            <v>SERVICO DE TRATAMENTO DE METAIS A QUENTE</v>
          </cell>
          <cell r="E649" t="str">
            <v>SV</v>
          </cell>
        </row>
        <row r="650">
          <cell r="C650">
            <v>3000588</v>
          </cell>
          <cell r="D650" t="str">
            <v>TRATAMENTO SUPERFICIAL EM METAIS</v>
          </cell>
          <cell r="E650" t="str">
            <v>SV</v>
          </cell>
        </row>
        <row r="651">
          <cell r="C651">
            <v>3000589</v>
          </cell>
          <cell r="D651" t="str">
            <v>SERVICO DE USINAGEM EM METAL - LEVE</v>
          </cell>
          <cell r="E651" t="str">
            <v>SV</v>
          </cell>
        </row>
        <row r="652">
          <cell r="C652">
            <v>3000590</v>
          </cell>
          <cell r="D652" t="str">
            <v>SERVICO DE USINAGEM EM METAL - MEDIA</v>
          </cell>
          <cell r="E652" t="str">
            <v>SV</v>
          </cell>
        </row>
        <row r="653">
          <cell r="C653">
            <v>3000591</v>
          </cell>
          <cell r="D653" t="str">
            <v>SERVICO DE USINAGEM EM METAL - PESADA</v>
          </cell>
          <cell r="E653" t="str">
            <v>SV</v>
          </cell>
        </row>
        <row r="654">
          <cell r="C654">
            <v>3000592</v>
          </cell>
          <cell r="D654" t="str">
            <v>USINAGEM EM PLASTICO E BORRACHA</v>
          </cell>
          <cell r="E654" t="str">
            <v>SV</v>
          </cell>
        </row>
        <row r="655">
          <cell r="C655">
            <v>3000593</v>
          </cell>
          <cell r="D655" t="str">
            <v>SERVICO DE VULCANIZACAO EM GERAL</v>
          </cell>
          <cell r="E655" t="str">
            <v>SV</v>
          </cell>
        </row>
        <row r="656">
          <cell r="C656">
            <v>3000594</v>
          </cell>
          <cell r="D656" t="str">
            <v>LOCACAO E OPERACAO DE GUINDASTE</v>
          </cell>
          <cell r="E656" t="str">
            <v>SV</v>
          </cell>
        </row>
        <row r="657">
          <cell r="C657">
            <v>3000595</v>
          </cell>
          <cell r="D657" t="str">
            <v>MONITORAMENTO VIA SATELITE</v>
          </cell>
          <cell r="E657" t="str">
            <v>SV</v>
          </cell>
        </row>
        <row r="658">
          <cell r="C658">
            <v>3000596</v>
          </cell>
          <cell r="D658" t="str">
            <v>MOVIMENTACAO E TRANSPORTE DE MATERIAL</v>
          </cell>
          <cell r="E658" t="str">
            <v>SV</v>
          </cell>
        </row>
        <row r="659">
          <cell r="C659">
            <v>3000597</v>
          </cell>
          <cell r="D659" t="str">
            <v>OPERACAO DE ARMAZENS</v>
          </cell>
          <cell r="E659" t="str">
            <v>SV</v>
          </cell>
        </row>
        <row r="660">
          <cell r="C660">
            <v>3000598</v>
          </cell>
          <cell r="D660" t="str">
            <v>APOIO A IMPLEMENTACAO DE NOVOS PROJETOS</v>
          </cell>
          <cell r="E660" t="str">
            <v>SV</v>
          </cell>
        </row>
        <row r="661">
          <cell r="C661">
            <v>3000599</v>
          </cell>
          <cell r="D661" t="str">
            <v>SERVICO DE ASPERSAO</v>
          </cell>
          <cell r="E661" t="str">
            <v>SV</v>
          </cell>
        </row>
        <row r="662">
          <cell r="C662">
            <v>3000600</v>
          </cell>
          <cell r="D662" t="str">
            <v>FORNECIMENTO DE AGUA EM CAMINHAO PIPA</v>
          </cell>
          <cell r="E662" t="str">
            <v>SV</v>
          </cell>
        </row>
        <row r="663">
          <cell r="C663">
            <v>3000601</v>
          </cell>
          <cell r="D663" t="str">
            <v>GESTAO MARKETPLACE/SOURCING/SINCRONISMO</v>
          </cell>
          <cell r="E663" t="str">
            <v>SV</v>
          </cell>
        </row>
        <row r="664">
          <cell r="C664">
            <v>3000602</v>
          </cell>
          <cell r="D664" t="str">
            <v>SERVICO DE IMPORTACAO E EXPORTACAO</v>
          </cell>
          <cell r="E664" t="str">
            <v>SV</v>
          </cell>
        </row>
        <row r="665">
          <cell r="C665">
            <v>3000603</v>
          </cell>
          <cell r="D665" t="str">
            <v>SERVICO DE LEILAO</v>
          </cell>
          <cell r="E665" t="str">
            <v>SV</v>
          </cell>
        </row>
        <row r="666">
          <cell r="C666">
            <v>3000604</v>
          </cell>
          <cell r="D666" t="str">
            <v>SERVICO DE METEOROLOGIA</v>
          </cell>
          <cell r="E666" t="str">
            <v>SV</v>
          </cell>
        </row>
        <row r="667">
          <cell r="C667">
            <v>3000605</v>
          </cell>
          <cell r="D667" t="str">
            <v>SERVICO DE OPERACAO AEROPORTUARIA</v>
          </cell>
          <cell r="E667" t="str">
            <v>SV</v>
          </cell>
        </row>
        <row r="668">
          <cell r="C668">
            <v>3000606</v>
          </cell>
          <cell r="D668" t="str">
            <v>OPERACAO COM EQUIPAMENTO DE MINERACAO</v>
          </cell>
          <cell r="E668" t="str">
            <v>SV</v>
          </cell>
        </row>
        <row r="669">
          <cell r="C669">
            <v>3000607</v>
          </cell>
          <cell r="D669" t="str">
            <v>OPERACAO DE EQUIPAMENTO FORA DE ESTRADA</v>
          </cell>
          <cell r="E669" t="str">
            <v>SV</v>
          </cell>
        </row>
        <row r="670">
          <cell r="C670">
            <v>3000608</v>
          </cell>
          <cell r="D670" t="str">
            <v>OPERACAO ESTACAO TRATAMENTO AGUA/ESGOTO</v>
          </cell>
          <cell r="E670" t="str">
            <v>SV</v>
          </cell>
        </row>
        <row r="671">
          <cell r="C671">
            <v>3000609</v>
          </cell>
          <cell r="D671" t="str">
            <v>SERVICO DE OPERACAO DE PLANTA PILOTO</v>
          </cell>
          <cell r="E671" t="str">
            <v>SV</v>
          </cell>
        </row>
        <row r="672">
          <cell r="C672">
            <v>3000610</v>
          </cell>
          <cell r="D672" t="str">
            <v>SERVICO DE OPERACAO DE USINA</v>
          </cell>
          <cell r="E672" t="str">
            <v>SV</v>
          </cell>
        </row>
        <row r="673">
          <cell r="C673">
            <v>3000611</v>
          </cell>
          <cell r="D673" t="str">
            <v>SERVICO DE OPERACAO FERROVIARIA</v>
          </cell>
          <cell r="E673" t="str">
            <v>SV</v>
          </cell>
        </row>
        <row r="674">
          <cell r="C674">
            <v>3000612</v>
          </cell>
          <cell r="D674" t="str">
            <v>SERVICO DE OPERACAO PORTUARIA</v>
          </cell>
          <cell r="E674" t="str">
            <v>SV</v>
          </cell>
        </row>
        <row r="675">
          <cell r="C675">
            <v>3000613</v>
          </cell>
          <cell r="D675" t="str">
            <v>TRANSPORTE  INTERNO COM CAMINHAO</v>
          </cell>
          <cell r="E675" t="str">
            <v>SV</v>
          </cell>
        </row>
        <row r="676">
          <cell r="C676">
            <v>3000614</v>
          </cell>
          <cell r="D676" t="str">
            <v>SERVICO DE UMECTACAO DE VIA</v>
          </cell>
          <cell r="E676" t="str">
            <v>SV</v>
          </cell>
        </row>
        <row r="677">
          <cell r="C677">
            <v>3000615</v>
          </cell>
          <cell r="D677" t="str">
            <v>AUTOMACAO - CONSULTORIA TECNICA</v>
          </cell>
          <cell r="E677" t="str">
            <v>SV</v>
          </cell>
        </row>
        <row r="678">
          <cell r="C678">
            <v>3000616</v>
          </cell>
          <cell r="D678" t="str">
            <v>AUTOMACAO-CUSTOMIZACAO/INTEGRACAO SW/SIS</v>
          </cell>
          <cell r="E678" t="str">
            <v>SV</v>
          </cell>
        </row>
        <row r="679">
          <cell r="C679">
            <v>3000617</v>
          </cell>
          <cell r="D679" t="str">
            <v>AUTOMACAO - DESENVOLVIMENTO SW/SISTEMAS</v>
          </cell>
          <cell r="E679" t="str">
            <v>SV</v>
          </cell>
        </row>
        <row r="680">
          <cell r="C680">
            <v>3000618</v>
          </cell>
          <cell r="D680" t="str">
            <v>AUTOMACAO - INSTALACAO/MONTAGEM</v>
          </cell>
          <cell r="E680" t="str">
            <v>SV</v>
          </cell>
        </row>
        <row r="681">
          <cell r="C681">
            <v>3000619</v>
          </cell>
          <cell r="D681" t="str">
            <v>AUTOMACAO - MANUTENCAO/REPARO/CALIBRACAO</v>
          </cell>
          <cell r="E681" t="str">
            <v>SV</v>
          </cell>
        </row>
        <row r="682">
          <cell r="C682">
            <v>3000620</v>
          </cell>
          <cell r="D682" t="str">
            <v>AUTOMACAO - SUPORTE/GARANTIA</v>
          </cell>
          <cell r="E682" t="str">
            <v>SV</v>
          </cell>
        </row>
        <row r="683">
          <cell r="C683">
            <v>3000621</v>
          </cell>
          <cell r="D683" t="str">
            <v>AUTOMACAO - TREINAMENTO</v>
          </cell>
          <cell r="E683" t="str">
            <v>SV</v>
          </cell>
        </row>
        <row r="684">
          <cell r="C684">
            <v>3000622</v>
          </cell>
          <cell r="D684" t="str">
            <v>HARDWARE - ALUGUEL</v>
          </cell>
          <cell r="E684" t="str">
            <v>SV</v>
          </cell>
        </row>
        <row r="685">
          <cell r="C685">
            <v>3000623</v>
          </cell>
          <cell r="D685" t="str">
            <v>HARDWARE - GARANTIA</v>
          </cell>
          <cell r="E685" t="str">
            <v>SV</v>
          </cell>
        </row>
        <row r="686">
          <cell r="C686">
            <v>3000624</v>
          </cell>
          <cell r="D686" t="str">
            <v>HARDWARE - HOSTING/PROVEDOR</v>
          </cell>
          <cell r="E686" t="str">
            <v>SV</v>
          </cell>
        </row>
        <row r="687">
          <cell r="C687">
            <v>3000625</v>
          </cell>
          <cell r="D687" t="str">
            <v>HARDWARE - INSTALACAO</v>
          </cell>
          <cell r="E687" t="str">
            <v>SV</v>
          </cell>
        </row>
        <row r="688">
          <cell r="C688">
            <v>3000626</v>
          </cell>
          <cell r="D688" t="str">
            <v>HARDWARE - REPARO</v>
          </cell>
          <cell r="E688" t="str">
            <v>SV</v>
          </cell>
        </row>
        <row r="689">
          <cell r="C689">
            <v>3000627</v>
          </cell>
          <cell r="D689" t="str">
            <v>HARDWARE - SUPORTE/MANUTENCAO</v>
          </cell>
          <cell r="E689" t="str">
            <v>SV</v>
          </cell>
        </row>
        <row r="690">
          <cell r="C690">
            <v>3000628</v>
          </cell>
          <cell r="D690" t="str">
            <v>SERV.TEC.ESP.-COMERCIO ELETRÔNICO/B2B</v>
          </cell>
          <cell r="E690" t="str">
            <v>SV</v>
          </cell>
        </row>
        <row r="691">
          <cell r="C691">
            <v>3000629</v>
          </cell>
          <cell r="D691" t="str">
            <v>SERV.TEC.ESP.-COMPUTACAO GRAFICA</v>
          </cell>
          <cell r="E691" t="str">
            <v>SV</v>
          </cell>
        </row>
        <row r="692">
          <cell r="C692">
            <v>3000630</v>
          </cell>
          <cell r="D692" t="str">
            <v>SERV.TEC.ESP.-CONSULTORIA TECNICA INFORM</v>
          </cell>
          <cell r="E692" t="str">
            <v>SV</v>
          </cell>
        </row>
        <row r="693">
          <cell r="C693">
            <v>3000631</v>
          </cell>
          <cell r="D693" t="str">
            <v>SERV.TEC.ESP.-CUSTOMIZACAO/INTEGRACAO SW</v>
          </cell>
          <cell r="E693" t="str">
            <v>SV</v>
          </cell>
        </row>
        <row r="694">
          <cell r="C694">
            <v>3000632</v>
          </cell>
          <cell r="D694" t="str">
            <v>SERV.TEC.ESP.-DESENVOLVIMENTO SW/SISTEMA</v>
          </cell>
          <cell r="E694" t="str">
            <v>SV</v>
          </cell>
        </row>
        <row r="695">
          <cell r="C695">
            <v>3000633</v>
          </cell>
          <cell r="D695" t="str">
            <v>SERV.TECNICO ESPECIALIZADO-DIGITALIZACAO</v>
          </cell>
          <cell r="E695" t="str">
            <v>SV</v>
          </cell>
        </row>
        <row r="696">
          <cell r="C696">
            <v>3000634</v>
          </cell>
          <cell r="D696" t="str">
            <v>SERV. TECNICO ESPECIALIZADO - FABRICA SW</v>
          </cell>
          <cell r="E696" t="str">
            <v>SV</v>
          </cell>
        </row>
        <row r="697">
          <cell r="C697">
            <v>3000635</v>
          </cell>
          <cell r="D697" t="str">
            <v>SERV. TECNICO ESPECIALIZADO-OUTSOURCING</v>
          </cell>
          <cell r="E697" t="str">
            <v>SV</v>
          </cell>
        </row>
        <row r="698">
          <cell r="C698">
            <v>3000636</v>
          </cell>
          <cell r="D698" t="str">
            <v>CORTE OU LIGACAO DE SRV PUBLICOS</v>
          </cell>
          <cell r="E698" t="str">
            <v>SV</v>
          </cell>
        </row>
        <row r="699">
          <cell r="C699">
            <v>3000637</v>
          </cell>
          <cell r="D699" t="str">
            <v>SERV. TECNICO ESPECIALIZADO-TREINAMENTO</v>
          </cell>
          <cell r="E699" t="str">
            <v>SV</v>
          </cell>
        </row>
        <row r="700">
          <cell r="C700">
            <v>3000638</v>
          </cell>
          <cell r="D700" t="str">
            <v>SOFTWARE - ALUGUEL</v>
          </cell>
          <cell r="E700" t="str">
            <v>SV</v>
          </cell>
        </row>
        <row r="701">
          <cell r="C701">
            <v>3000639</v>
          </cell>
          <cell r="D701" t="str">
            <v>SOFTWARE - ATUALIZACAO</v>
          </cell>
          <cell r="E701" t="str">
            <v>SV</v>
          </cell>
        </row>
        <row r="702">
          <cell r="C702">
            <v>3000640</v>
          </cell>
          <cell r="D702" t="str">
            <v>SOFTWARE - INSTALACAO</v>
          </cell>
          <cell r="E702" t="str">
            <v>SV</v>
          </cell>
        </row>
        <row r="703">
          <cell r="C703">
            <v>3000641</v>
          </cell>
          <cell r="D703" t="str">
            <v>LICENCA DE USO DE SOFTWARE</v>
          </cell>
          <cell r="E703" t="str">
            <v>SV</v>
          </cell>
        </row>
        <row r="704">
          <cell r="C704">
            <v>3000642</v>
          </cell>
          <cell r="D704" t="str">
            <v>SOFTWARE - SUBSCRIPTION</v>
          </cell>
          <cell r="E704" t="str">
            <v>SV</v>
          </cell>
        </row>
        <row r="705">
          <cell r="C705">
            <v>3000643</v>
          </cell>
          <cell r="D705" t="str">
            <v>SOFTWARE - SUPORTE/MANUTENCAO</v>
          </cell>
          <cell r="E705" t="str">
            <v>SV</v>
          </cell>
        </row>
        <row r="706">
          <cell r="C706">
            <v>3000644</v>
          </cell>
          <cell r="D706" t="str">
            <v>TELECOMUNICACOES - CONSULTORIA TECNICA</v>
          </cell>
          <cell r="E706" t="str">
            <v>SV</v>
          </cell>
        </row>
        <row r="707">
          <cell r="C707">
            <v>3000645</v>
          </cell>
          <cell r="D707" t="str">
            <v>TELECOMUNICACAO-DESENVOLVIMENTO SW/SISTE</v>
          </cell>
          <cell r="E707" t="str">
            <v>SV</v>
          </cell>
        </row>
        <row r="708">
          <cell r="C708">
            <v>3000646</v>
          </cell>
          <cell r="D708" t="str">
            <v>TELECOMUNICACOES - INSTALACAO/MONTAGEM</v>
          </cell>
          <cell r="E708" t="str">
            <v>SV</v>
          </cell>
        </row>
        <row r="709">
          <cell r="C709">
            <v>3000647</v>
          </cell>
          <cell r="D709" t="str">
            <v>TELECOMUNICACOES - MANUTENCAO/REPARO</v>
          </cell>
          <cell r="E709" t="str">
            <v>SV</v>
          </cell>
        </row>
        <row r="710">
          <cell r="C710">
            <v>3000650</v>
          </cell>
          <cell r="D710" t="str">
            <v>TELECOMUNICACOES - SUPORTE/GARANTIA</v>
          </cell>
          <cell r="E710" t="str">
            <v>SV</v>
          </cell>
        </row>
        <row r="711">
          <cell r="C711">
            <v>3000654</v>
          </cell>
          <cell r="D711" t="str">
            <v>LOCACAO DE CILINDROS-GASES INDUSTRIAIS</v>
          </cell>
          <cell r="E711" t="str">
            <v>SV</v>
          </cell>
        </row>
        <row r="712">
          <cell r="C712">
            <v>3000655</v>
          </cell>
          <cell r="D712" t="str">
            <v>LOC E MANUT DE BENS E EQUIPS EM GERAL</v>
          </cell>
          <cell r="E712" t="str">
            <v>SV</v>
          </cell>
        </row>
        <row r="713">
          <cell r="C713">
            <v>3000656</v>
          </cell>
          <cell r="D713" t="str">
            <v>SERVICO DE LOCACAO DE SILO</v>
          </cell>
          <cell r="E713" t="str">
            <v>SV</v>
          </cell>
        </row>
        <row r="714">
          <cell r="C714">
            <v>3000657</v>
          </cell>
          <cell r="D714" t="str">
            <v>SERVICO DE LOCACAO DE TANQUES CRIOGENICO</v>
          </cell>
          <cell r="E714" t="str">
            <v>SV</v>
          </cell>
        </row>
        <row r="715">
          <cell r="C715">
            <v>3000658</v>
          </cell>
          <cell r="D715" t="str">
            <v>SERVICO DE LOCACAO DE TRATOR AGRICOLA</v>
          </cell>
          <cell r="E715" t="str">
            <v>SV</v>
          </cell>
        </row>
        <row r="716">
          <cell r="C716">
            <v>3000659</v>
          </cell>
          <cell r="D716" t="str">
            <v>SERVICO DE LOCACAO DE STAND</v>
          </cell>
          <cell r="E716" t="str">
            <v>SV</v>
          </cell>
        </row>
        <row r="717">
          <cell r="C717">
            <v>3000660</v>
          </cell>
          <cell r="D717" t="str">
            <v>SERVICO DE LOCACAO DE TOLDO E TENDA</v>
          </cell>
          <cell r="E717" t="str">
            <v>SV</v>
          </cell>
        </row>
        <row r="718">
          <cell r="C718">
            <v>3000661</v>
          </cell>
          <cell r="D718" t="str">
            <v>SERVICO DE LOCACAO DE ANDAIME</v>
          </cell>
          <cell r="E718" t="str">
            <v>SV</v>
          </cell>
        </row>
        <row r="719">
          <cell r="C719">
            <v>3000662</v>
          </cell>
          <cell r="D719" t="str">
            <v>SERVICO DE LOCACAO DE BANHEIRO QUIMICO</v>
          </cell>
          <cell r="E719" t="str">
            <v>SV</v>
          </cell>
        </row>
        <row r="720">
          <cell r="C720">
            <v>3000663</v>
          </cell>
          <cell r="D720" t="str">
            <v>LOCACAO DE EQUIPTO PREPARACAO DE SOLO</v>
          </cell>
          <cell r="E720" t="str">
            <v>SV</v>
          </cell>
        </row>
        <row r="721">
          <cell r="C721">
            <v>3000664</v>
          </cell>
          <cell r="D721" t="str">
            <v>LOCACAO CAFETEIRA/BEBEDOURO/VENDING MACH</v>
          </cell>
          <cell r="E721" t="str">
            <v>SV</v>
          </cell>
        </row>
        <row r="722">
          <cell r="C722">
            <v>3000665</v>
          </cell>
          <cell r="D722" t="str">
            <v>LOCACAO EQUIPAMENTO COZINHA INDUSTRIAL</v>
          </cell>
          <cell r="E722" t="str">
            <v>SV</v>
          </cell>
        </row>
        <row r="723">
          <cell r="C723">
            <v>3000666</v>
          </cell>
          <cell r="D723" t="str">
            <v>LOC E MANUT DE BENS E EQUIPS EM GERAL</v>
          </cell>
          <cell r="E723" t="str">
            <v>SV</v>
          </cell>
        </row>
        <row r="724">
          <cell r="C724">
            <v>3000667</v>
          </cell>
          <cell r="D724" t="str">
            <v>LOCACAO EQUIPTO SEGURANCA E PROTECAO</v>
          </cell>
          <cell r="E724" t="str">
            <v>SV</v>
          </cell>
        </row>
        <row r="725">
          <cell r="C725">
            <v>3000668</v>
          </cell>
          <cell r="D725" t="str">
            <v>SERVICO DE LOCACAO DE GERADOR</v>
          </cell>
          <cell r="E725" t="str">
            <v>SV</v>
          </cell>
        </row>
        <row r="726">
          <cell r="C726">
            <v>3000669</v>
          </cell>
          <cell r="D726" t="str">
            <v>LOCACAO DE EQUIPAMENTO AUDIO-VISUAL</v>
          </cell>
          <cell r="E726" t="str">
            <v>SV</v>
          </cell>
        </row>
        <row r="727">
          <cell r="C727">
            <v>3000670</v>
          </cell>
          <cell r="D727" t="str">
            <v>SERVICO DE LOCACAO DE COMPRESSOR</v>
          </cell>
          <cell r="E727" t="str">
            <v>SV</v>
          </cell>
        </row>
        <row r="728">
          <cell r="C728">
            <v>3000671</v>
          </cell>
          <cell r="D728" t="str">
            <v>LOCACAO DE EQUIPAMENTOS PESADOS</v>
          </cell>
          <cell r="E728" t="str">
            <v>SV</v>
          </cell>
        </row>
        <row r="729">
          <cell r="C729">
            <v>3000672</v>
          </cell>
          <cell r="D729" t="str">
            <v>LOCACAO DE EQUIPAMENTO DE TOPOGRAFIA</v>
          </cell>
          <cell r="E729" t="str">
            <v>SV</v>
          </cell>
        </row>
        <row r="730">
          <cell r="C730">
            <v>3000673</v>
          </cell>
          <cell r="D730" t="str">
            <v>SERVICO DE FRETAMENTO DE AERONAVE  - COM</v>
          </cell>
          <cell r="E730" t="str">
            <v>SV</v>
          </cell>
        </row>
        <row r="731">
          <cell r="C731">
            <v>3000674</v>
          </cell>
          <cell r="D731" t="str">
            <v>SERVICO DE LOCACAO DE EMBARCACAO</v>
          </cell>
          <cell r="E731" t="str">
            <v>SV</v>
          </cell>
        </row>
        <row r="732">
          <cell r="C732">
            <v>3000675</v>
          </cell>
          <cell r="D732" t="str">
            <v>LOCACAO EQUIPTO TRANSPORTE RODOVIA PESAD</v>
          </cell>
          <cell r="E732" t="str">
            <v>SV</v>
          </cell>
        </row>
        <row r="733">
          <cell r="C733">
            <v>3000676</v>
          </cell>
          <cell r="D733" t="str">
            <v>SERVICO DE LOCACAO DE FERRAMENTA</v>
          </cell>
          <cell r="E733" t="str">
            <v>SV</v>
          </cell>
        </row>
        <row r="734">
          <cell r="C734">
            <v>3000677</v>
          </cell>
          <cell r="D734" t="str">
            <v>LOCACAO ESPACO EVENTO EMPRESARIAL/RECREA</v>
          </cell>
          <cell r="E734" t="str">
            <v>SV</v>
          </cell>
        </row>
        <row r="735">
          <cell r="C735">
            <v>3000678</v>
          </cell>
          <cell r="D735" t="str">
            <v>SERVICO DE LOCACAO DE MOBILIA COMERCIAL</v>
          </cell>
          <cell r="E735" t="str">
            <v>SV</v>
          </cell>
        </row>
        <row r="736">
          <cell r="C736">
            <v>3000679</v>
          </cell>
          <cell r="D736" t="str">
            <v>SERVICO DE LOCACAO DE MOBILIA DOMESTICA</v>
          </cell>
          <cell r="E736" t="str">
            <v>SV</v>
          </cell>
        </row>
        <row r="737">
          <cell r="C737">
            <v>3000680</v>
          </cell>
          <cell r="D737" t="str">
            <v>SERVICO DE LOCACAO DE AREA E TERRENO</v>
          </cell>
          <cell r="E737" t="str">
            <v>SV</v>
          </cell>
        </row>
        <row r="738">
          <cell r="C738">
            <v>3000681</v>
          </cell>
          <cell r="D738" t="str">
            <v>SERVICO DE LOCACAO DE HANGAR</v>
          </cell>
          <cell r="E738" t="str">
            <v>SV</v>
          </cell>
        </row>
        <row r="739">
          <cell r="C739">
            <v>3000682</v>
          </cell>
          <cell r="D739" t="str">
            <v>SERVICO DE LOCACAO DE IMOVEL RURAL</v>
          </cell>
          <cell r="E739" t="str">
            <v>SV</v>
          </cell>
        </row>
        <row r="740">
          <cell r="C740">
            <v>3000683</v>
          </cell>
          <cell r="D740" t="str">
            <v>LOC ANDAIME,PALCO,ESTRUT USO TEMPORARIO</v>
          </cell>
          <cell r="E740" t="str">
            <v>SV</v>
          </cell>
        </row>
        <row r="741">
          <cell r="C741">
            <v>3000684</v>
          </cell>
          <cell r="D741" t="str">
            <v>SERVICO DE LOCACAO DE MULTIFUNCIONAIS</v>
          </cell>
          <cell r="E741" t="str">
            <v>SV</v>
          </cell>
        </row>
        <row r="742">
          <cell r="C742">
            <v>3000685</v>
          </cell>
          <cell r="D742" t="str">
            <v>CARGA INTERMODAL - NACIONAL SEM CATRACA</v>
          </cell>
          <cell r="E742" t="str">
            <v>SV</v>
          </cell>
        </row>
        <row r="743">
          <cell r="C743">
            <v>3000686</v>
          </cell>
          <cell r="D743" t="str">
            <v>SERVICO DE TRANSPORTE AEREO DE CARGA  SE</v>
          </cell>
          <cell r="E743" t="str">
            <v>SV</v>
          </cell>
        </row>
        <row r="744">
          <cell r="C744">
            <v>3000687</v>
          </cell>
          <cell r="D744" t="str">
            <v>TRANSPORTE FERROVIARIO DE CARGA SEM CATR</v>
          </cell>
          <cell r="E744" t="str">
            <v>SV</v>
          </cell>
        </row>
        <row r="745">
          <cell r="C745">
            <v>3000688</v>
          </cell>
          <cell r="D745" t="str">
            <v>SERVICO DE TRANSPORTE FLUVIAL DE CARGA S</v>
          </cell>
          <cell r="E745" t="str">
            <v>SV</v>
          </cell>
        </row>
        <row r="746">
          <cell r="C746">
            <v>3000689</v>
          </cell>
          <cell r="D746" t="str">
            <v>SERVICO DE TRANSPORTE MARITIMO DE CARGA</v>
          </cell>
          <cell r="E746" t="str">
            <v>SV</v>
          </cell>
        </row>
        <row r="747">
          <cell r="C747">
            <v>3000690</v>
          </cell>
          <cell r="D747" t="str">
            <v>SERVICO DE TRANSBORDO DE CARGA SEM CATRA</v>
          </cell>
          <cell r="E747" t="str">
            <v>SV</v>
          </cell>
        </row>
        <row r="748">
          <cell r="C748">
            <v>3000691</v>
          </cell>
          <cell r="D748" t="str">
            <v>TRANSPORTE INTERMODAL DE CARGA SEM CATRA</v>
          </cell>
          <cell r="E748" t="str">
            <v>SV</v>
          </cell>
        </row>
        <row r="749">
          <cell r="C749">
            <v>3000692</v>
          </cell>
          <cell r="D749" t="str">
            <v>CARGA SECA LOTACAO SEM CATRACA</v>
          </cell>
          <cell r="E749" t="str">
            <v>SV</v>
          </cell>
        </row>
        <row r="750">
          <cell r="C750">
            <v>3000693</v>
          </cell>
          <cell r="D750" t="str">
            <v>CARGA ESPECIAL SEM CATRACA</v>
          </cell>
          <cell r="E750" t="str">
            <v>SV</v>
          </cell>
        </row>
        <row r="751">
          <cell r="C751">
            <v>3000694</v>
          </cell>
          <cell r="D751" t="str">
            <v>CARGA FRACIONADA SEM CATRACA</v>
          </cell>
          <cell r="E751" t="str">
            <v>SV</v>
          </cell>
        </row>
        <row r="752">
          <cell r="C752">
            <v>3000695</v>
          </cell>
          <cell r="D752" t="str">
            <v>CARGAS EXPRESSAS SEM CATRACA</v>
          </cell>
          <cell r="E752" t="str">
            <v>SV</v>
          </cell>
        </row>
        <row r="753">
          <cell r="C753">
            <v>3000696</v>
          </cell>
          <cell r="D753" t="str">
            <v>TRANSPORTE RODOVIARIO - GRANEL SOLIDO SE</v>
          </cell>
          <cell r="E753" t="str">
            <v>SV</v>
          </cell>
        </row>
        <row r="754">
          <cell r="C754">
            <v>3000697</v>
          </cell>
          <cell r="D754" t="str">
            <v>TRANSPORTE RODOVIARIO - GRANEL LIQUIDO S</v>
          </cell>
          <cell r="E754" t="str">
            <v>SV</v>
          </cell>
        </row>
        <row r="755">
          <cell r="C755">
            <v>3000698</v>
          </cell>
          <cell r="D755" t="str">
            <v>TRANSPORTE RODOVIA-GRANEL SILO PRESSURIZ</v>
          </cell>
          <cell r="E755" t="str">
            <v>SV</v>
          </cell>
        </row>
        <row r="756">
          <cell r="C756">
            <v>3000699</v>
          </cell>
          <cell r="D756" t="str">
            <v>CARGA DE PRODUTOS PERIGOSOS SEM CATRACA</v>
          </cell>
          <cell r="E756" t="str">
            <v>SV</v>
          </cell>
        </row>
        <row r="757">
          <cell r="C757">
            <v>3000700</v>
          </cell>
          <cell r="D757" t="str">
            <v>MUDANCA DE BENS - NACIONAL SEM CATRACA</v>
          </cell>
          <cell r="E757" t="str">
            <v>SV</v>
          </cell>
        </row>
        <row r="758">
          <cell r="C758">
            <v>3000701</v>
          </cell>
          <cell r="D758" t="str">
            <v>PAVIMENTACAO EM GERAL SEM DEDUÇÃO DE MAT</v>
          </cell>
          <cell r="E758" t="str">
            <v>SV</v>
          </cell>
        </row>
        <row r="759">
          <cell r="C759">
            <v>3000702</v>
          </cell>
          <cell r="D759" t="str">
            <v>DRAGAGEM MARITIMA SEM DEDUÇÃO DE MATERIA</v>
          </cell>
          <cell r="E759" t="str">
            <v>SV</v>
          </cell>
        </row>
        <row r="760">
          <cell r="C760">
            <v>3000703</v>
          </cell>
          <cell r="D760" t="str">
            <v>SERVICO DE DRAGAGEM EM GERAL SEM DEDUÇÃO</v>
          </cell>
          <cell r="E760" t="str">
            <v>SV</v>
          </cell>
        </row>
        <row r="761">
          <cell r="C761">
            <v>3000704</v>
          </cell>
          <cell r="D761" t="str">
            <v>SERVICO DE TERRAPLENAGEM DE GRANDE PORTE</v>
          </cell>
          <cell r="E761" t="str">
            <v>SV</v>
          </cell>
        </row>
        <row r="762">
          <cell r="C762">
            <v>3000705</v>
          </cell>
          <cell r="D762" t="str">
            <v>SERVICO DE TERRAPLENAGEM DE MEDIO PORTE</v>
          </cell>
          <cell r="E762" t="str">
            <v>SV</v>
          </cell>
        </row>
        <row r="763">
          <cell r="C763">
            <v>3000706</v>
          </cell>
          <cell r="D763" t="str">
            <v>TERRAPLENAGEM DE PEQUENO PORTE SEM DEDUÇ</v>
          </cell>
          <cell r="E763" t="str">
            <v>SV</v>
          </cell>
        </row>
        <row r="764">
          <cell r="C764">
            <v>3000707</v>
          </cell>
          <cell r="D764" t="str">
            <v>CONSTRUCAO PONTE/VIADUTO MEDIO/GRANDE PO</v>
          </cell>
          <cell r="E764" t="str">
            <v>SV</v>
          </cell>
        </row>
        <row r="765">
          <cell r="C765">
            <v>3000708</v>
          </cell>
          <cell r="D765" t="str">
            <v>CONSTRUCAO PONTE/VIADUTO PEQUENO PORTE S</v>
          </cell>
          <cell r="E765" t="str">
            <v>SV</v>
          </cell>
        </row>
        <row r="766">
          <cell r="C766">
            <v>3000709</v>
          </cell>
          <cell r="D766" t="str">
            <v>CONSTRUCAO PONTE/VIADUTO CONCRETO MEDIO</v>
          </cell>
          <cell r="E766" t="str">
            <v>SV</v>
          </cell>
        </row>
        <row r="767">
          <cell r="C767">
            <v>3000710</v>
          </cell>
          <cell r="D767" t="str">
            <v>CONSTRUCAO PONTE/VIADUTO METALICA - GRAN</v>
          </cell>
          <cell r="E767" t="str">
            <v>SV</v>
          </cell>
        </row>
        <row r="768">
          <cell r="C768">
            <v>3000711</v>
          </cell>
          <cell r="D768" t="str">
            <v>CONSTRUCAO PONTE/VIADUTO METALICA - PEQU</v>
          </cell>
          <cell r="E768" t="str">
            <v>SV</v>
          </cell>
        </row>
        <row r="769">
          <cell r="C769">
            <v>3000712</v>
          </cell>
          <cell r="D769" t="str">
            <v>CONSTRUCAO PONTE/VIADUTO METALICA MEDIO</v>
          </cell>
          <cell r="E769" t="str">
            <v>SV</v>
          </cell>
        </row>
        <row r="770">
          <cell r="C770">
            <v>3000713</v>
          </cell>
          <cell r="D770" t="str">
            <v>OBRA DE DRENAGEM SEM DEDUÇÃO DE MATERIAL</v>
          </cell>
          <cell r="E770" t="str">
            <v>SV</v>
          </cell>
        </row>
        <row r="771">
          <cell r="C771">
            <v>3000714</v>
          </cell>
          <cell r="D771" t="str">
            <v>BARRAGEM/DIQUE TERRA CONCRETO MEDIO/GRAN</v>
          </cell>
          <cell r="E771" t="str">
            <v>SV</v>
          </cell>
        </row>
        <row r="772">
          <cell r="C772">
            <v>3000715</v>
          </cell>
          <cell r="D772" t="str">
            <v>BARRAGEM/DIQUE TERRA CONCRETO PEQ. PORTE</v>
          </cell>
          <cell r="E772" t="str">
            <v>SV</v>
          </cell>
        </row>
        <row r="773">
          <cell r="C773">
            <v>3000716</v>
          </cell>
          <cell r="D773" t="str">
            <v>CONSTRUCAO BARRAGEM/DIQUE CONCRETO MEDIO</v>
          </cell>
          <cell r="E773" t="str">
            <v>SV</v>
          </cell>
        </row>
        <row r="774">
          <cell r="C774">
            <v>3000717</v>
          </cell>
          <cell r="D774" t="str">
            <v>CONSTRUCAO BARRAGEM/DIQUE TERRA GRANDE P</v>
          </cell>
          <cell r="E774" t="str">
            <v>SV</v>
          </cell>
        </row>
        <row r="775">
          <cell r="C775">
            <v>3000718</v>
          </cell>
          <cell r="D775" t="str">
            <v>CONSTRUCAO BARRAGEM/DIQUE TERRA MEDIO PO</v>
          </cell>
          <cell r="E775" t="str">
            <v>SV</v>
          </cell>
        </row>
        <row r="776">
          <cell r="C776">
            <v>3000719</v>
          </cell>
          <cell r="D776" t="str">
            <v>CONSTRUCAO BARRAGEM/DIQUE TERRA PEQ. POR</v>
          </cell>
          <cell r="E776" t="str">
            <v>SV</v>
          </cell>
        </row>
        <row r="777">
          <cell r="C777">
            <v>3000720</v>
          </cell>
          <cell r="D777" t="str">
            <v>CONSTRUCAO DE TUNEL SEM DEDUÇÃO DE MATER</v>
          </cell>
          <cell r="E777" t="str">
            <v>SV</v>
          </cell>
        </row>
        <row r="778">
          <cell r="C778">
            <v>3000721</v>
          </cell>
          <cell r="D778" t="str">
            <v>SISTEMA DE AR CONDICIONADO SEM DEDUÇÃO D</v>
          </cell>
          <cell r="E778" t="str">
            <v>SV</v>
          </cell>
        </row>
        <row r="779">
          <cell r="C779">
            <v>3000722</v>
          </cell>
          <cell r="D779" t="str">
            <v>REFRIGERACAO/AR CONDICIONADO/AQUECIMENTO</v>
          </cell>
          <cell r="E779" t="str">
            <v>SV</v>
          </cell>
        </row>
        <row r="780">
          <cell r="C780">
            <v>3000723</v>
          </cell>
          <cell r="D780" t="str">
            <v>VENTILACAO/EXAUSTAO SEM DEDUÇÃO DE MATER</v>
          </cell>
          <cell r="E780" t="str">
            <v>SV</v>
          </cell>
        </row>
        <row r="781">
          <cell r="C781">
            <v>3000724</v>
          </cell>
          <cell r="D781" t="str">
            <v>INSTALACAO EQUIPTOS VENTILACAO SEM DEDUÇ</v>
          </cell>
          <cell r="E781" t="str">
            <v>SV</v>
          </cell>
        </row>
        <row r="782">
          <cell r="C782">
            <v>3000725</v>
          </cell>
          <cell r="D782" t="str">
            <v>INSTALACAO EQUIPTO ABASTECIMENTO COMBUST</v>
          </cell>
          <cell r="E782" t="str">
            <v>SV</v>
          </cell>
        </row>
        <row r="783">
          <cell r="C783">
            <v>3000726</v>
          </cell>
          <cell r="D783" t="str">
            <v>FABRICACAO ESTRUTURAS METALICAS - LEVE S</v>
          </cell>
          <cell r="E783" t="str">
            <v>SV</v>
          </cell>
        </row>
        <row r="784">
          <cell r="C784">
            <v>3000727</v>
          </cell>
          <cell r="D784" t="str">
            <v>FABRICACAO ESTRUTURAS METALICAS - MEDIA</v>
          </cell>
          <cell r="E784" t="str">
            <v>SV</v>
          </cell>
        </row>
        <row r="785">
          <cell r="C785">
            <v>3000728</v>
          </cell>
          <cell r="D785" t="str">
            <v>FABRICACAO ESTRUTURAS METALICAS - PESADA</v>
          </cell>
          <cell r="E785" t="str">
            <v>SV</v>
          </cell>
        </row>
        <row r="786">
          <cell r="C786">
            <v>3000729</v>
          </cell>
          <cell r="D786" t="str">
            <v>FABRICACAO ESTUFA AGRICOLA ESTRUTURA MET</v>
          </cell>
          <cell r="E786" t="str">
            <v>SV</v>
          </cell>
        </row>
        <row r="787">
          <cell r="C787">
            <v>3000730</v>
          </cell>
          <cell r="D787" t="str">
            <v>SERVICO DE FUNDACAO - PROFUNDA SEM DEDUÇ</v>
          </cell>
          <cell r="E787" t="str">
            <v>SV</v>
          </cell>
        </row>
        <row r="788">
          <cell r="C788">
            <v>3000731</v>
          </cell>
          <cell r="D788" t="str">
            <v>SERVICO DE FUNDACAO DIVERSAS SEM DEDUÇÃO</v>
          </cell>
          <cell r="E788" t="str">
            <v>SV</v>
          </cell>
        </row>
        <row r="789">
          <cell r="C789">
            <v>3000732</v>
          </cell>
          <cell r="D789" t="str">
            <v>SERVICO DE FUNDACAO - SUBAQUATICA SEM DE</v>
          </cell>
          <cell r="E789" t="str">
            <v>SV</v>
          </cell>
        </row>
        <row r="790">
          <cell r="C790">
            <v>3000733</v>
          </cell>
          <cell r="D790" t="str">
            <v>SONDAGEM GEOLOGICA SEM DEDUÇÃO DE MATERI</v>
          </cell>
          <cell r="E790" t="str">
            <v>SV</v>
          </cell>
        </row>
        <row r="791">
          <cell r="C791">
            <v>3000734</v>
          </cell>
          <cell r="D791" t="str">
            <v>ESTUDOS E PROJETOS - OBRA CIVIL SEM DEDU</v>
          </cell>
          <cell r="E791" t="str">
            <v>SV</v>
          </cell>
        </row>
        <row r="792">
          <cell r="C792">
            <v>3000735</v>
          </cell>
          <cell r="D792" t="str">
            <v>OBRA ELETROMECANICA SEM DEDUÇÃO DE MATER</v>
          </cell>
          <cell r="E792" t="str">
            <v>SV</v>
          </cell>
        </row>
        <row r="793">
          <cell r="C793">
            <v>3000736</v>
          </cell>
          <cell r="D793" t="str">
            <v>INSTALAÇÃO REDE DE ALTA TENSAO/DISTRIBUI</v>
          </cell>
          <cell r="E793" t="str">
            <v>SV</v>
          </cell>
        </row>
        <row r="794">
          <cell r="C794">
            <v>3000737</v>
          </cell>
          <cell r="D794" t="str">
            <v>INSTALACAO E MONTAGEM DE TUBO E DUTO SEM</v>
          </cell>
          <cell r="E794" t="str">
            <v>SV</v>
          </cell>
        </row>
        <row r="795">
          <cell r="C795">
            <v>3000738</v>
          </cell>
          <cell r="D795" t="str">
            <v>CONSTRUCAO EDIFICACAO PREDIAL-FUNDACAO S</v>
          </cell>
          <cell r="E795" t="str">
            <v>SV</v>
          </cell>
        </row>
        <row r="796">
          <cell r="C796">
            <v>3000739</v>
          </cell>
          <cell r="D796" t="str">
            <v>CONSTRUCAO EDIFICACAO PREDIAL-MEDIO/GRAN</v>
          </cell>
          <cell r="E796" t="str">
            <v>SV</v>
          </cell>
        </row>
        <row r="797">
          <cell r="C797">
            <v>3000740</v>
          </cell>
          <cell r="D797" t="str">
            <v>CONSTRUCAO EDIFICACAO PREDIAL-METALICA S</v>
          </cell>
          <cell r="E797" t="str">
            <v>SV</v>
          </cell>
        </row>
        <row r="798">
          <cell r="C798">
            <v>3000741</v>
          </cell>
          <cell r="D798" t="str">
            <v>CONSTRUCAO EDIFICACAO PREDIAL-PEQ. PORTE</v>
          </cell>
          <cell r="E798" t="str">
            <v>SV</v>
          </cell>
        </row>
        <row r="799">
          <cell r="C799">
            <v>3000742</v>
          </cell>
          <cell r="D799" t="str">
            <v>CONSTRUCAO OBRA INDUSTRIAL-MEDIO PORTE S</v>
          </cell>
          <cell r="E799" t="str">
            <v>SV</v>
          </cell>
        </row>
        <row r="800">
          <cell r="C800">
            <v>3000743</v>
          </cell>
          <cell r="D800" t="str">
            <v>CONSTRUCAO OBRAS INDUSTRIAIS-GRANDE PORT</v>
          </cell>
          <cell r="E800" t="str">
            <v>SV</v>
          </cell>
        </row>
        <row r="801">
          <cell r="C801">
            <v>3000744</v>
          </cell>
          <cell r="D801" t="str">
            <v>CONSTRUCAO OBRAS INDUSTRIAIS-PEQ. PORTE</v>
          </cell>
          <cell r="E801" t="str">
            <v>SV</v>
          </cell>
        </row>
        <row r="802">
          <cell r="C802">
            <v>3000745</v>
          </cell>
          <cell r="D802" t="str">
            <v>PORTUARIA E OFF SHORE SEM DEDUÇÃO DE MAT</v>
          </cell>
          <cell r="E802" t="str">
            <v>SV</v>
          </cell>
        </row>
        <row r="803">
          <cell r="C803">
            <v>3000746</v>
          </cell>
          <cell r="D803" t="str">
            <v>SERVICO DE CABEAMENTO ELETRICO EM GERAL</v>
          </cell>
          <cell r="E803" t="str">
            <v>SV</v>
          </cell>
        </row>
        <row r="804">
          <cell r="C804">
            <v>3000747</v>
          </cell>
          <cell r="D804" t="str">
            <v>OBRA EM REDE ELETRICA MEDIA TENSAO SEM D</v>
          </cell>
          <cell r="E804" t="str">
            <v>SV</v>
          </cell>
        </row>
        <row r="805">
          <cell r="C805">
            <v>3000748</v>
          </cell>
          <cell r="D805" t="str">
            <v>OBRAS DE ELETRICIDADE ALTA TENSAO SEM DE</v>
          </cell>
          <cell r="E805" t="str">
            <v>SV</v>
          </cell>
        </row>
        <row r="806">
          <cell r="C806">
            <v>3000749</v>
          </cell>
          <cell r="D806" t="str">
            <v>OBRAS DE ELETRICIDADE BAIXA TENSAO SEM D</v>
          </cell>
          <cell r="E806" t="str">
            <v>SV</v>
          </cell>
        </row>
        <row r="807">
          <cell r="C807">
            <v>3000750</v>
          </cell>
          <cell r="D807" t="str">
            <v>OBRAS ELETRICIDADE CABEAMENTO/ATERRAMENT</v>
          </cell>
          <cell r="E807" t="str">
            <v>SV</v>
          </cell>
        </row>
        <row r="808">
          <cell r="C808">
            <v>3000751</v>
          </cell>
          <cell r="D808" t="str">
            <v>OBRA ELETRICIDADE REALOCACAO POSTE ELETR</v>
          </cell>
          <cell r="E808" t="str">
            <v>SV</v>
          </cell>
        </row>
        <row r="809">
          <cell r="C809">
            <v>3000752</v>
          </cell>
          <cell r="D809" t="str">
            <v>CONSTRUCAO E REPARO DE OLEODUTO SEM DEDU</v>
          </cell>
          <cell r="E809" t="str">
            <v>SV</v>
          </cell>
        </row>
        <row r="810">
          <cell r="C810">
            <v>3000753</v>
          </cell>
          <cell r="D810" t="str">
            <v>CONSTRUCAO DE ESTRUTURA DE CONCRETO SEM</v>
          </cell>
          <cell r="E810" t="str">
            <v>SV</v>
          </cell>
        </row>
        <row r="811">
          <cell r="C811">
            <v>3000754</v>
          </cell>
          <cell r="D811" t="str">
            <v>SERVICO DE ENSINO DE IDIOMA</v>
          </cell>
          <cell r="E811" t="str">
            <v>SV</v>
          </cell>
        </row>
        <row r="812">
          <cell r="C812">
            <v>3000755</v>
          </cell>
          <cell r="D812" t="str">
            <v>ENSINO EM CURSO DE POS GRADUACAO E MBA</v>
          </cell>
          <cell r="E812" t="str">
            <v>SV</v>
          </cell>
        </row>
        <row r="813">
          <cell r="C813">
            <v>3000756</v>
          </cell>
          <cell r="D813" t="str">
            <v>ENSINO EM ESCOLA E UNIVERSIDADE</v>
          </cell>
          <cell r="E813" t="str">
            <v>SV</v>
          </cell>
        </row>
        <row r="814">
          <cell r="C814">
            <v>3000757</v>
          </cell>
          <cell r="D814" t="str">
            <v>SERVICO DE VIAGENS/HOSPEDAGENS EM GERAL</v>
          </cell>
          <cell r="E814" t="str">
            <v>SV</v>
          </cell>
        </row>
        <row r="815">
          <cell r="C815">
            <v>3000758</v>
          </cell>
          <cell r="D815" t="str">
            <v>CARTAO COMBUSTIVEL</v>
          </cell>
          <cell r="E815" t="str">
            <v>SV</v>
          </cell>
        </row>
        <row r="816">
          <cell r="C816">
            <v>3000759</v>
          </cell>
          <cell r="D816" t="str">
            <v>SERVICOS DE MANUTENCAO ELETROMECANICA</v>
          </cell>
          <cell r="E816" t="str">
            <v>SV</v>
          </cell>
        </row>
        <row r="817">
          <cell r="C817">
            <v>3000760</v>
          </cell>
          <cell r="D817" t="str">
            <v>SERVICO DE SAQUES COM CARTAO DE CREDITO</v>
          </cell>
          <cell r="E817" t="str">
            <v>SV</v>
          </cell>
        </row>
        <row r="818">
          <cell r="C818">
            <v>3000761</v>
          </cell>
          <cell r="D818" t="str">
            <v>SERVICO DE SEGURO VIAGEM</v>
          </cell>
          <cell r="E818" t="str">
            <v>SV</v>
          </cell>
        </row>
        <row r="819">
          <cell r="C819">
            <v>3000762</v>
          </cell>
          <cell r="D819" t="str">
            <v>SERVICO DE TRANSPORTE EM VIAGENS</v>
          </cell>
          <cell r="E819" t="str">
            <v>SV</v>
          </cell>
        </row>
        <row r="820">
          <cell r="C820">
            <v>3000763</v>
          </cell>
          <cell r="D820" t="str">
            <v>SERVICOS FERROVIARIOS ESTRATEGICOS OUTRO</v>
          </cell>
          <cell r="E820" t="str">
            <v>SV</v>
          </cell>
        </row>
        <row r="821">
          <cell r="C821">
            <v>3000764</v>
          </cell>
          <cell r="D821" t="str">
            <v>SERVICO DE ANALISES LABORATORIAIS</v>
          </cell>
          <cell r="E821" t="str">
            <v>SV</v>
          </cell>
        </row>
        <row r="822">
          <cell r="C822">
            <v>3000765</v>
          </cell>
          <cell r="D822" t="str">
            <v>SERVICOS DE PINTURA INDUSTRIAL</v>
          </cell>
          <cell r="E822" t="str">
            <v>SV</v>
          </cell>
        </row>
        <row r="823">
          <cell r="C823">
            <v>3000766</v>
          </cell>
          <cell r="D823" t="str">
            <v>SERVICOS DE LOCACAO DE VEICULOS</v>
          </cell>
          <cell r="E823" t="str">
            <v>SV</v>
          </cell>
        </row>
        <row r="824">
          <cell r="C824">
            <v>3000767</v>
          </cell>
          <cell r="D824" t="str">
            <v>SERVICOS DE OBRAS CIVIS</v>
          </cell>
          <cell r="E824" t="str">
            <v>SV</v>
          </cell>
        </row>
        <row r="825">
          <cell r="C825">
            <v>3000768</v>
          </cell>
          <cell r="D825" t="str">
            <v>GERENCIAMENTO DE AERONAVE</v>
          </cell>
          <cell r="E825" t="str">
            <v>SV</v>
          </cell>
        </row>
        <row r="826">
          <cell r="C826">
            <v>3000769</v>
          </cell>
          <cell r="D826" t="str">
            <v>OUTROS SERVICOS EM VIAGEM</v>
          </cell>
          <cell r="E826" t="str">
            <v>SV</v>
          </cell>
        </row>
        <row r="827">
          <cell r="C827">
            <v>3000770</v>
          </cell>
          <cell r="D827" t="str">
            <v>SERVICO DE AGENCIAMENTO DE EVENTOS</v>
          </cell>
          <cell r="E827" t="str">
            <v>SV</v>
          </cell>
        </row>
        <row r="828">
          <cell r="C828">
            <v>3000771</v>
          </cell>
          <cell r="D828" t="str">
            <v>SERVICO DE EMISSAO DE VISTOS/PASSAPORTES</v>
          </cell>
          <cell r="E828" t="str">
            <v>SV</v>
          </cell>
        </row>
        <row r="829">
          <cell r="C829">
            <v>3000772</v>
          </cell>
          <cell r="D829" t="str">
            <v>SERVICO DE REFEICOES EM VIAGENS</v>
          </cell>
          <cell r="E829" t="str">
            <v>SV</v>
          </cell>
        </row>
        <row r="830">
          <cell r="C830">
            <v>3000773</v>
          </cell>
          <cell r="D830" t="str">
            <v>MULTAS E RESCISAO CONTRATUAL</v>
          </cell>
          <cell r="E830" t="str">
            <v>SV</v>
          </cell>
        </row>
        <row r="831">
          <cell r="C831">
            <v>3000774</v>
          </cell>
          <cell r="D831" t="str">
            <v>SERVICO DE AGENCIAMENTO DE VIAGENS</v>
          </cell>
          <cell r="E831" t="str">
            <v>SV</v>
          </cell>
        </row>
        <row r="832">
          <cell r="C832">
            <v>3000775</v>
          </cell>
          <cell r="D832" t="str">
            <v>SERVICO DE ENG EM AUTOMACAO ELETRICA</v>
          </cell>
          <cell r="E832" t="str">
            <v>SV</v>
          </cell>
        </row>
        <row r="833">
          <cell r="C833">
            <v>3000776</v>
          </cell>
          <cell r="D833" t="str">
            <v>SERVICOS DE GERENCIAMENTO DE COMBUSTIVEL</v>
          </cell>
          <cell r="E833" t="str">
            <v>SV</v>
          </cell>
        </row>
        <row r="834">
          <cell r="C834">
            <v>3000777</v>
          </cell>
          <cell r="D834" t="str">
            <v>SERVICOS DE GESTAO DE FERROVIA</v>
          </cell>
          <cell r="E834" t="str">
            <v>SV</v>
          </cell>
        </row>
        <row r="835">
          <cell r="C835">
            <v>3000778</v>
          </cell>
          <cell r="D835" t="str">
            <v>SERVICOS DE OTIMIZACAO DE PROCESSOS</v>
          </cell>
          <cell r="E835" t="str">
            <v>SV</v>
          </cell>
        </row>
        <row r="836">
          <cell r="C836">
            <v>3000779</v>
          </cell>
          <cell r="D836" t="str">
            <v>DETONACAO E MANUSEIO DE EXPLOSIVO</v>
          </cell>
          <cell r="E836" t="str">
            <v>SV</v>
          </cell>
        </row>
        <row r="837">
          <cell r="C837">
            <v>3000780</v>
          </cell>
          <cell r="D837" t="str">
            <v>SERVICO DE DISTRIBUICAO DE AGUA</v>
          </cell>
          <cell r="E837" t="str">
            <v>SV</v>
          </cell>
        </row>
        <row r="838">
          <cell r="C838">
            <v>3000781</v>
          </cell>
          <cell r="D838" t="str">
            <v>SERVICO DE DISTRIBUICAO DE GAS NATURAL</v>
          </cell>
          <cell r="E838" t="str">
            <v>SV</v>
          </cell>
        </row>
        <row r="839">
          <cell r="C839">
            <v>3000782</v>
          </cell>
          <cell r="D839" t="str">
            <v>SERVICO DE DISTRIBUICAO DE ENERGIA ELETR</v>
          </cell>
          <cell r="E839" t="str">
            <v>SV</v>
          </cell>
        </row>
        <row r="840">
          <cell r="C840">
            <v>3000783</v>
          </cell>
          <cell r="D840" t="str">
            <v>SERVICO REPARO/CONSERTO EQUIPAMENTOS</v>
          </cell>
          <cell r="E840" t="str">
            <v>SV</v>
          </cell>
        </row>
        <row r="841">
          <cell r="C841">
            <v>3000784</v>
          </cell>
          <cell r="D841" t="str">
            <v>SERV OF STD TRAIN SUPERINTENDING</v>
          </cell>
          <cell r="E841" t="str">
            <v>SV</v>
          </cell>
        </row>
        <row r="842">
          <cell r="C842">
            <v>3000785</v>
          </cell>
          <cell r="D842" t="str">
            <v>SERV OF STANDARD VESSEL SUPERINTENDING</v>
          </cell>
          <cell r="E842" t="str">
            <v>SV</v>
          </cell>
        </row>
        <row r="843">
          <cell r="C843">
            <v>3000786</v>
          </cell>
          <cell r="D843" t="str">
            <v>SERV OF N/S TOTAL MOISTURE ANALYSIS</v>
          </cell>
          <cell r="E843" t="str">
            <v>SV</v>
          </cell>
        </row>
        <row r="844">
          <cell r="C844">
            <v>3000787</v>
          </cell>
          <cell r="D844" t="str">
            <v>SERV OF N/S AIR DRIED MOISTURE ANALYSIS</v>
          </cell>
          <cell r="E844" t="str">
            <v>SV</v>
          </cell>
        </row>
        <row r="845">
          <cell r="C845">
            <v>3000788</v>
          </cell>
          <cell r="D845" t="str">
            <v>SERV OF N/S ASH</v>
          </cell>
          <cell r="E845" t="str">
            <v>SV</v>
          </cell>
        </row>
        <row r="846">
          <cell r="C846">
            <v>3000789</v>
          </cell>
          <cell r="D846" t="str">
            <v>SERV OF N/S VOLATILE MATTER ANALYSIS</v>
          </cell>
          <cell r="E846" t="str">
            <v>SV</v>
          </cell>
        </row>
        <row r="847">
          <cell r="C847">
            <v>3000790</v>
          </cell>
          <cell r="D847" t="str">
            <v>SERV OF N/S SPECIFIC ENERGY ANALYSIS</v>
          </cell>
          <cell r="E847" t="str">
            <v>SV</v>
          </cell>
        </row>
        <row r="848">
          <cell r="C848">
            <v>3000791</v>
          </cell>
          <cell r="D848" t="str">
            <v>SERV OF N/S CSN ANALYSIS</v>
          </cell>
          <cell r="E848" t="str">
            <v>SV</v>
          </cell>
        </row>
        <row r="849">
          <cell r="C849">
            <v>3000792</v>
          </cell>
          <cell r="D849" t="str">
            <v>SERV OF N/S TOTAL SULFUR ANALYSIS</v>
          </cell>
          <cell r="E849" t="str">
            <v>SV</v>
          </cell>
        </row>
        <row r="850">
          <cell r="C850">
            <v>3000793</v>
          </cell>
          <cell r="D850" t="str">
            <v>SERV OF N/S CHLORINE ANALYSIS</v>
          </cell>
          <cell r="E850" t="str">
            <v>SV</v>
          </cell>
        </row>
        <row r="851">
          <cell r="C851">
            <v>3000794</v>
          </cell>
          <cell r="D851" t="str">
            <v>SERV OF N/S PHOSPHORUS ANALYSIS</v>
          </cell>
          <cell r="E851" t="str">
            <v>SV</v>
          </cell>
        </row>
        <row r="852">
          <cell r="C852">
            <v>3000795</v>
          </cell>
          <cell r="D852" t="str">
            <v>SERV OF N/S FLUORINE ANALYSIS</v>
          </cell>
          <cell r="E852" t="str">
            <v>SV</v>
          </cell>
        </row>
        <row r="853">
          <cell r="C853">
            <v>3000796</v>
          </cell>
          <cell r="D853" t="str">
            <v>SERV OF BORON AND SELENIUM ANALYSIS</v>
          </cell>
          <cell r="E853" t="str">
            <v>SV</v>
          </cell>
        </row>
        <row r="854">
          <cell r="C854">
            <v>3000797</v>
          </cell>
          <cell r="D854" t="str">
            <v>SERV OF CARBON/HYDROGEN/NITROGEN ANALYS.</v>
          </cell>
          <cell r="E854" t="str">
            <v>SV</v>
          </cell>
        </row>
        <row r="855">
          <cell r="C855">
            <v>3000798</v>
          </cell>
          <cell r="D855" t="str">
            <v>SERV OF ASH ANALYSIS (SAME DAY)</v>
          </cell>
          <cell r="E855" t="str">
            <v>SV</v>
          </cell>
        </row>
        <row r="856">
          <cell r="C856">
            <v>3000799</v>
          </cell>
          <cell r="D856" t="str">
            <v>SERV OF ASH ANALYSIS ( 3 DAY)</v>
          </cell>
          <cell r="E856" t="str">
            <v>SV</v>
          </cell>
        </row>
        <row r="857">
          <cell r="C857">
            <v>3000800</v>
          </cell>
          <cell r="D857" t="str">
            <v>SERV OF ASH FUSION TEMPERATURES ANALYS.</v>
          </cell>
          <cell r="E857" t="str">
            <v>SV</v>
          </cell>
        </row>
        <row r="858">
          <cell r="C858">
            <v>3000801</v>
          </cell>
          <cell r="D858" t="str">
            <v>SERV OF HGI ANALYSIS</v>
          </cell>
          <cell r="E858" t="str">
            <v>SV</v>
          </cell>
        </row>
        <row r="859">
          <cell r="C859">
            <v>3000802</v>
          </cell>
          <cell r="D859" t="str">
            <v>MACERALS/REFLECTANCE/(APP PETROGRAPHICS)</v>
          </cell>
          <cell r="E859" t="str">
            <v>SV</v>
          </cell>
        </row>
        <row r="860">
          <cell r="C860">
            <v>3000803</v>
          </cell>
          <cell r="D860" t="str">
            <v>SERV OF VESSEL GIESELER FLUIDITY</v>
          </cell>
          <cell r="E860" t="str">
            <v>SV</v>
          </cell>
        </row>
        <row r="861">
          <cell r="C861">
            <v>3000804</v>
          </cell>
          <cell r="D861" t="str">
            <v>SERV OF AUDIBERT ARNU DILATOMETER ANALYS</v>
          </cell>
          <cell r="E861" t="str">
            <v>SV</v>
          </cell>
        </row>
        <row r="862">
          <cell r="C862">
            <v>3000805</v>
          </cell>
          <cell r="D862" t="str">
            <v>SERV OF SIZE ANALYSIS</v>
          </cell>
          <cell r="E862" t="str">
            <v>SV</v>
          </cell>
        </row>
        <row r="863">
          <cell r="C863">
            <v>3000806</v>
          </cell>
          <cell r="D863" t="str">
            <v>SERV OF TRAIN GIESLER FLUIDITY</v>
          </cell>
          <cell r="E863" t="str">
            <v>SV</v>
          </cell>
        </row>
        <row r="864">
          <cell r="C864">
            <v>3000807</v>
          </cell>
          <cell r="D864" t="str">
            <v>SERV OF OTHER NO STD TRAIN SUPERINTEND.</v>
          </cell>
          <cell r="E864" t="str">
            <v>SV</v>
          </cell>
        </row>
        <row r="865">
          <cell r="C865">
            <v>3000808</v>
          </cell>
          <cell r="D865" t="str">
            <v>SERV OF OTHER NO STD VESSEL SUPERINTEND.</v>
          </cell>
          <cell r="E865" t="str">
            <v>SV</v>
          </cell>
        </row>
        <row r="866">
          <cell r="C866">
            <v>3000809</v>
          </cell>
          <cell r="D866" t="str">
            <v>SERV OF MINIMUM SUPERINTENDING CHARGE</v>
          </cell>
          <cell r="E866" t="str">
            <v>SV</v>
          </cell>
        </row>
        <row r="867">
          <cell r="C867">
            <v>3000810</v>
          </cell>
          <cell r="D867" t="str">
            <v>SERV OF INTERNAL SAMPLING</v>
          </cell>
          <cell r="E867" t="str">
            <v>SV</v>
          </cell>
        </row>
        <row r="868">
          <cell r="C868">
            <v>3000811</v>
          </cell>
          <cell r="D868" t="str">
            <v>SERV OF CUSTOMER SAMPLES</v>
          </cell>
          <cell r="E868" t="str">
            <v>SV</v>
          </cell>
        </row>
        <row r="869">
          <cell r="C869">
            <v>3000812</v>
          </cell>
          <cell r="D869" t="str">
            <v>SERV OF DRAFT SURVEY</v>
          </cell>
          <cell r="E869" t="str">
            <v>SV</v>
          </cell>
        </row>
        <row r="870">
          <cell r="C870">
            <v>3000813</v>
          </cell>
          <cell r="D870" t="str">
            <v>SERV OF HATCH CLEANLINESS</v>
          </cell>
          <cell r="E870" t="str">
            <v>SV</v>
          </cell>
        </row>
        <row r="871">
          <cell r="C871">
            <v>3000814</v>
          </cell>
          <cell r="D871" t="str">
            <v>SERV OF OTHER SHIPPING COSTS</v>
          </cell>
          <cell r="E871" t="str">
            <v>SV</v>
          </cell>
        </row>
        <row r="872">
          <cell r="C872">
            <v>3000815</v>
          </cell>
          <cell r="D872" t="str">
            <v>SERV OF ABOVE RAIL OPERATION</v>
          </cell>
          <cell r="E872" t="str">
            <v>SV</v>
          </cell>
        </row>
        <row r="873">
          <cell r="C873">
            <v>3000816</v>
          </cell>
          <cell r="D873" t="str">
            <v>SERV OF ABOVE RAIL TAKE OR PAY CHARGE</v>
          </cell>
          <cell r="E873" t="str">
            <v>SV</v>
          </cell>
        </row>
        <row r="874">
          <cell r="C874">
            <v>3000817</v>
          </cell>
          <cell r="D874" t="str">
            <v>SERV OF ABOVE RAIL PERFORMANCE ADJ.</v>
          </cell>
          <cell r="E874" t="str">
            <v>SV</v>
          </cell>
        </row>
        <row r="875">
          <cell r="C875">
            <v>3000818</v>
          </cell>
          <cell r="D875" t="str">
            <v>SERV OF BELOW RAIL OPERATION</v>
          </cell>
          <cell r="E875" t="str">
            <v>SV</v>
          </cell>
        </row>
        <row r="876">
          <cell r="C876">
            <v>3000819</v>
          </cell>
          <cell r="D876" t="str">
            <v>SERV OF BELOW RAIL TAKE OR PAY CHARGE</v>
          </cell>
          <cell r="E876" t="str">
            <v>SV</v>
          </cell>
        </row>
        <row r="877">
          <cell r="C877">
            <v>3000820</v>
          </cell>
          <cell r="D877" t="str">
            <v>SERV OF BELOW RAIL PERFORMANCE ADJ.</v>
          </cell>
          <cell r="E877" t="str">
            <v>SV</v>
          </cell>
        </row>
        <row r="878">
          <cell r="C878">
            <v>3000821</v>
          </cell>
          <cell r="D878" t="str">
            <v>SERV OF PORT FINANCING CHARGE</v>
          </cell>
          <cell r="E878" t="str">
            <v>SV</v>
          </cell>
        </row>
        <row r="879">
          <cell r="C879">
            <v>3000822</v>
          </cell>
          <cell r="D879" t="str">
            <v>SERV OF PORT VARIABLE CHARGE</v>
          </cell>
          <cell r="E879" t="str">
            <v>SV</v>
          </cell>
        </row>
        <row r="880">
          <cell r="C880">
            <v>3000823</v>
          </cell>
          <cell r="D880" t="str">
            <v>SERV OF PORT FIXED CHARGE</v>
          </cell>
          <cell r="E880" t="str">
            <v>SV</v>
          </cell>
        </row>
        <row r="881">
          <cell r="C881">
            <v>3000824</v>
          </cell>
          <cell r="D881" t="str">
            <v>SERV OF HARBOUR DUES</v>
          </cell>
          <cell r="E881" t="str">
            <v>SV</v>
          </cell>
        </row>
        <row r="882">
          <cell r="C882">
            <v>3000825</v>
          </cell>
          <cell r="D882" t="str">
            <v>SERV OF COAL CHAIN COORDINATOR</v>
          </cell>
          <cell r="E882" t="str">
            <v>SV</v>
          </cell>
        </row>
        <row r="883">
          <cell r="C883">
            <v>3000826</v>
          </cell>
          <cell r="D883" t="str">
            <v>SERV OF SHIPPING AGENTS</v>
          </cell>
          <cell r="E883" t="str">
            <v>SV</v>
          </cell>
        </row>
        <row r="884">
          <cell r="C884">
            <v>3000827</v>
          </cell>
          <cell r="D884" t="str">
            <v>SERVICE OF CONSULTING MARKET STUDIES</v>
          </cell>
          <cell r="E884" t="str">
            <v>EA</v>
          </cell>
        </row>
        <row r="885">
          <cell r="C885">
            <v>3000828</v>
          </cell>
          <cell r="D885" t="str">
            <v>SERVICE OF DUE DILLIGENCE</v>
          </cell>
          <cell r="E885" t="str">
            <v>EA</v>
          </cell>
        </row>
        <row r="886">
          <cell r="C886">
            <v>3000829</v>
          </cell>
          <cell r="D886" t="str">
            <v>SERVICE OF PROJECT VALUATIONS</v>
          </cell>
          <cell r="E886" t="str">
            <v>EA</v>
          </cell>
        </row>
        <row r="887">
          <cell r="C887">
            <v>3000830</v>
          </cell>
          <cell r="D887" t="str">
            <v>SERVICE OF PRICE INDEX PUBLICATIONS</v>
          </cell>
          <cell r="E887" t="str">
            <v>EA</v>
          </cell>
        </row>
        <row r="888">
          <cell r="C888">
            <v>3000831</v>
          </cell>
          <cell r="D888" t="str">
            <v>SERVICE OF NEWS BRIEFINGS</v>
          </cell>
          <cell r="E888" t="str">
            <v>EA</v>
          </cell>
        </row>
        <row r="889">
          <cell r="C889">
            <v>3000832</v>
          </cell>
          <cell r="D889" t="str">
            <v>SERVICE OF MARKET STUDIES</v>
          </cell>
          <cell r="E889" t="str">
            <v>EA</v>
          </cell>
        </row>
        <row r="890">
          <cell r="C890">
            <v>3000833</v>
          </cell>
          <cell r="D890">
            <v>0</v>
          </cell>
          <cell r="E890" t="str">
            <v>SV</v>
          </cell>
        </row>
        <row r="891">
          <cell r="C891">
            <v>3000834</v>
          </cell>
          <cell r="D891">
            <v>0</v>
          </cell>
          <cell r="E891" t="str">
            <v>SV</v>
          </cell>
        </row>
        <row r="892">
          <cell r="C892">
            <v>3000835</v>
          </cell>
          <cell r="D892" t="str">
            <v>Sond Exploratória Pesquisa</v>
          </cell>
          <cell r="E892" t="str">
            <v>SV</v>
          </cell>
        </row>
        <row r="893">
          <cell r="C893">
            <v>3000836</v>
          </cell>
          <cell r="D893">
            <v>0</v>
          </cell>
          <cell r="E893" t="str">
            <v>SV</v>
          </cell>
        </row>
        <row r="894">
          <cell r="C894">
            <v>3000837</v>
          </cell>
          <cell r="D894">
            <v>0</v>
          </cell>
          <cell r="E894" t="str">
            <v>SV</v>
          </cell>
        </row>
        <row r="895">
          <cell r="C895">
            <v>3000838</v>
          </cell>
          <cell r="D895" t="str">
            <v>Mining Maint&amp;Repair-Training</v>
          </cell>
          <cell r="E895" t="str">
            <v>SV</v>
          </cell>
        </row>
        <row r="896">
          <cell r="C896">
            <v>3000839</v>
          </cell>
          <cell r="D896" t="str">
            <v>Manut e Reparos - Consultoria</v>
          </cell>
          <cell r="E896" t="str">
            <v>SV</v>
          </cell>
        </row>
        <row r="897">
          <cell r="C897">
            <v>3000840</v>
          </cell>
          <cell r="D897">
            <v>0</v>
          </cell>
          <cell r="E897" t="str">
            <v>SV</v>
          </cell>
        </row>
        <row r="898">
          <cell r="C898">
            <v>3000841</v>
          </cell>
          <cell r="D898">
            <v>0</v>
          </cell>
          <cell r="E898" t="str">
            <v>SV</v>
          </cell>
        </row>
        <row r="899">
          <cell r="C899">
            <v>3000842</v>
          </cell>
          <cell r="D899">
            <v>0</v>
          </cell>
          <cell r="E899" t="str">
            <v>SV</v>
          </cell>
        </row>
        <row r="900">
          <cell r="C900">
            <v>3000843</v>
          </cell>
          <cell r="D900">
            <v>0</v>
          </cell>
          <cell r="E900" t="str">
            <v>SV</v>
          </cell>
        </row>
        <row r="901">
          <cell r="C901">
            <v>3000844</v>
          </cell>
          <cell r="D901">
            <v>0</v>
          </cell>
          <cell r="E901" t="str">
            <v>SV</v>
          </cell>
        </row>
        <row r="902">
          <cell r="C902">
            <v>3000845</v>
          </cell>
          <cell r="D902">
            <v>0</v>
          </cell>
          <cell r="E902" t="str">
            <v>SV</v>
          </cell>
        </row>
        <row r="903">
          <cell r="C903">
            <v>3000846</v>
          </cell>
          <cell r="D903">
            <v>0</v>
          </cell>
          <cell r="E903" t="str">
            <v>SV</v>
          </cell>
        </row>
        <row r="904">
          <cell r="C904">
            <v>3000847</v>
          </cell>
          <cell r="D904">
            <v>0</v>
          </cell>
          <cell r="E904" t="str">
            <v>SV</v>
          </cell>
        </row>
        <row r="905">
          <cell r="C905">
            <v>3000848</v>
          </cell>
          <cell r="D905">
            <v>0</v>
          </cell>
          <cell r="E905" t="str">
            <v>SV</v>
          </cell>
        </row>
        <row r="906">
          <cell r="C906">
            <v>3000849</v>
          </cell>
          <cell r="D906">
            <v>0</v>
          </cell>
          <cell r="E906" t="str">
            <v>SV</v>
          </cell>
        </row>
        <row r="907">
          <cell r="C907">
            <v>3000850</v>
          </cell>
          <cell r="D907">
            <v>0</v>
          </cell>
          <cell r="E907" t="str">
            <v>SV</v>
          </cell>
        </row>
        <row r="908">
          <cell r="C908">
            <v>3000851</v>
          </cell>
          <cell r="D908">
            <v>0</v>
          </cell>
          <cell r="E908" t="str">
            <v>SV</v>
          </cell>
        </row>
        <row r="909">
          <cell r="C909">
            <v>3000852</v>
          </cell>
          <cell r="D909">
            <v>0</v>
          </cell>
          <cell r="E909" t="str">
            <v>SV</v>
          </cell>
        </row>
        <row r="910">
          <cell r="C910">
            <v>3000853</v>
          </cell>
          <cell r="D910">
            <v>0</v>
          </cell>
          <cell r="E910" t="str">
            <v>SV</v>
          </cell>
        </row>
        <row r="911">
          <cell r="C911">
            <v>3000854</v>
          </cell>
          <cell r="D911">
            <v>0</v>
          </cell>
          <cell r="E911" t="str">
            <v>SV</v>
          </cell>
        </row>
        <row r="912">
          <cell r="C912">
            <v>3000855</v>
          </cell>
          <cell r="D912">
            <v>0</v>
          </cell>
          <cell r="E912" t="str">
            <v>SV</v>
          </cell>
        </row>
        <row r="913">
          <cell r="C913">
            <v>3000856</v>
          </cell>
          <cell r="D913">
            <v>0</v>
          </cell>
          <cell r="E913" t="str">
            <v>SV</v>
          </cell>
        </row>
        <row r="914">
          <cell r="C914">
            <v>3000857</v>
          </cell>
          <cell r="D914">
            <v>0</v>
          </cell>
          <cell r="E914" t="str">
            <v>SV</v>
          </cell>
        </row>
        <row r="915">
          <cell r="C915">
            <v>3000858</v>
          </cell>
          <cell r="D915">
            <v>0</v>
          </cell>
          <cell r="E915" t="str">
            <v>SV</v>
          </cell>
        </row>
        <row r="916">
          <cell r="C916">
            <v>3000859</v>
          </cell>
          <cell r="D916">
            <v>0</v>
          </cell>
          <cell r="E916" t="str">
            <v>SV</v>
          </cell>
        </row>
        <row r="917">
          <cell r="C917">
            <v>3000860</v>
          </cell>
          <cell r="D917">
            <v>0</v>
          </cell>
          <cell r="E917" t="str">
            <v>SV</v>
          </cell>
        </row>
        <row r="918">
          <cell r="C918">
            <v>3000861</v>
          </cell>
          <cell r="D918">
            <v>0</v>
          </cell>
          <cell r="E918" t="str">
            <v>SV</v>
          </cell>
        </row>
        <row r="919">
          <cell r="C919">
            <v>3000862</v>
          </cell>
          <cell r="D919">
            <v>0</v>
          </cell>
          <cell r="E919" t="str">
            <v>SV</v>
          </cell>
        </row>
        <row r="920">
          <cell r="C920">
            <v>3000863</v>
          </cell>
          <cell r="D920">
            <v>0</v>
          </cell>
          <cell r="E920" t="str">
            <v>SV</v>
          </cell>
        </row>
        <row r="921">
          <cell r="C921">
            <v>3000864</v>
          </cell>
          <cell r="D921">
            <v>0</v>
          </cell>
          <cell r="E921" t="str">
            <v>SV</v>
          </cell>
        </row>
        <row r="922">
          <cell r="C922">
            <v>3000865</v>
          </cell>
          <cell r="D922">
            <v>0</v>
          </cell>
          <cell r="E922" t="str">
            <v>SV</v>
          </cell>
        </row>
        <row r="923">
          <cell r="C923">
            <v>3000866</v>
          </cell>
          <cell r="D923">
            <v>0</v>
          </cell>
          <cell r="E923" t="str">
            <v>SV</v>
          </cell>
        </row>
        <row r="924">
          <cell r="C924">
            <v>3000867</v>
          </cell>
          <cell r="D924">
            <v>0</v>
          </cell>
          <cell r="E924" t="str">
            <v>SV</v>
          </cell>
        </row>
        <row r="925">
          <cell r="C925">
            <v>3000868</v>
          </cell>
          <cell r="D925">
            <v>0</v>
          </cell>
          <cell r="E925" t="str">
            <v>SV</v>
          </cell>
        </row>
        <row r="926">
          <cell r="C926">
            <v>3000869</v>
          </cell>
          <cell r="D926" t="str">
            <v>Servicos de Meio Ambiente</v>
          </cell>
          <cell r="E926" t="str">
            <v>SV</v>
          </cell>
        </row>
        <row r="927">
          <cell r="C927">
            <v>3000870</v>
          </cell>
          <cell r="D927" t="str">
            <v>Outros Servicos Operacionais</v>
          </cell>
          <cell r="E927" t="str">
            <v>SV</v>
          </cell>
        </row>
        <row r="928">
          <cell r="C928">
            <v>3000871</v>
          </cell>
          <cell r="D928" t="str">
            <v>Serviços de Reparo e Reforma de Pneus</v>
          </cell>
          <cell r="E928" t="str">
            <v>SV</v>
          </cell>
        </row>
        <row r="929">
          <cell r="C929">
            <v>3000872</v>
          </cell>
          <cell r="D929" t="str">
            <v>Serviços de desmonte e explosivos</v>
          </cell>
          <cell r="E929" t="str">
            <v>SV</v>
          </cell>
        </row>
        <row r="930">
          <cell r="C930">
            <v>3000873</v>
          </cell>
          <cell r="D930" t="str">
            <v>Serviços de Correias Transportadoras-Min</v>
          </cell>
          <cell r="E930" t="str">
            <v>SV</v>
          </cell>
        </row>
        <row r="931">
          <cell r="C931">
            <v>3000874</v>
          </cell>
          <cell r="D931" t="str">
            <v>Gestão de tranportadores de correia-Mina</v>
          </cell>
          <cell r="E931" t="str">
            <v>SV</v>
          </cell>
        </row>
        <row r="932">
          <cell r="C932">
            <v>3000875</v>
          </cell>
          <cell r="D932" t="str">
            <v>Serviços de Correias Transportadoras -CH</v>
          </cell>
          <cell r="E932" t="str">
            <v>SV</v>
          </cell>
        </row>
        <row r="933">
          <cell r="C933">
            <v>3000876</v>
          </cell>
          <cell r="D933" t="str">
            <v>Gestão de tranportadores de correia-CHPP</v>
          </cell>
          <cell r="E933" t="str">
            <v>SV</v>
          </cell>
        </row>
        <row r="934">
          <cell r="C934">
            <v>3000877</v>
          </cell>
          <cell r="D934" t="str">
            <v>SALARIOS DA TRIPULACAO</v>
          </cell>
          <cell r="E934" t="str">
            <v>SV</v>
          </cell>
        </row>
        <row r="935">
          <cell r="C935">
            <v>3000878</v>
          </cell>
          <cell r="D935" t="str">
            <v>VIAGEM DA TRIPULACAO</v>
          </cell>
          <cell r="E935" t="str">
            <v>SV</v>
          </cell>
        </row>
        <row r="936">
          <cell r="C936">
            <v>3000879</v>
          </cell>
          <cell r="D936" t="str">
            <v>TREINAMENTO</v>
          </cell>
          <cell r="E936" t="str">
            <v>SV</v>
          </cell>
        </row>
        <row r="937">
          <cell r="C937">
            <v>3000880</v>
          </cell>
          <cell r="D937" t="str">
            <v>OUTROS CUSTOS DA TRIPULACAO</v>
          </cell>
          <cell r="E937" t="str">
            <v>SV</v>
          </cell>
        </row>
        <row r="938">
          <cell r="C938">
            <v>3000881</v>
          </cell>
          <cell r="D938" t="str">
            <v>CUSTOS DA TRIPULACAO</v>
          </cell>
          <cell r="E938" t="str">
            <v>SV</v>
          </cell>
        </row>
        <row r="939">
          <cell r="C939">
            <v>3000882</v>
          </cell>
          <cell r="D939" t="str">
            <v>DESPESAS MEDICA E HOSPITALAR</v>
          </cell>
          <cell r="E939" t="str">
            <v>SV</v>
          </cell>
        </row>
        <row r="940">
          <cell r="C940">
            <v>3000883</v>
          </cell>
          <cell r="D940" t="str">
            <v>ABASTECIMENTO DE PROVISOES</v>
          </cell>
          <cell r="E940" t="str">
            <v>SV</v>
          </cell>
        </row>
        <row r="941">
          <cell r="C941">
            <v>3000884</v>
          </cell>
          <cell r="D941" t="str">
            <v>SERVICO;NUTRICAO</v>
          </cell>
          <cell r="E941" t="str">
            <v>SV</v>
          </cell>
        </row>
        <row r="942">
          <cell r="C942">
            <v>3000894</v>
          </cell>
          <cell r="D942" t="str">
            <v>TOTAL DO GERENCIAMENTO DO NAVIO</v>
          </cell>
          <cell r="E942" t="str">
            <v>SV</v>
          </cell>
        </row>
        <row r="943">
          <cell r="C943">
            <v>3000895</v>
          </cell>
          <cell r="D943" t="str">
            <v>TOTAL DOS CUSTOS DA TRIPULACAO</v>
          </cell>
          <cell r="E943" t="str">
            <v>SV</v>
          </cell>
        </row>
        <row r="944">
          <cell r="C944">
            <v>3000896</v>
          </cell>
          <cell r="D944" t="str">
            <v>PREMIO DE SEGURO CASCO &amp; MAQUINA</v>
          </cell>
          <cell r="E944" t="str">
            <v>SV</v>
          </cell>
        </row>
        <row r="945">
          <cell r="C945">
            <v>3000897</v>
          </cell>
          <cell r="D945" t="str">
            <v>PREMIO DE SEGURO P&amp;I</v>
          </cell>
          <cell r="E945" t="str">
            <v>SV</v>
          </cell>
        </row>
        <row r="946">
          <cell r="C946">
            <v>3000898</v>
          </cell>
          <cell r="D946" t="str">
            <v>FRANQUIAS DE SEGURO</v>
          </cell>
          <cell r="E946" t="str">
            <v>SV</v>
          </cell>
        </row>
        <row r="947">
          <cell r="C947">
            <v>3000899</v>
          </cell>
          <cell r="D947" t="str">
            <v>INSPECOES E SERVICOS</v>
          </cell>
          <cell r="E947" t="str">
            <v>SV</v>
          </cell>
        </row>
        <row r="948">
          <cell r="C948">
            <v>3000900</v>
          </cell>
          <cell r="D948" t="str">
            <v>REPAROS E MANUTENCAO</v>
          </cell>
          <cell r="E948" t="str">
            <v>SV</v>
          </cell>
        </row>
        <row r="949">
          <cell r="C949">
            <v>3000901</v>
          </cell>
          <cell r="D949" t="str">
            <v>TOTAL DOS CUSTOS DE SERVICO</v>
          </cell>
          <cell r="E949" t="str">
            <v>SV</v>
          </cell>
        </row>
        <row r="950">
          <cell r="C950">
            <v>3000902</v>
          </cell>
          <cell r="D950" t="str">
            <v>AUDITORIAS S&amp;Q</v>
          </cell>
          <cell r="E950" t="str">
            <v>SV</v>
          </cell>
        </row>
        <row r="951">
          <cell r="C951">
            <v>3000903</v>
          </cell>
          <cell r="D951" t="str">
            <v>S&amp;Q OPS</v>
          </cell>
          <cell r="E951" t="str">
            <v>SV</v>
          </cell>
        </row>
        <row r="952">
          <cell r="C952">
            <v>3000904</v>
          </cell>
          <cell r="D952" t="str">
            <v>S&amp;Q ADMIN</v>
          </cell>
          <cell r="E952" t="str">
            <v>SV</v>
          </cell>
        </row>
        <row r="953">
          <cell r="C953">
            <v>3000905</v>
          </cell>
          <cell r="D953" t="str">
            <v>TOTAL DOS CUSTOS DE RISCO &amp; SEGURANCA</v>
          </cell>
          <cell r="E953" t="str">
            <v>SV</v>
          </cell>
        </row>
        <row r="954">
          <cell r="C954">
            <v>3000906</v>
          </cell>
          <cell r="D954" t="str">
            <v>DESPESAS DE REGISTRO</v>
          </cell>
          <cell r="E954" t="str">
            <v>SV</v>
          </cell>
        </row>
        <row r="955">
          <cell r="C955">
            <v>3000907</v>
          </cell>
          <cell r="D955" t="str">
            <v>TAXAS DE GERENCIAMENTO</v>
          </cell>
          <cell r="E955" t="str">
            <v>SV</v>
          </cell>
        </row>
        <row r="956">
          <cell r="C956">
            <v>3000908</v>
          </cell>
          <cell r="D956" t="str">
            <v>DESPESAS GERAIS E ADMINISTRATIVAS</v>
          </cell>
          <cell r="E956" t="str">
            <v>SV</v>
          </cell>
        </row>
        <row r="957">
          <cell r="C957">
            <v>3000909</v>
          </cell>
          <cell r="D957" t="str">
            <v>OUTROS CUSTOS</v>
          </cell>
          <cell r="E957" t="str">
            <v>SV</v>
          </cell>
        </row>
        <row r="958">
          <cell r="C958">
            <v>3000910</v>
          </cell>
          <cell r="D958" t="str">
            <v>TOTAL DOS CUSTOS GERAIS</v>
          </cell>
          <cell r="E958" t="str">
            <v>SV</v>
          </cell>
        </row>
        <row r="959">
          <cell r="C959">
            <v>3000911</v>
          </cell>
          <cell r="D959" t="str">
            <v>DOCAGEM</v>
          </cell>
          <cell r="E959" t="str">
            <v>SV</v>
          </cell>
        </row>
        <row r="960">
          <cell r="C960">
            <v>3000912</v>
          </cell>
          <cell r="D960" t="str">
            <v>DESPESAS PRE-OPERACIONAIS</v>
          </cell>
          <cell r="E960" t="str">
            <v>SV</v>
          </cell>
        </row>
        <row r="961">
          <cell r="C961">
            <v>3000913</v>
          </cell>
          <cell r="D961" t="str">
            <v>DESPESA PORTUARIA DO ARMADOR</v>
          </cell>
          <cell r="E961" t="str">
            <v>SV</v>
          </cell>
        </row>
        <row r="962">
          <cell r="C962">
            <v>3000914</v>
          </cell>
          <cell r="D962" t="str">
            <v>DESPESA PORTUARIA DE AFRETAMENTO</v>
          </cell>
          <cell r="E962" t="str">
            <v>SV</v>
          </cell>
        </row>
        <row r="963">
          <cell r="C963">
            <v>3000915</v>
          </cell>
          <cell r="D963" t="str">
            <v>SUPRIMENTOS DE CONVES</v>
          </cell>
          <cell r="E963" t="str">
            <v>SV</v>
          </cell>
        </row>
        <row r="964">
          <cell r="C964">
            <v>3000916</v>
          </cell>
          <cell r="D964" t="str">
            <v>SUPRIMENTOS DE MOTOR</v>
          </cell>
          <cell r="E964" t="str">
            <v>SV</v>
          </cell>
        </row>
        <row r="965">
          <cell r="C965">
            <v>3000917</v>
          </cell>
          <cell r="D965" t="str">
            <v>SUPRIMENTOS GERAIS</v>
          </cell>
          <cell r="E965" t="str">
            <v>SV</v>
          </cell>
        </row>
        <row r="966">
          <cell r="C966">
            <v>3000918</v>
          </cell>
          <cell r="D966" t="str">
            <v>EQUIPAMENTOS SOBRESSALENTES</v>
          </cell>
          <cell r="E966" t="str">
            <v>SV</v>
          </cell>
        </row>
        <row r="967">
          <cell r="C967">
            <v>3000919</v>
          </cell>
          <cell r="D967" t="str">
            <v>LUBRIFICANTES</v>
          </cell>
          <cell r="E967" t="str">
            <v>SV</v>
          </cell>
        </row>
        <row r="968">
          <cell r="C968">
            <v>3000920</v>
          </cell>
          <cell r="D968" t="str">
            <v>EQUIPAMENTOS E SOBRESSAL. CUSTO TOTAL</v>
          </cell>
          <cell r="E968" t="str">
            <v>SV</v>
          </cell>
        </row>
        <row r="969">
          <cell r="C969">
            <v>3000921</v>
          </cell>
          <cell r="D969" t="str">
            <v>SERVICO CONSULTORIA;BARRAGEM</v>
          </cell>
          <cell r="E969" t="str">
            <v>SV</v>
          </cell>
        </row>
        <row r="970">
          <cell r="C970">
            <v>3000922</v>
          </cell>
          <cell r="D970" t="str">
            <v>SERVICO MANUTENCAO;MEC IND/CALD GERAL/EL</v>
          </cell>
          <cell r="E970" t="str">
            <v>SV</v>
          </cell>
        </row>
        <row r="971">
          <cell r="C971">
            <v>3000923</v>
          </cell>
          <cell r="D971" t="str">
            <v>SERV REPARO;PONTOS DE ANCORAGEM</v>
          </cell>
          <cell r="E971" t="str">
            <v>SV</v>
          </cell>
        </row>
        <row r="972">
          <cell r="C972">
            <v>3000924</v>
          </cell>
          <cell r="D972" t="str">
            <v>SERVICO;CALIBRACAO/AFERICAO</v>
          </cell>
          <cell r="E972" t="str">
            <v>SV</v>
          </cell>
        </row>
        <row r="973">
          <cell r="C973">
            <v>3000925</v>
          </cell>
          <cell r="D973" t="str">
            <v>SERVICO DE MOBILIZACAO/DESMOBILIZACAO DE</v>
          </cell>
          <cell r="E973" t="str">
            <v>SV</v>
          </cell>
        </row>
        <row r="974">
          <cell r="C974">
            <v>3000926</v>
          </cell>
          <cell r="D974" t="str">
            <v>SERVICO MANUTENCAO;REFORMA MOTOR POPA YA</v>
          </cell>
          <cell r="E974" t="str">
            <v>SV</v>
          </cell>
        </row>
        <row r="975">
          <cell r="C975">
            <v>3000927</v>
          </cell>
          <cell r="D975" t="str">
            <v>SERVICO CONFEC;LENTES GRADUADAS OCULOS D</v>
          </cell>
          <cell r="E975" t="str">
            <v>SV</v>
          </cell>
        </row>
        <row r="976">
          <cell r="C976">
            <v>3000928</v>
          </cell>
          <cell r="D976" t="str">
            <v>SERVICO;ALTEAMENTO DE BARRAGEM</v>
          </cell>
          <cell r="E976" t="str">
            <v>SV</v>
          </cell>
        </row>
        <row r="977">
          <cell r="C977">
            <v>3000929</v>
          </cell>
          <cell r="D977" t="str">
            <v>SERVICO;LOCACAO IMOVEL</v>
          </cell>
          <cell r="E977" t="str">
            <v>SV</v>
          </cell>
        </row>
        <row r="978">
          <cell r="C978">
            <v>3000930</v>
          </cell>
          <cell r="D978" t="str">
            <v>SERVICO;MEDICAO DE CALADO</v>
          </cell>
          <cell r="E978" t="str">
            <v>SV</v>
          </cell>
        </row>
        <row r="979">
          <cell r="C979">
            <v>3000931</v>
          </cell>
          <cell r="D979" t="str">
            <v>SERVICO;SERASA TAXAS</v>
          </cell>
          <cell r="E979" t="str">
            <v>SV</v>
          </cell>
        </row>
        <row r="980">
          <cell r="C980">
            <v>3000932</v>
          </cell>
          <cell r="D980" t="str">
            <v>SERVICO;INSTALACAO/MANUTENCAO CENTRAL TE</v>
          </cell>
          <cell r="E980" t="str">
            <v>SV</v>
          </cell>
        </row>
        <row r="981">
          <cell r="C981">
            <v>3000933</v>
          </cell>
          <cell r="D981" t="str">
            <v>SERVICO MANUTENCAO;REFORMA CACAMBA</v>
          </cell>
          <cell r="E981" t="str">
            <v>SV</v>
          </cell>
        </row>
        <row r="982">
          <cell r="C982">
            <v>3000934</v>
          </cell>
          <cell r="D982" t="str">
            <v>SERVICO DE MANUTENCAO EM RADIOS COMUNICA</v>
          </cell>
          <cell r="E982" t="str">
            <v>SV</v>
          </cell>
        </row>
        <row r="983">
          <cell r="C983">
            <v>3000935</v>
          </cell>
          <cell r="D983" t="str">
            <v>SERVICO MANUTENCAO;REFORMAR CAMINHAO LUB</v>
          </cell>
          <cell r="E983" t="str">
            <v>SV</v>
          </cell>
        </row>
        <row r="984">
          <cell r="C984">
            <v>3000936</v>
          </cell>
          <cell r="D984" t="str">
            <v>SERVICO PUBLICIDADE;MIDIA ON LINE</v>
          </cell>
          <cell r="E984" t="str">
            <v>SV</v>
          </cell>
        </row>
        <row r="985">
          <cell r="C985">
            <v>3000937</v>
          </cell>
          <cell r="D985" t="str">
            <v>SERVICO MANUTENCAO;PORTAO ELETRONICO</v>
          </cell>
          <cell r="E985" t="str">
            <v>SV</v>
          </cell>
        </row>
        <row r="986">
          <cell r="C986">
            <v>3000938</v>
          </cell>
          <cell r="D986" t="str">
            <v>SERVICO;FUNERAL</v>
          </cell>
          <cell r="E986" t="str">
            <v>SV</v>
          </cell>
        </row>
        <row r="987">
          <cell r="C987">
            <v>3000939</v>
          </cell>
          <cell r="D987" t="str">
            <v>SERVICO;FATURAMENTO TELEFONIA FIXA</v>
          </cell>
          <cell r="E987" t="str">
            <v>SV</v>
          </cell>
        </row>
        <row r="988">
          <cell r="C988">
            <v>3000940</v>
          </cell>
          <cell r="D988" t="str">
            <v>SERVICO;MUDANCA CATEGORIA CNH</v>
          </cell>
          <cell r="E988" t="str">
            <v>SV</v>
          </cell>
        </row>
        <row r="989">
          <cell r="C989">
            <v>3000941</v>
          </cell>
          <cell r="D989" t="str">
            <v>SERVICO;ENVIO AMOSTRA TEST SIDERURGICA</v>
          </cell>
          <cell r="E989" t="str">
            <v>SV</v>
          </cell>
        </row>
        <row r="990">
          <cell r="C990">
            <v>3000942</v>
          </cell>
          <cell r="D990" t="str">
            <v>SERVICO;BOLET IOB</v>
          </cell>
          <cell r="E990" t="str">
            <v>SV</v>
          </cell>
        </row>
        <row r="991">
          <cell r="C991">
            <v>3000943</v>
          </cell>
          <cell r="D991" t="str">
            <v>SERVICO;EMPLACAMENTO VEICULO/EQUIPAMENTO</v>
          </cell>
          <cell r="E991" t="str">
            <v>SV</v>
          </cell>
        </row>
        <row r="992">
          <cell r="C992">
            <v>3000944</v>
          </cell>
          <cell r="D992" t="str">
            <v>SERVICO;TAMPOGRAFIA</v>
          </cell>
          <cell r="E992" t="str">
            <v>SV</v>
          </cell>
        </row>
        <row r="993">
          <cell r="C993">
            <v>3000945</v>
          </cell>
          <cell r="D993" t="str">
            <v>SERVICO LOCACAO;INFORMATICA/TELEFONIA</v>
          </cell>
          <cell r="E993" t="str">
            <v>SV</v>
          </cell>
        </row>
        <row r="994">
          <cell r="C994">
            <v>3000946</v>
          </cell>
          <cell r="D994" t="str">
            <v>SERVICO;GEOFISICA</v>
          </cell>
          <cell r="E994" t="str">
            <v>SV</v>
          </cell>
        </row>
        <row r="995">
          <cell r="C995">
            <v>3000947</v>
          </cell>
          <cell r="D995" t="str">
            <v>SERVICO;AQUISICAO DE NORMAS</v>
          </cell>
          <cell r="E995" t="str">
            <v>SV</v>
          </cell>
        </row>
        <row r="996">
          <cell r="C996">
            <v>3000948</v>
          </cell>
          <cell r="D996" t="str">
            <v>SERVICO MANUTENCAO;REPARO EM SOFT STARTE</v>
          </cell>
          <cell r="E996" t="str">
            <v>SV</v>
          </cell>
        </row>
        <row r="997">
          <cell r="C997">
            <v>3000949</v>
          </cell>
          <cell r="D997" t="str">
            <v>CONTRIBUICAO SINDICAL</v>
          </cell>
          <cell r="E997" t="str">
            <v>SV</v>
          </cell>
        </row>
        <row r="998">
          <cell r="C998">
            <v>3000950</v>
          </cell>
          <cell r="D998" t="str">
            <v>SERVICO DE TELEFONIA E DADOS</v>
          </cell>
          <cell r="E998" t="str">
            <v>SV</v>
          </cell>
        </row>
        <row r="999">
          <cell r="C999">
            <v>3000951</v>
          </cell>
          <cell r="D999" t="str">
            <v>SERVICO MANUTENCAO;PREVENTIVA NO BREAK</v>
          </cell>
          <cell r="E999" t="str">
            <v>SV</v>
          </cell>
        </row>
        <row r="1000">
          <cell r="C1000">
            <v>3000952</v>
          </cell>
          <cell r="D1000" t="str">
            <v>SERVICO;DESP TELEFONIA CELULAR COMUM</v>
          </cell>
          <cell r="E1000" t="str">
            <v>SV</v>
          </cell>
        </row>
        <row r="1001">
          <cell r="C1001">
            <v>3000953</v>
          </cell>
          <cell r="D1001" t="str">
            <v>SERVICO;ALUGUEL DE PLANTAS</v>
          </cell>
          <cell r="E1001" t="str">
            <v>SV</v>
          </cell>
        </row>
        <row r="1002">
          <cell r="C1002">
            <v>3000954</v>
          </cell>
          <cell r="D1002" t="str">
            <v>SERVICO CONTRATACAO MAO DE OBRA;COLOCACA</v>
          </cell>
          <cell r="E1002" t="str">
            <v>SV</v>
          </cell>
        </row>
        <row r="1003">
          <cell r="C1003">
            <v>3000955</v>
          </cell>
          <cell r="D1003" t="str">
            <v>SERVICO;MAO OBRA APLICADA</v>
          </cell>
          <cell r="E1003" t="str">
            <v>SV</v>
          </cell>
        </row>
        <row r="1004">
          <cell r="C1004">
            <v>3000956</v>
          </cell>
          <cell r="D1004" t="str">
            <v>SERVICO;CONSULTORIA</v>
          </cell>
          <cell r="E1004" t="str">
            <v>SV</v>
          </cell>
        </row>
        <row r="1005">
          <cell r="C1005">
            <v>3000957</v>
          </cell>
          <cell r="D1005" t="str">
            <v>TELEFONIA MOVEL (SMP)</v>
          </cell>
          <cell r="E1005" t="str">
            <v>SV</v>
          </cell>
        </row>
        <row r="1006">
          <cell r="C1006">
            <v>3000958</v>
          </cell>
          <cell r="D1006" t="str">
            <v>SERVIÇO DE FRETE</v>
          </cell>
          <cell r="E1006" t="str">
            <v>SV</v>
          </cell>
        </row>
        <row r="1007">
          <cell r="C1007">
            <v>3000959</v>
          </cell>
          <cell r="D1007" t="str">
            <v>DESPESAS VIAGENS DOMÉSTICAS</v>
          </cell>
          <cell r="E1007" t="str">
            <v>SV</v>
          </cell>
        </row>
        <row r="1008">
          <cell r="C1008">
            <v>3000960</v>
          </cell>
          <cell r="D1008" t="str">
            <v>DESPESAS VIAGENS DE TERCEIROS</v>
          </cell>
          <cell r="E1008" t="str">
            <v>SV</v>
          </cell>
        </row>
        <row r="1009">
          <cell r="C1009">
            <v>3000961</v>
          </cell>
          <cell r="D1009" t="str">
            <v>RECEPÇÃO/ EVENTOS EM GERAIS</v>
          </cell>
          <cell r="E1009" t="str">
            <v>SV</v>
          </cell>
        </row>
        <row r="1010">
          <cell r="C1010">
            <v>3000962</v>
          </cell>
          <cell r="D1010" t="str">
            <v>FRETE SOBRE VENDAS ME</v>
          </cell>
          <cell r="E1010" t="str">
            <v>SV</v>
          </cell>
        </row>
        <row r="1011">
          <cell r="C1011">
            <v>3000963</v>
          </cell>
          <cell r="D1011" t="str">
            <v>TELEFONE/FAX</v>
          </cell>
          <cell r="E1011" t="str">
            <v>SV</v>
          </cell>
        </row>
        <row r="1012">
          <cell r="C1012">
            <v>3000964</v>
          </cell>
          <cell r="D1012" t="str">
            <v>DESPATCH - PREMIOS</v>
          </cell>
          <cell r="E1012" t="str">
            <v>SV</v>
          </cell>
        </row>
        <row r="1013">
          <cell r="C1013">
            <v>3000965</v>
          </cell>
          <cell r="D1013" t="str">
            <v>DEMURRAGE - MULTAS</v>
          </cell>
          <cell r="E1013" t="str">
            <v>SV</v>
          </cell>
        </row>
        <row r="1014">
          <cell r="C1014">
            <v>3000966</v>
          </cell>
          <cell r="D1014" t="str">
            <v>TREINAMENTO - NACIONAL</v>
          </cell>
          <cell r="E1014" t="str">
            <v>SV</v>
          </cell>
        </row>
        <row r="1015">
          <cell r="C1015">
            <v>3000967</v>
          </cell>
          <cell r="D1015" t="str">
            <v>TREINAMENTO - EXTERIOR</v>
          </cell>
          <cell r="E1015" t="str">
            <v>SV</v>
          </cell>
        </row>
        <row r="1016">
          <cell r="C1016">
            <v>3000968</v>
          </cell>
          <cell r="D1016" t="str">
            <v>ANALISES/ AMOSTRAGEM</v>
          </cell>
          <cell r="E1016" t="str">
            <v>SV</v>
          </cell>
        </row>
        <row r="1017">
          <cell r="C1017">
            <v>3000969</v>
          </cell>
          <cell r="D1017" t="str">
            <v>DESPESAS COM SEGUROS</v>
          </cell>
          <cell r="E1017" t="str">
            <v>SV</v>
          </cell>
        </row>
        <row r="1018">
          <cell r="C1018">
            <v>3000978</v>
          </cell>
          <cell r="D1018" t="str">
            <v>Inbound</v>
          </cell>
          <cell r="E1018" t="str">
            <v>SV</v>
          </cell>
        </row>
        <row r="1019">
          <cell r="C1019">
            <v>3000979</v>
          </cell>
          <cell r="D1019" t="str">
            <v>Outbound</v>
          </cell>
          <cell r="E1019" t="str">
            <v>SV</v>
          </cell>
        </row>
        <row r="1020">
          <cell r="C1020">
            <v>3000980</v>
          </cell>
          <cell r="D1020" t="str">
            <v>Inbound Anthracite</v>
          </cell>
          <cell r="E1020" t="str">
            <v>SV</v>
          </cell>
        </row>
        <row r="1021">
          <cell r="C1021">
            <v>3000981</v>
          </cell>
          <cell r="D1021" t="str">
            <v>Inbound limestone</v>
          </cell>
          <cell r="E1021" t="str">
            <v>SV</v>
          </cell>
        </row>
        <row r="1022">
          <cell r="C1022">
            <v>3000982</v>
          </cell>
          <cell r="D1022" t="str">
            <v>Pelletizing</v>
          </cell>
          <cell r="E1022" t="str">
            <v>SV</v>
          </cell>
        </row>
        <row r="1023">
          <cell r="C1023">
            <v>3000988</v>
          </cell>
          <cell r="D1023" t="str">
            <v>Supply of material</v>
          </cell>
          <cell r="E1023" t="str">
            <v>SV</v>
          </cell>
        </row>
        <row r="1024">
          <cell r="C1024">
            <v>3000989</v>
          </cell>
          <cell r="D1024" t="str">
            <v>Cloud seedling services / Rain maker</v>
          </cell>
          <cell r="E1024" t="str">
            <v>SV</v>
          </cell>
        </row>
        <row r="1025">
          <cell r="C1025">
            <v>3000990</v>
          </cell>
          <cell r="D1025" t="str">
            <v>Mobilization and demobilization</v>
          </cell>
          <cell r="E1025" t="str">
            <v>SV</v>
          </cell>
        </row>
        <row r="1026">
          <cell r="C1026">
            <v>3000991</v>
          </cell>
          <cell r="D1026" t="str">
            <v>Hydro electric generator and association</v>
          </cell>
          <cell r="E1026" t="str">
            <v>SV</v>
          </cell>
        </row>
        <row r="1027">
          <cell r="C1027">
            <v>3000992</v>
          </cell>
          <cell r="D1027" t="str">
            <v>Hydro electric turbine and association</v>
          </cell>
          <cell r="E1027" t="str">
            <v>SV</v>
          </cell>
        </row>
        <row r="1028">
          <cell r="C1028">
            <v>3000993</v>
          </cell>
          <cell r="D1028" t="str">
            <v>Hydro electrical support and association</v>
          </cell>
          <cell r="E1028" t="str">
            <v>SV</v>
          </cell>
        </row>
        <row r="1029">
          <cell r="C1029">
            <v>3000994</v>
          </cell>
          <cell r="D1029" t="str">
            <v>Hydro electric dam support and associati</v>
          </cell>
          <cell r="E1029" t="str">
            <v>SV</v>
          </cell>
        </row>
        <row r="1030">
          <cell r="C1030">
            <v>3000995</v>
          </cell>
          <cell r="D1030" t="str">
            <v>Formalities service</v>
          </cell>
          <cell r="E1030" t="str">
            <v>SV</v>
          </cell>
        </row>
        <row r="1031">
          <cell r="C1031">
            <v>3000996</v>
          </cell>
          <cell r="D1031" t="str">
            <v>Power generating and acessories up to 1M</v>
          </cell>
          <cell r="E1031" t="str">
            <v>SV</v>
          </cell>
        </row>
        <row r="1032">
          <cell r="C1032">
            <v>3000997</v>
          </cell>
          <cell r="D1032" t="str">
            <v>Power generating and acessories 1MW - 5M</v>
          </cell>
          <cell r="E1032" t="str">
            <v>SV</v>
          </cell>
        </row>
        <row r="1033">
          <cell r="C1033">
            <v>3000998</v>
          </cell>
          <cell r="D1033" t="str">
            <v>Power generating and acessories 5MW up</v>
          </cell>
          <cell r="E1033" t="str">
            <v>SV</v>
          </cell>
        </row>
        <row r="1034">
          <cell r="C1034">
            <v>3000999</v>
          </cell>
          <cell r="D1034" t="str">
            <v>Office equipment rental (printing, plott</v>
          </cell>
          <cell r="E1034" t="str">
            <v>SV</v>
          </cell>
        </row>
        <row r="1035">
          <cell r="C1035">
            <v>3001000</v>
          </cell>
          <cell r="D1035" t="str">
            <v>IT services (voip, wan, isp etc)</v>
          </cell>
          <cell r="E1035" t="str">
            <v>SV</v>
          </cell>
        </row>
        <row r="1036">
          <cell r="C1036">
            <v>3001001</v>
          </cell>
          <cell r="D1036" t="str">
            <v>Underwater work services</v>
          </cell>
          <cell r="E1036" t="str">
            <v>SV</v>
          </cell>
        </row>
        <row r="1037">
          <cell r="C1037">
            <v>3001008</v>
          </cell>
          <cell r="D1037" t="str">
            <v>Manpower supply service (secondment)</v>
          </cell>
          <cell r="E1037" t="str">
            <v>SV</v>
          </cell>
        </row>
        <row r="1038">
          <cell r="C1038">
            <v>3001009</v>
          </cell>
          <cell r="D1038" t="str">
            <v>ARRENDAMENTO UNID. OPERAC.MBR PELA VALE</v>
          </cell>
          <cell r="E1038" t="str">
            <v>SV</v>
          </cell>
        </row>
        <row r="1039">
          <cell r="C1039">
            <v>3001010</v>
          </cell>
          <cell r="D1039" t="str">
            <v>AIR FREIGHT COST</v>
          </cell>
          <cell r="E1039" t="str">
            <v>SV</v>
          </cell>
        </row>
        <row r="1040">
          <cell r="C1040">
            <v>3001018</v>
          </cell>
          <cell r="D1040" t="str">
            <v>SG- Rental of Office</v>
          </cell>
          <cell r="E1040" t="str">
            <v>SV</v>
          </cell>
        </row>
        <row r="1041">
          <cell r="C1041">
            <v>3001019</v>
          </cell>
          <cell r="D1041" t="str">
            <v>SG-Rental of Copier</v>
          </cell>
          <cell r="E1041" t="str">
            <v>SV</v>
          </cell>
        </row>
        <row r="1042">
          <cell r="C1042">
            <v>3001020</v>
          </cell>
          <cell r="D1042" t="str">
            <v>SG-Car Rental for visitor</v>
          </cell>
          <cell r="E1042" t="str">
            <v>SV</v>
          </cell>
        </row>
        <row r="1043">
          <cell r="C1043">
            <v>3001021</v>
          </cell>
          <cell r="D1043" t="str">
            <v>SG- Rental of Plant</v>
          </cell>
          <cell r="E1043" t="str">
            <v>SV</v>
          </cell>
        </row>
        <row r="1044">
          <cell r="C1044">
            <v>3001022</v>
          </cell>
          <cell r="D1044" t="str">
            <v>SG-Telephone</v>
          </cell>
          <cell r="E1044" t="str">
            <v>SV</v>
          </cell>
        </row>
        <row r="1045">
          <cell r="C1045">
            <v>3001023</v>
          </cell>
          <cell r="D1045" t="str">
            <v>SG- Rental of IT equipments</v>
          </cell>
          <cell r="E1045" t="str">
            <v>SV</v>
          </cell>
        </row>
        <row r="1046">
          <cell r="C1046">
            <v>3001024</v>
          </cell>
          <cell r="D1046" t="str">
            <v>SG-Data Processing Svc/IT Support/Copier</v>
          </cell>
          <cell r="E1046" t="str">
            <v>SV</v>
          </cell>
        </row>
        <row r="1047">
          <cell r="C1047">
            <v>3001025</v>
          </cell>
          <cell r="D1047" t="str">
            <v>SG-Cisco recall server tape services/ IT</v>
          </cell>
          <cell r="E1047" t="str">
            <v>SV</v>
          </cell>
        </row>
        <row r="1048">
          <cell r="C1048">
            <v>3001026</v>
          </cell>
          <cell r="D1048" t="str">
            <v>SG-Maint.Halo Room - Studio &amp; Ext Audio</v>
          </cell>
          <cell r="E1048" t="str">
            <v>SV</v>
          </cell>
        </row>
        <row r="1049">
          <cell r="C1049">
            <v>3001027</v>
          </cell>
          <cell r="D1049" t="str">
            <v>SG- Accounts Services</v>
          </cell>
          <cell r="E1049" t="str">
            <v>SV</v>
          </cell>
        </row>
        <row r="1050">
          <cell r="C1050">
            <v>3001028</v>
          </cell>
          <cell r="D1050" t="str">
            <v>SG-Boardroom - Payroll</v>
          </cell>
          <cell r="E1050" t="str">
            <v>SV</v>
          </cell>
        </row>
        <row r="1051">
          <cell r="C1051">
            <v>3001029</v>
          </cell>
          <cell r="D1051" t="str">
            <v>SG-Consulting</v>
          </cell>
          <cell r="E1051" t="str">
            <v>SV</v>
          </cell>
        </row>
        <row r="1052">
          <cell r="C1052">
            <v>3001030</v>
          </cell>
          <cell r="D1052" t="str">
            <v>SG-Studies and Research/Job Evaluation</v>
          </cell>
          <cell r="E1052" t="str">
            <v>SV</v>
          </cell>
        </row>
        <row r="1053">
          <cell r="C1053">
            <v>3001031</v>
          </cell>
          <cell r="D1053" t="str">
            <v>SG-Warehousing</v>
          </cell>
          <cell r="E1053" t="str">
            <v>SV</v>
          </cell>
        </row>
        <row r="1054">
          <cell r="C1054">
            <v>3001032</v>
          </cell>
          <cell r="D1054" t="str">
            <v>SG-R&amp;M Furniture &amp; Fisture/Office Equip.</v>
          </cell>
          <cell r="E1054" t="str">
            <v>SV</v>
          </cell>
        </row>
        <row r="1055">
          <cell r="C1055">
            <v>3001033</v>
          </cell>
          <cell r="D1055" t="str">
            <v>SG-Relocation-Employee language Training</v>
          </cell>
          <cell r="E1055" t="str">
            <v>SV</v>
          </cell>
        </row>
        <row r="1056">
          <cell r="C1056">
            <v>3001034</v>
          </cell>
          <cell r="D1056" t="str">
            <v>SG-Training - domestic</v>
          </cell>
          <cell r="E1056" t="str">
            <v>SV</v>
          </cell>
        </row>
        <row r="1057">
          <cell r="C1057">
            <v>3001035</v>
          </cell>
          <cell r="D1057" t="str">
            <v>SG-Training - abroad</v>
          </cell>
          <cell r="E1057" t="str">
            <v>SV</v>
          </cell>
        </row>
        <row r="1058">
          <cell r="C1058">
            <v>3001036</v>
          </cell>
          <cell r="D1058" t="str">
            <v>SG-Medical &amp; Travel Insurance</v>
          </cell>
          <cell r="E1058" t="str">
            <v>SV</v>
          </cell>
        </row>
        <row r="1059">
          <cell r="C1059">
            <v>3001037</v>
          </cell>
          <cell r="D1059" t="str">
            <v>SG-Medical Exams Occupational Health</v>
          </cell>
          <cell r="E1059" t="str">
            <v>SV</v>
          </cell>
        </row>
        <row r="1060">
          <cell r="C1060">
            <v>3001038</v>
          </cell>
          <cell r="D1060" t="str">
            <v>SG-Recruitment</v>
          </cell>
          <cell r="E1060" t="str">
            <v>SV</v>
          </cell>
        </row>
        <row r="1061">
          <cell r="C1061">
            <v>3001039</v>
          </cell>
          <cell r="D1061" t="str">
            <v>SG-Consulting - Personal Income Tax</v>
          </cell>
          <cell r="E1061" t="str">
            <v>SV</v>
          </cell>
        </row>
        <row r="1062">
          <cell r="C1062">
            <v>3001040</v>
          </cell>
          <cell r="D1062" t="str">
            <v>SG-Relocation - Door to store services</v>
          </cell>
          <cell r="E1062" t="str">
            <v>SV</v>
          </cell>
        </row>
        <row r="1063">
          <cell r="C1063">
            <v>3001041</v>
          </cell>
          <cell r="D1063" t="str">
            <v>SG-Relocation - EP Application</v>
          </cell>
          <cell r="E1063" t="str">
            <v>SV</v>
          </cell>
        </row>
        <row r="1064">
          <cell r="C1064">
            <v>3001042</v>
          </cell>
          <cell r="D1064" t="str">
            <v>SG-Relocation - house search</v>
          </cell>
          <cell r="E1064" t="str">
            <v>SV</v>
          </cell>
        </row>
        <row r="1065">
          <cell r="C1065">
            <v>3001043</v>
          </cell>
          <cell r="D1065" t="str">
            <v>SG-Relocation - Orientation</v>
          </cell>
          <cell r="E1065" t="str">
            <v>SV</v>
          </cell>
        </row>
        <row r="1066">
          <cell r="C1066">
            <v>3001044</v>
          </cell>
          <cell r="D1066" t="str">
            <v>SG-Relocation - School Search</v>
          </cell>
          <cell r="E1066" t="str">
            <v>SV</v>
          </cell>
        </row>
        <row r="1067">
          <cell r="C1067">
            <v>3001045</v>
          </cell>
          <cell r="D1067" t="str">
            <v>SG-Relocation - Spouse Assistance</v>
          </cell>
          <cell r="E1067" t="str">
            <v>SV</v>
          </cell>
        </row>
        <row r="1068">
          <cell r="C1068">
            <v>3001046</v>
          </cell>
          <cell r="D1068" t="str">
            <v>SG-Legal Fees</v>
          </cell>
          <cell r="E1068" t="str">
            <v>SV</v>
          </cell>
        </row>
        <row r="1069">
          <cell r="C1069">
            <v>3001047</v>
          </cell>
          <cell r="D1069" t="str">
            <v>SG-Audit Fees</v>
          </cell>
          <cell r="E1069" t="str">
            <v>SV</v>
          </cell>
        </row>
        <row r="1070">
          <cell r="C1070">
            <v>3001048</v>
          </cell>
          <cell r="D1070" t="str">
            <v>SG-Secretarial Fee</v>
          </cell>
          <cell r="E1070" t="str">
            <v>SV</v>
          </cell>
        </row>
        <row r="1071">
          <cell r="C1071">
            <v>3001049</v>
          </cell>
          <cell r="D1071" t="str">
            <v>SG-Cleaning / Maintenance / Insurance</v>
          </cell>
          <cell r="E1071" t="str">
            <v>SV</v>
          </cell>
        </row>
        <row r="1072">
          <cell r="C1072">
            <v>3001050</v>
          </cell>
          <cell r="D1072" t="str">
            <v>SG-Marketing/Advert./Exhib./Seminars</v>
          </cell>
          <cell r="E1072" t="str">
            <v>SV</v>
          </cell>
        </row>
        <row r="1073">
          <cell r="C1073">
            <v>3001051</v>
          </cell>
          <cell r="D1073" t="str">
            <v>SG-Freight &amp; hanlding Charges - Overseas</v>
          </cell>
          <cell r="E1073" t="str">
            <v>SV</v>
          </cell>
        </row>
        <row r="1074">
          <cell r="C1074">
            <v>3001052</v>
          </cell>
          <cell r="D1074" t="str">
            <v>SG-Medical, Travel &amp; General Insurance</v>
          </cell>
          <cell r="E1074" t="str">
            <v>SV</v>
          </cell>
        </row>
        <row r="1075">
          <cell r="C1075">
            <v>3001053</v>
          </cell>
          <cell r="D1075" t="str">
            <v>SG-Other Benefits</v>
          </cell>
          <cell r="E1075" t="str">
            <v>SV</v>
          </cell>
        </row>
        <row r="1076">
          <cell r="C1076">
            <v>3001054</v>
          </cell>
          <cell r="D1076" t="str">
            <v>SG-Rental of House</v>
          </cell>
          <cell r="E1076" t="str">
            <v>SV</v>
          </cell>
        </row>
        <row r="1077">
          <cell r="C1077">
            <v>3001055</v>
          </cell>
          <cell r="D1077" t="str">
            <v>SG-Rental of Furniture</v>
          </cell>
          <cell r="E1077" t="str">
            <v>SV</v>
          </cell>
        </row>
        <row r="1078">
          <cell r="C1078">
            <v>3001056</v>
          </cell>
          <cell r="D1078" t="str">
            <v>SG-Language training for family members</v>
          </cell>
          <cell r="E1078" t="str">
            <v>SV</v>
          </cell>
        </row>
        <row r="1079">
          <cell r="C1079">
            <v>3001057</v>
          </cell>
          <cell r="D1079" t="str">
            <v>SG-Office Car Park</v>
          </cell>
          <cell r="E1079" t="str">
            <v>SV</v>
          </cell>
        </row>
        <row r="1080">
          <cell r="C1080">
            <v>3001058</v>
          </cell>
          <cell r="D1080" t="str">
            <v>SG-Car Rental for employee</v>
          </cell>
          <cell r="E1080" t="str">
            <v>SV</v>
          </cell>
        </row>
        <row r="1081">
          <cell r="C1081">
            <v>3001059</v>
          </cell>
          <cell r="D1081" t="str">
            <v>SG-Serviced Apartment - Furniture</v>
          </cell>
          <cell r="E1081" t="str">
            <v>SV</v>
          </cell>
        </row>
        <row r="1082">
          <cell r="C1082">
            <v>3001060</v>
          </cell>
          <cell r="D1082" t="str">
            <v>SG-Serviced Apartment - Room</v>
          </cell>
          <cell r="E1082" t="str">
            <v>SV</v>
          </cell>
        </row>
        <row r="1083">
          <cell r="C1083">
            <v>3001061</v>
          </cell>
          <cell r="D1083" t="str">
            <v>SG-Serviced Apartment - Service Charges</v>
          </cell>
          <cell r="E1083" t="str">
            <v>SV</v>
          </cell>
        </row>
        <row r="1084">
          <cell r="C1084">
            <v>3001062</v>
          </cell>
          <cell r="D1084" t="str">
            <v>SG-Gift to Customer</v>
          </cell>
          <cell r="E1084" t="str">
            <v>SV</v>
          </cell>
        </row>
        <row r="1085">
          <cell r="C1085">
            <v>3001063</v>
          </cell>
          <cell r="D1085" t="str">
            <v>SG-Sponsorship</v>
          </cell>
          <cell r="E1085" t="str">
            <v>SV</v>
          </cell>
        </row>
        <row r="1086">
          <cell r="C1086">
            <v>3001064</v>
          </cell>
          <cell r="D1086" t="str">
            <v>SG-Staff Welfare</v>
          </cell>
          <cell r="E1086" t="str">
            <v>SV</v>
          </cell>
        </row>
        <row r="1087">
          <cell r="C1087">
            <v>3001065</v>
          </cell>
          <cell r="D1087" t="str">
            <v>SG-Donation</v>
          </cell>
          <cell r="E1087" t="str">
            <v>SV</v>
          </cell>
        </row>
        <row r="1088">
          <cell r="C1088">
            <v>3001066</v>
          </cell>
          <cell r="D1088" t="str">
            <v>SG-Subscription &amp; Releases</v>
          </cell>
          <cell r="E1088" t="str">
            <v>SV</v>
          </cell>
        </row>
        <row r="1089">
          <cell r="C1089">
            <v>3001067</v>
          </cell>
          <cell r="D1089" t="str">
            <v>SG-Travel</v>
          </cell>
          <cell r="E1089" t="str">
            <v>SV</v>
          </cell>
        </row>
        <row r="1090">
          <cell r="C1090">
            <v>3001068</v>
          </cell>
          <cell r="D1090" t="str">
            <v>SG-TRAVEL -Outsourced Personnel/Invitees</v>
          </cell>
          <cell r="E1090" t="str">
            <v>SV</v>
          </cell>
        </row>
        <row r="1091">
          <cell r="C1091">
            <v>3001069</v>
          </cell>
          <cell r="D1091" t="str">
            <v>SG-Travel - Home Leave</v>
          </cell>
          <cell r="E1091" t="str">
            <v>SV</v>
          </cell>
        </row>
        <row r="1092">
          <cell r="C1092">
            <v>3001070</v>
          </cell>
          <cell r="D1092" t="str">
            <v>SG-Group Critical Illness/Pers. Accident</v>
          </cell>
          <cell r="E1092" t="str">
            <v>SV</v>
          </cell>
        </row>
        <row r="1093">
          <cell r="C1093">
            <v>3001071</v>
          </cell>
          <cell r="D1093" t="str">
            <v>SG-Group Term Life</v>
          </cell>
          <cell r="E1093" t="str">
            <v>SV</v>
          </cell>
        </row>
        <row r="1094">
          <cell r="C1094">
            <v>3001072</v>
          </cell>
          <cell r="D1094" t="str">
            <v>SG-Work Injury Compensation</v>
          </cell>
          <cell r="E1094" t="str">
            <v>SV</v>
          </cell>
        </row>
        <row r="1095">
          <cell r="C1095">
            <v>3001073</v>
          </cell>
          <cell r="D1095" t="str">
            <v>SG-TOLLING</v>
          </cell>
          <cell r="E1095" t="str">
            <v>SV</v>
          </cell>
        </row>
        <row r="1096">
          <cell r="C1096">
            <v>3001074</v>
          </cell>
          <cell r="D1096" t="str">
            <v>SG-SOFTWARE MAINTENANCE</v>
          </cell>
          <cell r="E1096" t="str">
            <v>SV</v>
          </cell>
        </row>
        <row r="1097">
          <cell r="C1097">
            <v>3001075</v>
          </cell>
          <cell r="D1097" t="str">
            <v>SG-Marine Insurance - Export Sales</v>
          </cell>
          <cell r="E1097" t="str">
            <v>SV</v>
          </cell>
        </row>
        <row r="1098">
          <cell r="C1098">
            <v>3001076</v>
          </cell>
          <cell r="D1098" t="str">
            <v>SG-Other Outsourced Services</v>
          </cell>
          <cell r="E1098" t="str">
            <v>SV</v>
          </cell>
        </row>
        <row r="1099">
          <cell r="C1099">
            <v>3001078</v>
          </cell>
          <cell r="D1099" t="str">
            <v>SG-Freight &amp; handling Charges</v>
          </cell>
          <cell r="E1099" t="str">
            <v>SV</v>
          </cell>
        </row>
        <row r="1100">
          <cell r="C1100">
            <v>3001079</v>
          </cell>
          <cell r="D1100" t="str">
            <v>SG-Pre-Employment Checkup</v>
          </cell>
          <cell r="E1100" t="str">
            <v>SV</v>
          </cell>
        </row>
        <row r="1101">
          <cell r="C1101">
            <v>3001080</v>
          </cell>
          <cell r="D1101" t="str">
            <v>SG-Commission</v>
          </cell>
          <cell r="E1101" t="str">
            <v>SV</v>
          </cell>
        </row>
        <row r="1102">
          <cell r="C1102">
            <v>3001081</v>
          </cell>
          <cell r="D1102" t="str">
            <v>SG-Medical &amp; Travel Insurance</v>
          </cell>
          <cell r="E1102" t="str">
            <v>SV</v>
          </cell>
        </row>
        <row r="1103">
          <cell r="C1103">
            <v>3001082</v>
          </cell>
          <cell r="D1103" t="str">
            <v>SERVICE OF DRYING OUT AND HEATING UP</v>
          </cell>
          <cell r="E1103" t="str">
            <v>SV</v>
          </cell>
        </row>
        <row r="1104">
          <cell r="C1104">
            <v>3001083</v>
          </cell>
          <cell r="D1104" t="str">
            <v>CARGA E DESCARGA MANUAL</v>
          </cell>
          <cell r="E1104" t="str">
            <v>SV</v>
          </cell>
        </row>
        <row r="1105">
          <cell r="C1105">
            <v>3001084</v>
          </cell>
          <cell r="D1105" t="str">
            <v>MONTAGEM DE TAMPAS METALICAS</v>
          </cell>
          <cell r="E1105" t="str">
            <v>SV</v>
          </cell>
        </row>
        <row r="1106">
          <cell r="C1106">
            <v>3001085</v>
          </cell>
          <cell r="D1106" t="str">
            <v>MONTAGEM DE ESTRUTURAS METALICAS</v>
          </cell>
          <cell r="E1106" t="str">
            <v>SV</v>
          </cell>
        </row>
        <row r="1107">
          <cell r="C1107">
            <v>3001086</v>
          </cell>
          <cell r="D1107" t="str">
            <v>AIR CONDITIONING SERVICES</v>
          </cell>
          <cell r="E1107" t="str">
            <v>SV</v>
          </cell>
        </row>
        <row r="1108">
          <cell r="C1108">
            <v>3001087</v>
          </cell>
          <cell r="D1108" t="str">
            <v>FURNITURE,FIXTURE,OFFICE EQUIPMENT MAINT</v>
          </cell>
          <cell r="E1108" t="str">
            <v>SV</v>
          </cell>
        </row>
        <row r="1109">
          <cell r="C1109">
            <v>3001088</v>
          </cell>
          <cell r="D1109" t="str">
            <v>CONSTRUCTION SERVICES</v>
          </cell>
          <cell r="E1109" t="str">
            <v>SV</v>
          </cell>
        </row>
        <row r="1110">
          <cell r="C1110">
            <v>3001089</v>
          </cell>
          <cell r="D1110" t="str">
            <v>INTERIOR DECORATION &amp; DESIGN SERVICES</v>
          </cell>
          <cell r="E1110" t="str">
            <v>SV</v>
          </cell>
        </row>
        <row r="1111">
          <cell r="C1111">
            <v>3001090</v>
          </cell>
          <cell r="D1111" t="str">
            <v>CONSULTANCY SERVICES - PAYROLL</v>
          </cell>
          <cell r="E1111" t="str">
            <v>SV</v>
          </cell>
        </row>
        <row r="1112">
          <cell r="C1112">
            <v>3001091</v>
          </cell>
          <cell r="D1112" t="str">
            <v>CONSULTANCY SERVICES - ACCOUNTING</v>
          </cell>
          <cell r="E1112" t="str">
            <v>SV</v>
          </cell>
        </row>
        <row r="1113">
          <cell r="C1113">
            <v>3001092</v>
          </cell>
          <cell r="D1113" t="str">
            <v>CONSULTANCY SERVICES - EXTERNAL AUDIT</v>
          </cell>
          <cell r="E1113" t="str">
            <v>SV</v>
          </cell>
        </row>
        <row r="1114">
          <cell r="C1114">
            <v>3001093</v>
          </cell>
          <cell r="D1114" t="str">
            <v>CONSULTANCY SERVICES - JOB VALUATION</v>
          </cell>
          <cell r="E1114" t="str">
            <v>SV</v>
          </cell>
        </row>
        <row r="1115">
          <cell r="C1115">
            <v>3001094</v>
          </cell>
          <cell r="D1115" t="str">
            <v>CONSULTANCY SERVICES - LEGAL</v>
          </cell>
          <cell r="E1115" t="str">
            <v>SV</v>
          </cell>
        </row>
        <row r="1116">
          <cell r="C1116">
            <v>3001095</v>
          </cell>
          <cell r="D1116" t="str">
            <v>CONSULTANCY - OTHER PEOPLE RELATED</v>
          </cell>
          <cell r="E1116" t="str">
            <v>SV</v>
          </cell>
        </row>
        <row r="1117">
          <cell r="C1117">
            <v>3001096</v>
          </cell>
          <cell r="D1117" t="str">
            <v>CONSULTANCY SERVICES - RECRUITMENT</v>
          </cell>
          <cell r="E1117" t="str">
            <v>SV</v>
          </cell>
        </row>
        <row r="1118">
          <cell r="C1118">
            <v>3001097</v>
          </cell>
          <cell r="D1118" t="str">
            <v>CONSULTANCY - PRE EMPLOYMENT MEDICAL</v>
          </cell>
          <cell r="E1118" t="str">
            <v>SV</v>
          </cell>
        </row>
        <row r="1119">
          <cell r="C1119">
            <v>3001098</v>
          </cell>
          <cell r="D1119" t="str">
            <v>LICENCA DE SOFTWARE - MODE FRONTIER</v>
          </cell>
          <cell r="E1119" t="str">
            <v>SV</v>
          </cell>
        </row>
        <row r="1120">
          <cell r="C1120">
            <v>3001099</v>
          </cell>
          <cell r="D1120" t="str">
            <v>SIGNAGE &amp; BANNERS SERVICES</v>
          </cell>
          <cell r="E1120" t="str">
            <v>SV</v>
          </cell>
        </row>
        <row r="1121">
          <cell r="C1121">
            <v>3001100</v>
          </cell>
          <cell r="D1121" t="str">
            <v>LEASING OF MFP</v>
          </cell>
          <cell r="E1121" t="str">
            <v>SV</v>
          </cell>
        </row>
        <row r="1122">
          <cell r="C1122">
            <v>3001101</v>
          </cell>
          <cell r="D1122" t="str">
            <v>MFP METER CHARGE - BLACK &amp; WHITE</v>
          </cell>
          <cell r="E1122" t="str">
            <v>SV</v>
          </cell>
        </row>
        <row r="1123">
          <cell r="C1123">
            <v>3001102</v>
          </cell>
          <cell r="D1123" t="str">
            <v>MFP METER CHARGE - COLOUR</v>
          </cell>
          <cell r="E1123" t="str">
            <v>SV</v>
          </cell>
        </row>
        <row r="1124">
          <cell r="C1124">
            <v>3001103</v>
          </cell>
          <cell r="D1124" t="str">
            <v>EXHIBITION BOOTH</v>
          </cell>
          <cell r="E1124" t="str">
            <v>SV</v>
          </cell>
        </row>
        <row r="1125">
          <cell r="C1125">
            <v>3001104</v>
          </cell>
          <cell r="D1125" t="str">
            <v>EVENTS SERVICES</v>
          </cell>
          <cell r="E1125" t="str">
            <v>SV</v>
          </cell>
        </row>
        <row r="1126">
          <cell r="C1126">
            <v>3001105</v>
          </cell>
          <cell r="D1126" t="str">
            <v>COURIER SERVICES</v>
          </cell>
          <cell r="E1126" t="str">
            <v>SV</v>
          </cell>
        </row>
        <row r="1127">
          <cell r="C1127">
            <v>3001106</v>
          </cell>
          <cell r="D1127" t="str">
            <v>PLANT SUPPLY SERVICES</v>
          </cell>
          <cell r="E1127" t="str">
            <v>SV</v>
          </cell>
        </row>
        <row r="1128">
          <cell r="C1128">
            <v>3001107</v>
          </cell>
          <cell r="D1128" t="str">
            <v>COPIER MAINTENANCE SERVICES</v>
          </cell>
          <cell r="E1128" t="str">
            <v>SV</v>
          </cell>
        </row>
        <row r="1129">
          <cell r="C1129">
            <v>3001108</v>
          </cell>
          <cell r="D1129" t="str">
            <v>SERVICO DE CONFECCAO DE DISPOSITIVO</v>
          </cell>
          <cell r="E1129" t="str">
            <v>PAR</v>
          </cell>
        </row>
        <row r="1130">
          <cell r="C1130">
            <v>3001109</v>
          </cell>
          <cell r="D1130" t="str">
            <v>HYGIENE SERVICES</v>
          </cell>
          <cell r="E1130" t="str">
            <v>SV</v>
          </cell>
        </row>
        <row r="1131">
          <cell r="C1131">
            <v>3001110</v>
          </cell>
          <cell r="D1131" t="str">
            <v>GREASE TRAP SERVICES FOR OFFICE PANTRY</v>
          </cell>
          <cell r="E1131" t="str">
            <v>SV</v>
          </cell>
        </row>
        <row r="1132">
          <cell r="C1132">
            <v>3001111</v>
          </cell>
          <cell r="D1132" t="str">
            <v>TELEPHONE SERVICES (FIXED LINES)</v>
          </cell>
          <cell r="E1132" t="str">
            <v>SV</v>
          </cell>
        </row>
        <row r="1133">
          <cell r="C1133">
            <v>3001112</v>
          </cell>
          <cell r="D1133" t="str">
            <v>PHOTOGRAPHY &amp; FILMING SERVICES</v>
          </cell>
          <cell r="E1133" t="str">
            <v>SV</v>
          </cell>
        </row>
        <row r="1134">
          <cell r="C1134">
            <v>3001113</v>
          </cell>
          <cell r="D1134" t="str">
            <v>PEST CONTROL SERVICES</v>
          </cell>
          <cell r="E1134" t="str">
            <v>SV</v>
          </cell>
        </row>
        <row r="1135">
          <cell r="C1135">
            <v>3001114</v>
          </cell>
          <cell r="D1135" t="str">
            <v>RENTAL FOR TV &amp; DVD</v>
          </cell>
          <cell r="E1135" t="str">
            <v>SV</v>
          </cell>
        </row>
        <row r="1136">
          <cell r="C1136">
            <v>3001115</v>
          </cell>
          <cell r="D1136" t="str">
            <v>WATER FILTER SERVICES FOR WATER SYSTEM</v>
          </cell>
          <cell r="E1136" t="str">
            <v>SV</v>
          </cell>
        </row>
        <row r="1137">
          <cell r="C1137">
            <v>3001116</v>
          </cell>
          <cell r="D1137" t="str">
            <v>WATER FILTER SERVICES FOR COFFEE MACHINE</v>
          </cell>
          <cell r="E1137" t="str">
            <v>SV</v>
          </cell>
        </row>
        <row r="1138">
          <cell r="C1138">
            <v>3001117</v>
          </cell>
          <cell r="D1138" t="str">
            <v>RENTAL NESCAFE MACHINE</v>
          </cell>
          <cell r="E1138" t="str">
            <v>SV</v>
          </cell>
        </row>
        <row r="1139">
          <cell r="C1139">
            <v>3001118</v>
          </cell>
          <cell r="D1139" t="str">
            <v>TRANSLATION SERVICES</v>
          </cell>
          <cell r="E1139" t="str">
            <v>SV</v>
          </cell>
        </row>
        <row r="1140">
          <cell r="C1140">
            <v>3001119</v>
          </cell>
          <cell r="D1140" t="str">
            <v>TRAVEL AGENCY SERVICES</v>
          </cell>
          <cell r="E1140" t="str">
            <v>SV</v>
          </cell>
        </row>
        <row r="1141">
          <cell r="C1141">
            <v>3001120</v>
          </cell>
          <cell r="D1141" t="str">
            <v>HOUSE RENT (INCLUSIVE MAINTENANCE FEE)</v>
          </cell>
          <cell r="E1141" t="str">
            <v>SV</v>
          </cell>
        </row>
        <row r="1142">
          <cell r="C1142">
            <v>3001121</v>
          </cell>
          <cell r="D1142" t="str">
            <v>FURNITURE RENT (EXPAT)</v>
          </cell>
          <cell r="E1142" t="str">
            <v>SV</v>
          </cell>
        </row>
        <row r="1143">
          <cell r="C1143">
            <v>3001122</v>
          </cell>
          <cell r="D1143" t="str">
            <v>HOME SEARCH</v>
          </cell>
          <cell r="E1143" t="str">
            <v>SV</v>
          </cell>
        </row>
        <row r="1144">
          <cell r="C1144">
            <v>3001123</v>
          </cell>
          <cell r="D1144" t="str">
            <v>ORIENTATION</v>
          </cell>
          <cell r="E1144" t="str">
            <v>SV</v>
          </cell>
        </row>
        <row r="1145">
          <cell r="C1145">
            <v>3001124</v>
          </cell>
          <cell r="D1145" t="str">
            <v>SCHOOL SEARCH</v>
          </cell>
          <cell r="E1145" t="str">
            <v>SV</v>
          </cell>
        </row>
        <row r="1146">
          <cell r="C1146">
            <v>3001125</v>
          </cell>
          <cell r="D1146" t="str">
            <v>SPOUSE CAREER SUPPORT</v>
          </cell>
          <cell r="E1146" t="str">
            <v>SV</v>
          </cell>
        </row>
        <row r="1147">
          <cell r="C1147">
            <v>3001126</v>
          </cell>
          <cell r="D1147" t="str">
            <v>LANGUAGE TRAINING</v>
          </cell>
          <cell r="E1147" t="str">
            <v>SV</v>
          </cell>
        </row>
        <row r="1148">
          <cell r="C1148">
            <v>3001127</v>
          </cell>
          <cell r="D1148" t="str">
            <v>APPLICATION OF EMPLOYMENT PASS (EXPART)</v>
          </cell>
          <cell r="E1148" t="str">
            <v>SV</v>
          </cell>
        </row>
        <row r="1149">
          <cell r="C1149">
            <v>3001128</v>
          </cell>
          <cell r="D1149" t="str">
            <v>GROUP CRITICAL ILLNESS</v>
          </cell>
          <cell r="E1149" t="str">
            <v>SV</v>
          </cell>
        </row>
        <row r="1150">
          <cell r="C1150">
            <v>3001129</v>
          </cell>
          <cell r="D1150" t="str">
            <v>GROUP PERSONAL ACCIDENT</v>
          </cell>
          <cell r="E1150" t="str">
            <v>SV</v>
          </cell>
        </row>
        <row r="1151">
          <cell r="C1151">
            <v>3001130</v>
          </cell>
          <cell r="D1151" t="str">
            <v>GROUP TERM LIFE</v>
          </cell>
          <cell r="E1151" t="str">
            <v>SV</v>
          </cell>
        </row>
        <row r="1152">
          <cell r="C1152">
            <v>3001131</v>
          </cell>
          <cell r="D1152" t="str">
            <v>MEDICAL (MEDICAL &amp; DENTAL)</v>
          </cell>
          <cell r="E1152" t="str">
            <v>SV</v>
          </cell>
        </row>
        <row r="1153">
          <cell r="C1153">
            <v>3001132</v>
          </cell>
          <cell r="D1153" t="str">
            <v>FIRE INSURANCE</v>
          </cell>
          <cell r="E1153" t="str">
            <v>SV</v>
          </cell>
        </row>
        <row r="1154">
          <cell r="C1154">
            <v>3001133</v>
          </cell>
          <cell r="D1154" t="str">
            <v>WORK INJURY COMPENSATION</v>
          </cell>
          <cell r="E1154" t="str">
            <v>SV</v>
          </cell>
        </row>
        <row r="1155">
          <cell r="C1155">
            <v>3001134</v>
          </cell>
          <cell r="D1155" t="str">
            <v>CAR RENTAL (PER USAGE)</v>
          </cell>
          <cell r="E1155" t="str">
            <v>SV</v>
          </cell>
        </row>
        <row r="1156">
          <cell r="C1156">
            <v>3001135</v>
          </cell>
          <cell r="D1156" t="str">
            <v>BACKUP FOR SERVER (SERVICES)</v>
          </cell>
          <cell r="E1156" t="str">
            <v>SV</v>
          </cell>
        </row>
        <row r="1157">
          <cell r="C1157">
            <v>3001136</v>
          </cell>
          <cell r="D1157" t="str">
            <v>SUPPORT / MAINTENANCE</v>
          </cell>
          <cell r="E1157" t="str">
            <v>SV</v>
          </cell>
        </row>
        <row r="1158">
          <cell r="C1158">
            <v>3001137</v>
          </cell>
          <cell r="D1158" t="str">
            <v>NETWORK POINT &amp; ELECTRICAL</v>
          </cell>
          <cell r="E1158" t="str">
            <v>SV</v>
          </cell>
        </row>
        <row r="1159">
          <cell r="C1159">
            <v>3001138</v>
          </cell>
          <cell r="D1159" t="str">
            <v>SOFTWARE LICENSE</v>
          </cell>
          <cell r="E1159" t="str">
            <v>SV</v>
          </cell>
        </row>
        <row r="1160">
          <cell r="C1160">
            <v>3001139</v>
          </cell>
          <cell r="D1160" t="str">
            <v>ONE VALE PROJECT IMPLEMENTATION</v>
          </cell>
          <cell r="E1160" t="str">
            <v>SV</v>
          </cell>
        </row>
        <row r="1161">
          <cell r="C1161">
            <v>3001140</v>
          </cell>
          <cell r="D1161" t="str">
            <v>PORTABLE POP UP MODULAR SYSTEM</v>
          </cell>
          <cell r="E1161" t="str">
            <v>SV</v>
          </cell>
        </row>
        <row r="1162">
          <cell r="C1162">
            <v>3001141</v>
          </cell>
          <cell r="D1162" t="str">
            <v>SOFTWARE MAINTENANCE</v>
          </cell>
          <cell r="E1162" t="str">
            <v>SV</v>
          </cell>
        </row>
        <row r="1163">
          <cell r="C1163">
            <v>3001142</v>
          </cell>
          <cell r="D1163" t="str">
            <v>IT INFRASTRUCTURE MAINTENANCE</v>
          </cell>
          <cell r="E1163" t="str">
            <v>SV</v>
          </cell>
        </row>
        <row r="1164">
          <cell r="C1164">
            <v>3001143</v>
          </cell>
          <cell r="D1164" t="str">
            <v>AIR TICKET (INTERNATIONAL)</v>
          </cell>
          <cell r="E1164" t="str">
            <v>SV</v>
          </cell>
        </row>
        <row r="1165">
          <cell r="C1165">
            <v>3001144</v>
          </cell>
          <cell r="D1165" t="str">
            <v>AIR TICKET (DOMESTIC)</v>
          </cell>
          <cell r="E1165" t="str">
            <v>SV</v>
          </cell>
        </row>
        <row r="1166">
          <cell r="C1166">
            <v>3001145</v>
          </cell>
          <cell r="D1166" t="str">
            <v>TRAVEL INSURANCE</v>
          </cell>
          <cell r="E1166" t="str">
            <v>SV</v>
          </cell>
        </row>
        <row r="1167">
          <cell r="C1167">
            <v>3001146</v>
          </cell>
          <cell r="D1167" t="str">
            <v>HOTEL SERVICES (OVERSEA)</v>
          </cell>
          <cell r="E1167" t="str">
            <v>SV</v>
          </cell>
        </row>
        <row r="1168">
          <cell r="C1168">
            <v>3001147</v>
          </cell>
          <cell r="D1168" t="str">
            <v>HOTEL SERVICES (LOCAL)</v>
          </cell>
          <cell r="E1168" t="str">
            <v>SV</v>
          </cell>
        </row>
        <row r="1169">
          <cell r="C1169">
            <v>3001148</v>
          </cell>
          <cell r="D1169" t="str">
            <v>OFFICE TENANCY</v>
          </cell>
          <cell r="E1169" t="str">
            <v>SV</v>
          </cell>
        </row>
        <row r="1170">
          <cell r="C1170">
            <v>3001149</v>
          </cell>
          <cell r="D1170" t="str">
            <v>OFFICE INSURANCE</v>
          </cell>
          <cell r="E1170" t="str">
            <v>SV</v>
          </cell>
        </row>
        <row r="1171">
          <cell r="C1171">
            <v>3001150</v>
          </cell>
          <cell r="D1171" t="str">
            <v>PARKING RENTAL</v>
          </cell>
          <cell r="E1171" t="str">
            <v>SV</v>
          </cell>
        </row>
        <row r="1172">
          <cell r="C1172">
            <v>3001151</v>
          </cell>
          <cell r="D1172" t="str">
            <v>DONATION</v>
          </cell>
          <cell r="E1172" t="str">
            <v>SV</v>
          </cell>
        </row>
        <row r="1173">
          <cell r="C1173">
            <v>3001152</v>
          </cell>
          <cell r="D1173" t="str">
            <v>CONSULTANCY SERVICES - IT</v>
          </cell>
          <cell r="E1173" t="str">
            <v>SV</v>
          </cell>
        </row>
        <row r="1174">
          <cell r="C1174">
            <v>3001153</v>
          </cell>
          <cell r="D1174" t="str">
            <v>EMPLOYEE ACCESS CARD SERVICES</v>
          </cell>
          <cell r="E1174" t="str">
            <v>SV</v>
          </cell>
        </row>
        <row r="1175">
          <cell r="C1175">
            <v>3001154</v>
          </cell>
          <cell r="D1175" t="str">
            <v>TRANSPORTATION SERVICES</v>
          </cell>
          <cell r="E1175" t="str">
            <v>SV</v>
          </cell>
        </row>
        <row r="1176">
          <cell r="C1176">
            <v>3001155</v>
          </cell>
          <cell r="D1176" t="str">
            <v>EARTHWORK SERVICES</v>
          </cell>
          <cell r="E1176" t="str">
            <v>SV</v>
          </cell>
        </row>
        <row r="1177">
          <cell r="C1177">
            <v>3001156</v>
          </cell>
          <cell r="D1177" t="str">
            <v>DATA PROCESSING SERVICES AND TECH SUPPOR</v>
          </cell>
          <cell r="E1177" t="str">
            <v>SV</v>
          </cell>
        </row>
        <row r="1178">
          <cell r="C1178">
            <v>3001157</v>
          </cell>
          <cell r="D1178" t="str">
            <v>PAYROLL SOFTWARE</v>
          </cell>
          <cell r="E1178" t="str">
            <v>SV</v>
          </cell>
        </row>
        <row r="1179">
          <cell r="C1179">
            <v>3001158</v>
          </cell>
          <cell r="D1179" t="str">
            <v>MONITOR (ALL TYPE) WITH INSTALLATION</v>
          </cell>
          <cell r="E1179" t="str">
            <v>SV</v>
          </cell>
        </row>
        <row r="1180">
          <cell r="C1180">
            <v>3001159</v>
          </cell>
          <cell r="D1180" t="str">
            <v>ABERTURA DE PICADA</v>
          </cell>
          <cell r="E1180" t="str">
            <v>UN</v>
          </cell>
        </row>
        <row r="1181">
          <cell r="C1181">
            <v>3001160</v>
          </cell>
          <cell r="D1181" t="str">
            <v>ABONO FIRMAS</v>
          </cell>
          <cell r="E1181" t="str">
            <v>SV</v>
          </cell>
        </row>
        <row r="1182">
          <cell r="C1182">
            <v>3001161</v>
          </cell>
          <cell r="D1182" t="str">
            <v>ABONO FIRMAS</v>
          </cell>
          <cell r="E1182" t="str">
            <v>UN</v>
          </cell>
        </row>
        <row r="1183">
          <cell r="C1183">
            <v>3001162</v>
          </cell>
          <cell r="D1183" t="str">
            <v>ACABAMENTO DE PRODUTOS</v>
          </cell>
          <cell r="E1183" t="str">
            <v>H</v>
          </cell>
        </row>
        <row r="1184">
          <cell r="C1184">
            <v>3001163</v>
          </cell>
          <cell r="D1184" t="str">
            <v>ACABAMENTO ULTIMAS PART OU COMP D PROD</v>
          </cell>
          <cell r="E1184" t="str">
            <v>SV</v>
          </cell>
        </row>
        <row r="1185">
          <cell r="C1185">
            <v>3001164</v>
          </cell>
          <cell r="D1185" t="str">
            <v>ACABAMENTO DE PRODUTOS</v>
          </cell>
          <cell r="E1185" t="str">
            <v>UN</v>
          </cell>
        </row>
        <row r="1186">
          <cell r="C1186">
            <v>3001165</v>
          </cell>
          <cell r="D1186" t="str">
            <v>ACOMP E FISCAL OBRA ENG, ARQUIT E URBAN</v>
          </cell>
          <cell r="E1186" t="str">
            <v>H</v>
          </cell>
        </row>
        <row r="1187">
          <cell r="C1187">
            <v>3001166</v>
          </cell>
          <cell r="D1187" t="str">
            <v>ACOMP E FISCAL OBRA ENG, ARQUIT E URBAN</v>
          </cell>
          <cell r="E1187" t="str">
            <v>SV</v>
          </cell>
        </row>
        <row r="1188">
          <cell r="C1188">
            <v>3001167</v>
          </cell>
          <cell r="D1188" t="str">
            <v>ACOMP E FISCAL OBRA ENG, ARQUIT E URBAN</v>
          </cell>
          <cell r="E1188" t="str">
            <v>UN</v>
          </cell>
        </row>
        <row r="1189">
          <cell r="C1189">
            <v>3001168</v>
          </cell>
          <cell r="D1189" t="str">
            <v>ACUPUNTURA.</v>
          </cell>
          <cell r="E1189" t="str">
            <v>SV</v>
          </cell>
        </row>
        <row r="1190">
          <cell r="C1190">
            <v>3001169</v>
          </cell>
          <cell r="D1190" t="str">
            <v>ADM EM GERAL - BENS E NEGÓCIO TERCEIRO</v>
          </cell>
          <cell r="E1190" t="str">
            <v>MES</v>
          </cell>
        </row>
        <row r="1191">
          <cell r="C1191">
            <v>3001170</v>
          </cell>
          <cell r="D1191" t="str">
            <v>ADM EM GERAL - BENS E NEGÓCIO TERCEIRO</v>
          </cell>
          <cell r="E1191" t="str">
            <v>UN</v>
          </cell>
        </row>
        <row r="1192">
          <cell r="C1192">
            <v>3001171</v>
          </cell>
          <cell r="D1192" t="str">
            <v>ADM FUNDOS;CONSÓRCIO;CARTÕES;CHEQUES</v>
          </cell>
          <cell r="E1192" t="str">
            <v>UN</v>
          </cell>
        </row>
        <row r="1193">
          <cell r="C1193">
            <v>3001172</v>
          </cell>
          <cell r="D1193" t="str">
            <v>PLANEJAMENTO DE PROJETO</v>
          </cell>
          <cell r="E1193" t="str">
            <v>H</v>
          </cell>
        </row>
        <row r="1194">
          <cell r="C1194">
            <v>3001173</v>
          </cell>
          <cell r="D1194" t="str">
            <v>PLANEJAMENTO DE PROJETO</v>
          </cell>
          <cell r="E1194" t="str">
            <v>MES</v>
          </cell>
        </row>
        <row r="1195">
          <cell r="C1195">
            <v>3001174</v>
          </cell>
          <cell r="D1195" t="str">
            <v>PLANEJAMENTO DE PROJETO</v>
          </cell>
          <cell r="E1195" t="str">
            <v>SV</v>
          </cell>
        </row>
        <row r="1196">
          <cell r="C1196">
            <v>3001175</v>
          </cell>
          <cell r="D1196" t="str">
            <v>PLANEJAMENTO DE PROJETO</v>
          </cell>
          <cell r="E1196" t="str">
            <v>UN</v>
          </cell>
        </row>
        <row r="1197">
          <cell r="C1197">
            <v>3001176</v>
          </cell>
          <cell r="D1197" t="str">
            <v>AEROFOTOGRAMETRIA (S INTERPRETAÇÃO)</v>
          </cell>
          <cell r="E1197" t="str">
            <v>KM2</v>
          </cell>
        </row>
        <row r="1198">
          <cell r="C1198">
            <v>3001177</v>
          </cell>
          <cell r="D1198" t="str">
            <v>AEROFOTOGRAMETRIA (S INTERPRETAÇÃO)</v>
          </cell>
          <cell r="E1198" t="str">
            <v>UN</v>
          </cell>
        </row>
        <row r="1199">
          <cell r="C1199">
            <v>3001178</v>
          </cell>
          <cell r="D1199" t="str">
            <v>AGENCIA,CORRETAG CAMBIO,SEGURO,CART CRED</v>
          </cell>
          <cell r="E1199" t="str">
            <v>SV</v>
          </cell>
        </row>
        <row r="1200">
          <cell r="C1200">
            <v>3001179</v>
          </cell>
          <cell r="D1200" t="str">
            <v>AGENCIA,CORRETAG CAMBIO,SEGURO,CART CRED</v>
          </cell>
          <cell r="E1200" t="str">
            <v>MES</v>
          </cell>
        </row>
        <row r="1201">
          <cell r="C1201">
            <v>3001180</v>
          </cell>
          <cell r="D1201" t="str">
            <v>AGENCIA,CORRETAG CAMBIO,SEGURO,CART CRED</v>
          </cell>
          <cell r="E1201" t="str">
            <v>UN</v>
          </cell>
        </row>
        <row r="1202">
          <cell r="C1202">
            <v>3001181</v>
          </cell>
          <cell r="D1202" t="str">
            <v>AGENCIAM,CORRETAG INTERM CONTR FACTORING</v>
          </cell>
          <cell r="E1202" t="str">
            <v>UN</v>
          </cell>
        </row>
        <row r="1203">
          <cell r="C1203">
            <v>3001182</v>
          </cell>
          <cell r="D1203" t="str">
            <v>AGENCIAM,CORRETAG INTERM CONTR FRANQUIA</v>
          </cell>
          <cell r="E1203" t="str">
            <v>UN</v>
          </cell>
        </row>
        <row r="1204">
          <cell r="C1204">
            <v>3001183</v>
          </cell>
          <cell r="D1204" t="str">
            <v>AGENCIAM,CORRETAG INTERM CONTR LEASING</v>
          </cell>
          <cell r="E1204" t="str">
            <v>UN</v>
          </cell>
        </row>
        <row r="1205">
          <cell r="C1205">
            <v>3001184</v>
          </cell>
          <cell r="D1205" t="str">
            <v>AGENCIAM,CORRETAG INTERM CONTRATOS</v>
          </cell>
          <cell r="E1205" t="str">
            <v>H</v>
          </cell>
        </row>
        <row r="1206">
          <cell r="C1206">
            <v>3001185</v>
          </cell>
          <cell r="D1206" t="str">
            <v>AGENCIAM,CORRETAG,INTERM TITULO EM GERAL</v>
          </cell>
          <cell r="E1206" t="str">
            <v>SV</v>
          </cell>
        </row>
        <row r="1207">
          <cell r="C1207">
            <v>3001186</v>
          </cell>
          <cell r="D1207" t="str">
            <v>AGENCIAM,CORRETAG,INTERM TITULO EM GERAL</v>
          </cell>
          <cell r="E1207" t="str">
            <v>SV</v>
          </cell>
        </row>
        <row r="1208">
          <cell r="C1208">
            <v>3001187</v>
          </cell>
          <cell r="D1208" t="str">
            <v>AGENCIAM,CORRETAG INTERM CONTRATOS</v>
          </cell>
          <cell r="E1208" t="str">
            <v>UN</v>
          </cell>
        </row>
        <row r="1209">
          <cell r="C1209">
            <v>3001188</v>
          </cell>
          <cell r="D1209" t="str">
            <v>AGENCIAM,CORRETAG INTERM DE BENS IMÓVEIS</v>
          </cell>
          <cell r="E1209" t="str">
            <v>UN</v>
          </cell>
        </row>
        <row r="1210">
          <cell r="C1210">
            <v>3001189</v>
          </cell>
          <cell r="D1210" t="str">
            <v>AGENCIAM,CORRETAG INTERM DE CÂMBIO</v>
          </cell>
          <cell r="E1210" t="str">
            <v>UN</v>
          </cell>
        </row>
        <row r="1211">
          <cell r="C1211">
            <v>3001190</v>
          </cell>
          <cell r="D1211" t="str">
            <v>AGENCIA,CORRETAG CAMBIO,SEGURO,CART CRED</v>
          </cell>
          <cell r="E1211" t="str">
            <v>SV</v>
          </cell>
        </row>
        <row r="1212">
          <cell r="C1212">
            <v>3001191</v>
          </cell>
          <cell r="D1212" t="str">
            <v>AGENCIAM,CORRETAG INTERM DE SEGUROS</v>
          </cell>
          <cell r="E1212" t="str">
            <v>UN</v>
          </cell>
        </row>
        <row r="1213">
          <cell r="C1213">
            <v>3001192</v>
          </cell>
          <cell r="D1213" t="str">
            <v>AGENCIAM,CORRETAG INTERM DE TÍTULOS</v>
          </cell>
          <cell r="E1213" t="str">
            <v>UN</v>
          </cell>
        </row>
        <row r="1214">
          <cell r="C1214">
            <v>3001193</v>
          </cell>
          <cell r="D1214" t="str">
            <v>AGENCIAM,CORRETAG INTERM DIR PROP IND</v>
          </cell>
          <cell r="E1214" t="str">
            <v>SV</v>
          </cell>
        </row>
        <row r="1215">
          <cell r="C1215">
            <v>3001194</v>
          </cell>
          <cell r="D1215" t="str">
            <v>AGENCIAM,CORRETAG INTERM PLAN PREV PRIV</v>
          </cell>
          <cell r="E1215" t="str">
            <v>UN</v>
          </cell>
        </row>
        <row r="1216">
          <cell r="C1216">
            <v>3001195</v>
          </cell>
          <cell r="D1216" t="str">
            <v>AGENCIAM; CORRETAG; INTERM; PLAN; SAUDE</v>
          </cell>
          <cell r="E1216" t="str">
            <v>MES</v>
          </cell>
        </row>
        <row r="1217">
          <cell r="C1217">
            <v>3001196</v>
          </cell>
          <cell r="D1217" t="str">
            <v>AGENCIA,CORRETAG CAMBIO,SEGURO,CART CRED</v>
          </cell>
          <cell r="E1217" t="str">
            <v>SV</v>
          </cell>
        </row>
        <row r="1218">
          <cell r="C1218">
            <v>3001197</v>
          </cell>
          <cell r="D1218" t="str">
            <v>AGENCIAM; CORRETAG; INTERM; PLAN; SAUDE;</v>
          </cell>
          <cell r="E1218" t="str">
            <v>UN</v>
          </cell>
        </row>
        <row r="1219">
          <cell r="C1219">
            <v>3001198</v>
          </cell>
          <cell r="D1219" t="str">
            <v>HOSP,CLÍNICA,SANATÓRIO,CONG S CESSÃO MDO</v>
          </cell>
          <cell r="E1219" t="str">
            <v>SV</v>
          </cell>
        </row>
        <row r="1220">
          <cell r="C1220">
            <v>3001199</v>
          </cell>
          <cell r="D1220" t="str">
            <v>HOSP,CLÍNICA,SANATÓRIO,CONG S CESSÃO MDO</v>
          </cell>
          <cell r="E1220" t="str">
            <v>SV</v>
          </cell>
        </row>
        <row r="1221">
          <cell r="C1221">
            <v>3001200</v>
          </cell>
          <cell r="D1221" t="str">
            <v>AGENCIAM,CORRETAG INTERM VLR MOBIL</v>
          </cell>
          <cell r="E1221" t="str">
            <v>UN</v>
          </cell>
        </row>
        <row r="1222">
          <cell r="C1222">
            <v>3001201</v>
          </cell>
          <cell r="D1222" t="str">
            <v>AGENCIAMENTO DE PUBLICIDADE E PROPAGANDA</v>
          </cell>
          <cell r="E1222" t="str">
            <v>SV</v>
          </cell>
        </row>
        <row r="1223">
          <cell r="C1223">
            <v>3001202</v>
          </cell>
          <cell r="D1223" t="str">
            <v>AGENCIAMENTO DE PUBLICIDADE E PROPAGANDA</v>
          </cell>
          <cell r="E1223" t="str">
            <v>UN</v>
          </cell>
        </row>
        <row r="1224">
          <cell r="C1224">
            <v>3001203</v>
          </cell>
          <cell r="D1224" t="str">
            <v>AGENCIAMENTO MARÍTIMO</v>
          </cell>
          <cell r="E1224" t="str">
            <v>H</v>
          </cell>
        </row>
        <row r="1225">
          <cell r="C1225">
            <v>3001204</v>
          </cell>
          <cell r="D1225" t="str">
            <v>AGENCIAMENTO MARÍTIMO.</v>
          </cell>
          <cell r="E1225" t="str">
            <v>SV</v>
          </cell>
        </row>
        <row r="1226">
          <cell r="C1226">
            <v>3001205</v>
          </cell>
          <cell r="D1226" t="str">
            <v>AGENCIAMENTO MARÍTIMO</v>
          </cell>
          <cell r="E1226" t="str">
            <v>UN</v>
          </cell>
        </row>
        <row r="1227">
          <cell r="C1227">
            <v>3001206</v>
          </cell>
          <cell r="D1227" t="str">
            <v>AGENCIAMENTO NOTÍCIAS</v>
          </cell>
          <cell r="E1227" t="str">
            <v>UN</v>
          </cell>
        </row>
        <row r="1228">
          <cell r="C1228">
            <v>3001207</v>
          </cell>
          <cell r="D1228" t="str">
            <v>AGRIMENSURA</v>
          </cell>
          <cell r="E1228" t="str">
            <v>UN</v>
          </cell>
        </row>
        <row r="1229">
          <cell r="C1229">
            <v>3001208</v>
          </cell>
          <cell r="D1229" t="str">
            <v>ENG,ARQUIT,URB,PAISAG,DECOR INTERIORES</v>
          </cell>
          <cell r="E1229" t="str">
            <v>SV</v>
          </cell>
        </row>
        <row r="1230">
          <cell r="C1230">
            <v>3001209</v>
          </cell>
          <cell r="D1230" t="str">
            <v>ALFAIATARIA E COSTURA</v>
          </cell>
          <cell r="E1230" t="str">
            <v>UN</v>
          </cell>
        </row>
        <row r="1231">
          <cell r="C1231">
            <v>3001210</v>
          </cell>
          <cell r="D1231" t="str">
            <v>ALOJAMENTO; REFEITÓRIO</v>
          </cell>
          <cell r="E1231" t="str">
            <v>DIA</v>
          </cell>
        </row>
        <row r="1232">
          <cell r="C1232">
            <v>3001211</v>
          </cell>
          <cell r="D1232" t="str">
            <v>ENG,ARQUIT,URB,PAISAG,DECOR INTERIORES</v>
          </cell>
          <cell r="E1232" t="str">
            <v>SV</v>
          </cell>
        </row>
        <row r="1233">
          <cell r="C1233">
            <v>3001212</v>
          </cell>
          <cell r="D1233" t="str">
            <v>ENG,ARQUIT,URB,PAISAG,DECOR INTERIORES</v>
          </cell>
          <cell r="E1233" t="str">
            <v>SV</v>
          </cell>
        </row>
        <row r="1234">
          <cell r="C1234">
            <v>3001213</v>
          </cell>
          <cell r="D1234" t="str">
            <v>ALOJAMENTO; REFEITÓRIO</v>
          </cell>
          <cell r="E1234" t="str">
            <v>M2</v>
          </cell>
        </row>
        <row r="1235">
          <cell r="C1235">
            <v>3001214</v>
          </cell>
          <cell r="D1235" t="str">
            <v>ENG,ARQUIT,URB,PAISAG,DECOR INTERIORES</v>
          </cell>
          <cell r="E1235" t="str">
            <v>SV</v>
          </cell>
        </row>
        <row r="1236">
          <cell r="C1236">
            <v>3001215</v>
          </cell>
          <cell r="D1236" t="str">
            <v>ENG,ARQUIT,URB,PAISAG,DECOR INTERIORES</v>
          </cell>
          <cell r="E1236" t="str">
            <v>SV</v>
          </cell>
        </row>
        <row r="1237">
          <cell r="C1237">
            <v>3001216</v>
          </cell>
          <cell r="D1237" t="str">
            <v>ALOJAMENTO; REFEITÓRIO</v>
          </cell>
          <cell r="E1237" t="str">
            <v>UN</v>
          </cell>
        </row>
        <row r="1238">
          <cell r="C1238">
            <v>3001217</v>
          </cell>
          <cell r="D1238" t="str">
            <v>ALUGUEL DE SOFTWARE</v>
          </cell>
          <cell r="E1238" t="str">
            <v>H</v>
          </cell>
        </row>
        <row r="1239">
          <cell r="C1239">
            <v>3001218</v>
          </cell>
          <cell r="D1239" t="str">
            <v>ALUGUEL DE SOFTWARE</v>
          </cell>
          <cell r="E1239" t="str">
            <v>SV</v>
          </cell>
        </row>
        <row r="1240">
          <cell r="C1240">
            <v>3001219</v>
          </cell>
          <cell r="D1240" t="str">
            <v>ALUGUEL DE SOFTWARE</v>
          </cell>
          <cell r="E1240" t="str">
            <v>UN</v>
          </cell>
        </row>
        <row r="1241">
          <cell r="C1241">
            <v>3001220</v>
          </cell>
          <cell r="D1241" t="str">
            <v>ALUGUEL DE VEÍCULOS S MOTORISTA - VIAGEM</v>
          </cell>
          <cell r="E1241" t="str">
            <v>DIA</v>
          </cell>
        </row>
        <row r="1242">
          <cell r="C1242">
            <v>3001221</v>
          </cell>
          <cell r="D1242" t="str">
            <v>ALUGUEL DE VEÍCULOS S MOTORISTA - VIAGEM</v>
          </cell>
          <cell r="E1242" t="str">
            <v>H</v>
          </cell>
        </row>
        <row r="1243">
          <cell r="C1243">
            <v>3001222</v>
          </cell>
          <cell r="D1243" t="str">
            <v>ALUGUEL DE VEÍCULOS S MOTORISTA - VIAGEM</v>
          </cell>
          <cell r="E1243" t="str">
            <v>KMS</v>
          </cell>
        </row>
        <row r="1244">
          <cell r="C1244">
            <v>3001223</v>
          </cell>
          <cell r="D1244" t="str">
            <v>ALUGUEL DE VEÍCULOS S MOTORISTA - VIAGEM</v>
          </cell>
          <cell r="E1244" t="str">
            <v>MES</v>
          </cell>
        </row>
        <row r="1245">
          <cell r="C1245">
            <v>3001224</v>
          </cell>
          <cell r="D1245" t="str">
            <v>LOC D VEICULOS,BENS MOVEIS S CESSAO MDO</v>
          </cell>
          <cell r="E1245" t="str">
            <v>SV</v>
          </cell>
        </row>
        <row r="1246">
          <cell r="C1246">
            <v>3001225</v>
          </cell>
          <cell r="D1246" t="str">
            <v>ALUGUEL DE VEÍCULOS S MOTORISTA - VIAGEM</v>
          </cell>
          <cell r="E1246" t="str">
            <v>UN</v>
          </cell>
        </row>
        <row r="1247">
          <cell r="C1247">
            <v>3001226</v>
          </cell>
          <cell r="D1247" t="str">
            <v>ALUGUEL VEÍC ADMINISTRATIVOS C MOTORISTA</v>
          </cell>
          <cell r="E1247" t="str">
            <v>DIA</v>
          </cell>
        </row>
        <row r="1248">
          <cell r="C1248">
            <v>3001227</v>
          </cell>
          <cell r="D1248" t="str">
            <v>ALUGUEL VEÍC ADMINISTRATIVOS C MOTORISTA</v>
          </cell>
          <cell r="E1248" t="str">
            <v>H</v>
          </cell>
        </row>
        <row r="1249">
          <cell r="C1249">
            <v>3001228</v>
          </cell>
          <cell r="D1249" t="str">
            <v>ALUGUEL VEÍC ADMINISTRATIVOS C MOTORISTA</v>
          </cell>
          <cell r="E1249" t="str">
            <v>KMS</v>
          </cell>
        </row>
        <row r="1250">
          <cell r="C1250">
            <v>3001229</v>
          </cell>
          <cell r="D1250" t="str">
            <v>ALUGUEL VEÍC ADMINISTRATIVOS C MOTORISTA</v>
          </cell>
          <cell r="E1250" t="str">
            <v>MES</v>
          </cell>
        </row>
        <row r="1251">
          <cell r="C1251">
            <v>3001230</v>
          </cell>
          <cell r="D1251" t="str">
            <v>LOC EQUIPS COM CESSAO MDO</v>
          </cell>
          <cell r="E1251" t="str">
            <v>SV</v>
          </cell>
        </row>
        <row r="1252">
          <cell r="C1252">
            <v>3001231</v>
          </cell>
          <cell r="D1252" t="str">
            <v>ALUGUEL VEÍC ADMINISTRATIVOS C MOTORISTA</v>
          </cell>
          <cell r="E1252" t="str">
            <v>UN</v>
          </cell>
        </row>
        <row r="1253">
          <cell r="C1253">
            <v>3001232</v>
          </cell>
          <cell r="D1253" t="str">
            <v>ALUGUEL VEÍC ADMINISTRATIVOS S MOTORISTA</v>
          </cell>
          <cell r="E1253" t="str">
            <v>DIA</v>
          </cell>
        </row>
        <row r="1254">
          <cell r="C1254">
            <v>3001233</v>
          </cell>
          <cell r="D1254" t="str">
            <v>ALUGUEL VEÍC ADMINISTRATIVOS S MOTORISTA</v>
          </cell>
          <cell r="E1254" t="str">
            <v>KMS</v>
          </cell>
        </row>
        <row r="1255">
          <cell r="C1255">
            <v>3001234</v>
          </cell>
          <cell r="D1255" t="str">
            <v>ALUGUEL VEÍC ADMINISTRATIVOS S MOTORISTA</v>
          </cell>
          <cell r="E1255" t="str">
            <v>MES</v>
          </cell>
        </row>
        <row r="1256">
          <cell r="C1256">
            <v>3001235</v>
          </cell>
          <cell r="D1256" t="str">
            <v>LOC D VEICULOS,BENS MOVEIS S CESSAO MDO</v>
          </cell>
          <cell r="E1256" t="str">
            <v>SV</v>
          </cell>
        </row>
        <row r="1257">
          <cell r="C1257">
            <v>3001236</v>
          </cell>
          <cell r="D1257" t="str">
            <v>ALUGUEL VEÍC ADMINISTRATIVOS S MOTORISTA</v>
          </cell>
          <cell r="E1257" t="str">
            <v>UN</v>
          </cell>
        </row>
        <row r="1258">
          <cell r="C1258">
            <v>3001237</v>
          </cell>
          <cell r="D1258" t="str">
            <v>ALUGUEL VEÍC OPERACIONAIS S MOTORISTA</v>
          </cell>
          <cell r="E1258" t="str">
            <v>DIA</v>
          </cell>
        </row>
        <row r="1259">
          <cell r="C1259">
            <v>3001238</v>
          </cell>
          <cell r="D1259" t="str">
            <v>ALUGUEL VEÍC OPERACIONAIS S MOTORISTA</v>
          </cell>
          <cell r="E1259" t="str">
            <v>H</v>
          </cell>
        </row>
        <row r="1260">
          <cell r="C1260">
            <v>3001239</v>
          </cell>
          <cell r="D1260" t="str">
            <v>ALUGUEL VEÍC OPERACIONAIS S MOTORISTA</v>
          </cell>
          <cell r="E1260" t="str">
            <v>KMS</v>
          </cell>
        </row>
        <row r="1261">
          <cell r="C1261">
            <v>3001240</v>
          </cell>
          <cell r="D1261" t="str">
            <v>ALUGUEL VEÍC OPERACIONAIS S MOTORISTA</v>
          </cell>
          <cell r="E1261" t="str">
            <v>MES</v>
          </cell>
        </row>
        <row r="1262">
          <cell r="C1262">
            <v>3001241</v>
          </cell>
          <cell r="D1262" t="str">
            <v>ALUGUEL VEÍC OPERACIONAIS S MOTORISTA</v>
          </cell>
          <cell r="E1262" t="str">
            <v>SV</v>
          </cell>
        </row>
        <row r="1263">
          <cell r="C1263">
            <v>3001242</v>
          </cell>
          <cell r="D1263" t="str">
            <v>ALUGUEL VEÍC OPERACIONAIS S MOTORISTA</v>
          </cell>
          <cell r="E1263" t="str">
            <v>UN</v>
          </cell>
        </row>
        <row r="1264">
          <cell r="C1264">
            <v>3001243</v>
          </cell>
          <cell r="D1264" t="str">
            <v>ANÁLISE CLÍNICAS, PATOLÓGICAS E SIMILAR</v>
          </cell>
          <cell r="E1264" t="str">
            <v>SV</v>
          </cell>
        </row>
        <row r="1265">
          <cell r="C1265">
            <v>3001244</v>
          </cell>
          <cell r="D1265" t="str">
            <v>ANÁLISE CLÍNICAS, PATOLÓGICAS E SIMILAR</v>
          </cell>
          <cell r="E1265" t="str">
            <v>UN</v>
          </cell>
        </row>
        <row r="1266">
          <cell r="C1266">
            <v>3001245</v>
          </cell>
          <cell r="D1266" t="str">
            <v>ANÁLISE DE ORGANIZAÇÃO E MÉTODOS</v>
          </cell>
          <cell r="E1266" t="str">
            <v>UN</v>
          </cell>
        </row>
        <row r="1267">
          <cell r="C1267">
            <v>3001246</v>
          </cell>
          <cell r="D1267" t="str">
            <v>ANÁLISE E MONITORAMENTO AMBIENTAL - ÁGUA</v>
          </cell>
          <cell r="E1267" t="str">
            <v>JG</v>
          </cell>
        </row>
        <row r="1268">
          <cell r="C1268">
            <v>3001247</v>
          </cell>
          <cell r="D1268" t="str">
            <v>ANÁLISE E MONITORAMENTO AMBIENTAL - ÁGUA</v>
          </cell>
          <cell r="E1268" t="str">
            <v>SV</v>
          </cell>
        </row>
        <row r="1269">
          <cell r="C1269">
            <v>3001248</v>
          </cell>
          <cell r="D1269" t="str">
            <v>ANÁLISE E MONITORAMENTO AMBIENTAL - ÁGUA</v>
          </cell>
          <cell r="E1269" t="str">
            <v>UN</v>
          </cell>
        </row>
        <row r="1270">
          <cell r="C1270">
            <v>3001249</v>
          </cell>
          <cell r="D1270" t="str">
            <v>ANTEPROJETO PARA TRABALHOS DE ENGENHARIA</v>
          </cell>
          <cell r="E1270" t="str">
            <v>UN</v>
          </cell>
        </row>
        <row r="1271">
          <cell r="C1271">
            <v>3001250</v>
          </cell>
          <cell r="D1271" t="str">
            <v>APOIO EVENTOS</v>
          </cell>
          <cell r="E1271" t="str">
            <v>CT</v>
          </cell>
        </row>
        <row r="1272">
          <cell r="C1272">
            <v>3001251</v>
          </cell>
          <cell r="D1272" t="str">
            <v>APOIO EVENTOS</v>
          </cell>
          <cell r="E1272" t="str">
            <v>DIA</v>
          </cell>
        </row>
        <row r="1273">
          <cell r="C1273">
            <v>3001252</v>
          </cell>
          <cell r="D1273" t="str">
            <v>APOIO EVENTOS</v>
          </cell>
          <cell r="E1273" t="str">
            <v>H</v>
          </cell>
        </row>
        <row r="1274">
          <cell r="C1274">
            <v>3001253</v>
          </cell>
          <cell r="D1274" t="str">
            <v>SUPPORT EVENTS; PLAY</v>
          </cell>
          <cell r="E1274" t="str">
            <v>JG</v>
          </cell>
        </row>
        <row r="1275">
          <cell r="C1275">
            <v>3001254</v>
          </cell>
          <cell r="D1275" t="str">
            <v>SUPPORT EVENTS</v>
          </cell>
          <cell r="E1275" t="str">
            <v>KG</v>
          </cell>
        </row>
        <row r="1276">
          <cell r="C1276">
            <v>3001255</v>
          </cell>
          <cell r="D1276" t="str">
            <v>APOIO EVENTOS</v>
          </cell>
          <cell r="E1276" t="str">
            <v>KMS</v>
          </cell>
        </row>
        <row r="1277">
          <cell r="C1277">
            <v>3001256</v>
          </cell>
          <cell r="D1277" t="str">
            <v>APOIO EVENTOS</v>
          </cell>
          <cell r="E1277" t="str">
            <v>L</v>
          </cell>
        </row>
        <row r="1278">
          <cell r="C1278">
            <v>3001257</v>
          </cell>
          <cell r="D1278" t="str">
            <v>APOIO EVENTOS</v>
          </cell>
          <cell r="E1278" t="str">
            <v>M</v>
          </cell>
        </row>
        <row r="1279">
          <cell r="C1279">
            <v>3001258</v>
          </cell>
          <cell r="D1279" t="str">
            <v>APOIO EVENTOS</v>
          </cell>
          <cell r="E1279" t="str">
            <v>M2</v>
          </cell>
        </row>
        <row r="1280">
          <cell r="C1280">
            <v>3001259</v>
          </cell>
          <cell r="D1280" t="str">
            <v>SUPPORT EVENTS</v>
          </cell>
          <cell r="E1280" t="str">
            <v>MES</v>
          </cell>
        </row>
        <row r="1281">
          <cell r="C1281">
            <v>3001260</v>
          </cell>
          <cell r="D1281" t="str">
            <v>PLANEJ,ORG,ADM DE EVENTOS E CONG</v>
          </cell>
          <cell r="E1281" t="str">
            <v>SV</v>
          </cell>
        </row>
        <row r="1282">
          <cell r="C1282">
            <v>3001261</v>
          </cell>
          <cell r="D1282" t="str">
            <v>APOIO EVENTOS</v>
          </cell>
          <cell r="E1282" t="str">
            <v>UN</v>
          </cell>
        </row>
        <row r="1283">
          <cell r="C1283">
            <v>3001262</v>
          </cell>
          <cell r="D1283" t="str">
            <v>APRESENTAÇÃO PALESTRAS E SIMILARES</v>
          </cell>
          <cell r="E1283" t="str">
            <v>UN</v>
          </cell>
        </row>
        <row r="1284">
          <cell r="C1284">
            <v>3001263</v>
          </cell>
          <cell r="D1284" t="str">
            <v>ARBITRAGEM QLQ ESPÉCIE, INCLUS JURÍDICA</v>
          </cell>
          <cell r="E1284" t="str">
            <v>H</v>
          </cell>
        </row>
        <row r="1285">
          <cell r="C1285">
            <v>3001264</v>
          </cell>
          <cell r="D1285" t="str">
            <v>ARBITRAGEM QLQ ESPÉCIE, INCLUS JURÍDICA</v>
          </cell>
          <cell r="E1285" t="str">
            <v>SV</v>
          </cell>
        </row>
        <row r="1286">
          <cell r="C1286">
            <v>3001265</v>
          </cell>
          <cell r="D1286" t="str">
            <v>ESTUDOS E PRJ ENG ESTRUTURAL - SEM EXEC</v>
          </cell>
          <cell r="E1286" t="str">
            <v>H</v>
          </cell>
        </row>
        <row r="1287">
          <cell r="C1287">
            <v>3001266</v>
          </cell>
          <cell r="D1287" t="str">
            <v>ARMAZ CARGA EM EADIS E ARMAZÉNS GERAIS</v>
          </cell>
          <cell r="E1287" t="str">
            <v>DIA</v>
          </cell>
        </row>
        <row r="1288">
          <cell r="C1288">
            <v>3001267</v>
          </cell>
          <cell r="D1288" t="str">
            <v>ARMAZ CARGA EM EADIS E ARMAZÉNS GERAIS</v>
          </cell>
          <cell r="E1288" t="str">
            <v>H</v>
          </cell>
        </row>
        <row r="1289">
          <cell r="C1289">
            <v>3001268</v>
          </cell>
          <cell r="D1289" t="str">
            <v>ARMAZ CARGA EM EADIS E ARMAZÉNS GERAIS</v>
          </cell>
          <cell r="E1289" t="str">
            <v>PAL</v>
          </cell>
        </row>
        <row r="1290">
          <cell r="C1290">
            <v>3001269</v>
          </cell>
          <cell r="D1290" t="str">
            <v>SRV PORTUARIO,UTILIZ D PORTO,LOGIST CONG</v>
          </cell>
          <cell r="E1290" t="str">
            <v>SV</v>
          </cell>
        </row>
        <row r="1291">
          <cell r="C1291">
            <v>3001270</v>
          </cell>
          <cell r="D1291" t="str">
            <v>ARMAZ CARGA EM EADIS E ARMAZÉNS GERAIS</v>
          </cell>
          <cell r="E1291" t="str">
            <v>TO</v>
          </cell>
        </row>
        <row r="1292">
          <cell r="C1292">
            <v>3001271</v>
          </cell>
          <cell r="D1292" t="str">
            <v>ARMAZ CARGA EM EADIS E ARMAZÉNS GERAIS</v>
          </cell>
          <cell r="E1292" t="str">
            <v>UN</v>
          </cell>
        </row>
        <row r="1293">
          <cell r="C1293">
            <v>3001272</v>
          </cell>
          <cell r="D1293" t="str">
            <v>ARMAZENAGEM DE CARGA EM PORTOS TERCEIROS</v>
          </cell>
          <cell r="E1293" t="str">
            <v>DIA</v>
          </cell>
        </row>
        <row r="1294">
          <cell r="C1294">
            <v>3001273</v>
          </cell>
          <cell r="D1294" t="str">
            <v>ARMAZENAGEM DE CARGA EM PORTOS TERCEIROS</v>
          </cell>
          <cell r="E1294" t="str">
            <v>H</v>
          </cell>
        </row>
        <row r="1295">
          <cell r="C1295">
            <v>3001274</v>
          </cell>
          <cell r="D1295" t="str">
            <v>ARMAZENAGEM DE CARGA EM PORTOS TERCEIROS</v>
          </cell>
          <cell r="E1295" t="str">
            <v>KMS</v>
          </cell>
        </row>
        <row r="1296">
          <cell r="C1296">
            <v>3001275</v>
          </cell>
          <cell r="D1296" t="str">
            <v>ARMAZENAGEM DE CARGA EM PORTOS TERCEIROS</v>
          </cell>
          <cell r="E1296" t="str">
            <v>MES</v>
          </cell>
        </row>
        <row r="1297">
          <cell r="C1297">
            <v>3001276</v>
          </cell>
          <cell r="D1297" t="str">
            <v>ARMAZENAGEM DE CARGA EM PORTOS TERCEIROS</v>
          </cell>
          <cell r="E1297" t="str">
            <v>PAL</v>
          </cell>
        </row>
        <row r="1298">
          <cell r="C1298">
            <v>3001277</v>
          </cell>
          <cell r="D1298" t="str">
            <v>ARMAZENAGEM DE CARGA EM PORTOS TERCEIROS</v>
          </cell>
          <cell r="E1298" t="str">
            <v>SEM</v>
          </cell>
        </row>
        <row r="1299">
          <cell r="C1299">
            <v>3001278</v>
          </cell>
          <cell r="D1299" t="str">
            <v>ARMAZENAGEM DE CARGA EM PORTOS TERCEIROS</v>
          </cell>
          <cell r="E1299" t="str">
            <v>SV</v>
          </cell>
        </row>
        <row r="1300">
          <cell r="C1300">
            <v>3001279</v>
          </cell>
          <cell r="D1300" t="str">
            <v>ARMAZENAGEM DE CARGA EM PORTOS TERCEIROS</v>
          </cell>
          <cell r="E1300" t="str">
            <v>TO</v>
          </cell>
        </row>
        <row r="1301">
          <cell r="C1301">
            <v>3001280</v>
          </cell>
          <cell r="D1301" t="str">
            <v>ARMAZENAGEM DE CARGA EM PORTOS TERCEIROS</v>
          </cell>
          <cell r="E1301" t="str">
            <v>UN</v>
          </cell>
        </row>
        <row r="1302">
          <cell r="C1302">
            <v>3001281</v>
          </cell>
          <cell r="D1302" t="str">
            <v>ARMAZENAGEM DE CARGAS</v>
          </cell>
          <cell r="E1302" t="str">
            <v>DIA</v>
          </cell>
        </row>
        <row r="1303">
          <cell r="C1303">
            <v>3001282</v>
          </cell>
          <cell r="D1303" t="str">
            <v>MOV MAT,CARGA,DESCARGA,ARRUM,ARMAZENAM</v>
          </cell>
          <cell r="E1303" t="str">
            <v>SV</v>
          </cell>
        </row>
        <row r="1304">
          <cell r="C1304">
            <v>3001283</v>
          </cell>
          <cell r="D1304" t="str">
            <v>MOV MAT,CARGA,DESCARGA,ARRUM,ARMAZENAM</v>
          </cell>
          <cell r="E1304" t="str">
            <v>SV</v>
          </cell>
        </row>
        <row r="1305">
          <cell r="C1305">
            <v>3001284</v>
          </cell>
          <cell r="D1305" t="str">
            <v>MOV MAT,CARGA,DESCARGA,ARRUM,ARMAZENAM</v>
          </cell>
          <cell r="E1305" t="str">
            <v>SV</v>
          </cell>
        </row>
        <row r="1306">
          <cell r="C1306">
            <v>3001285</v>
          </cell>
          <cell r="D1306" t="str">
            <v>MOV MAT,CARGA,DESCARGA,ARRUM,ARMAZENAM</v>
          </cell>
          <cell r="E1306" t="str">
            <v>SV</v>
          </cell>
        </row>
        <row r="1307">
          <cell r="C1307">
            <v>3001286</v>
          </cell>
          <cell r="D1307" t="str">
            <v>ARMAZENAGEM DE CARGAS</v>
          </cell>
          <cell r="E1307" t="str">
            <v>UN</v>
          </cell>
        </row>
        <row r="1308">
          <cell r="C1308">
            <v>3001287</v>
          </cell>
          <cell r="D1308" t="str">
            <v>ARQUEOLOGIA EM GERAL</v>
          </cell>
          <cell r="E1308" t="str">
            <v>DIA</v>
          </cell>
        </row>
        <row r="1309">
          <cell r="C1309">
            <v>3001288</v>
          </cell>
          <cell r="D1309" t="str">
            <v>ARQUEOLOGIA EM GERAL</v>
          </cell>
          <cell r="E1309" t="str">
            <v>H</v>
          </cell>
        </row>
        <row r="1310">
          <cell r="C1310">
            <v>3001289</v>
          </cell>
          <cell r="D1310" t="str">
            <v>ARQUEOLOGIA EM GERAL</v>
          </cell>
          <cell r="E1310" t="str">
            <v>SV</v>
          </cell>
        </row>
        <row r="1311">
          <cell r="C1311">
            <v>3001290</v>
          </cell>
          <cell r="D1311" t="str">
            <v>ARQUEOLOGIA EM GERAL</v>
          </cell>
          <cell r="E1311" t="str">
            <v>UN</v>
          </cell>
        </row>
        <row r="1312">
          <cell r="C1312">
            <v>3001291</v>
          </cell>
          <cell r="D1312" t="str">
            <v>ARQUITETURA</v>
          </cell>
          <cell r="E1312" t="str">
            <v>H</v>
          </cell>
        </row>
        <row r="1313">
          <cell r="C1313">
            <v>3001292</v>
          </cell>
          <cell r="D1313" t="str">
            <v>ARQUITETURA</v>
          </cell>
          <cell r="E1313" t="str">
            <v>UN</v>
          </cell>
        </row>
        <row r="1314">
          <cell r="C1314">
            <v>3001293</v>
          </cell>
          <cell r="D1314" t="str">
            <v>ARRENDAMENTO MERCANTIL (LEASING)</v>
          </cell>
          <cell r="E1314" t="str">
            <v>SV</v>
          </cell>
        </row>
        <row r="1315">
          <cell r="C1315">
            <v>3001294</v>
          </cell>
          <cell r="D1315" t="str">
            <v>ARRENDAMENTO MERCANTIL (LEASING)</v>
          </cell>
          <cell r="E1315" t="str">
            <v>TO</v>
          </cell>
        </row>
        <row r="1316">
          <cell r="C1316">
            <v>3001295</v>
          </cell>
          <cell r="D1316" t="str">
            <v>ARRENDAMENTO MERCANTIL (LEASING)</v>
          </cell>
          <cell r="E1316" t="str">
            <v>UN</v>
          </cell>
        </row>
        <row r="1317">
          <cell r="C1317">
            <v>3001296</v>
          </cell>
          <cell r="D1317" t="str">
            <v>ARRUNAÇÃO E ARMAZENAMENTO</v>
          </cell>
          <cell r="E1317" t="str">
            <v>CX</v>
          </cell>
        </row>
        <row r="1318">
          <cell r="C1318">
            <v>3001297</v>
          </cell>
          <cell r="D1318" t="str">
            <v>MOV MAT,CARGA,DESCARGA,ARRUM,ARMAZENAM</v>
          </cell>
          <cell r="E1318" t="str">
            <v>SV</v>
          </cell>
        </row>
        <row r="1319">
          <cell r="C1319">
            <v>3001298</v>
          </cell>
          <cell r="D1319" t="str">
            <v>MOV MAT,CARGA,DESCARGA,ARRUM,ARMAZENAM</v>
          </cell>
          <cell r="E1319" t="str">
            <v>SV</v>
          </cell>
        </row>
        <row r="1320">
          <cell r="C1320">
            <v>3001299</v>
          </cell>
          <cell r="D1320" t="str">
            <v>ARRUMAÇÃO E ARMAZENAMENTO</v>
          </cell>
          <cell r="E1320" t="str">
            <v>UN</v>
          </cell>
        </row>
        <row r="1321">
          <cell r="C1321">
            <v>3001300</v>
          </cell>
          <cell r="D1321" t="str">
            <v>ASPERÇÃO</v>
          </cell>
          <cell r="E1321" t="str">
            <v>KMS</v>
          </cell>
        </row>
        <row r="1322">
          <cell r="C1322">
            <v>3001301</v>
          </cell>
          <cell r="D1322" t="str">
            <v>ASPERÇÃO</v>
          </cell>
          <cell r="E1322" t="str">
            <v>M</v>
          </cell>
        </row>
        <row r="1323">
          <cell r="C1323">
            <v>3001302</v>
          </cell>
          <cell r="D1323" t="str">
            <v>ASPERÇÃO</v>
          </cell>
          <cell r="E1323" t="str">
            <v>M2</v>
          </cell>
        </row>
        <row r="1324">
          <cell r="C1324">
            <v>3001303</v>
          </cell>
          <cell r="D1324" t="str">
            <v>ASPERÇÃO</v>
          </cell>
          <cell r="E1324" t="str">
            <v>MES</v>
          </cell>
        </row>
        <row r="1325">
          <cell r="C1325">
            <v>3001304</v>
          </cell>
          <cell r="D1325" t="str">
            <v>ASPERÇÃO</v>
          </cell>
          <cell r="E1325" t="str">
            <v>SV</v>
          </cell>
        </row>
        <row r="1326">
          <cell r="C1326">
            <v>3001305</v>
          </cell>
          <cell r="D1326" t="str">
            <v>ASPERÇÃO</v>
          </cell>
          <cell r="E1326" t="str">
            <v>UN</v>
          </cell>
        </row>
        <row r="1327">
          <cell r="C1327">
            <v>3001306</v>
          </cell>
          <cell r="D1327" t="str">
            <v>ASSESS E CONSULT; EXCT TI, FIN E ECO</v>
          </cell>
          <cell r="E1327" t="str">
            <v>DIA</v>
          </cell>
        </row>
        <row r="1328">
          <cell r="C1328">
            <v>3001307</v>
          </cell>
          <cell r="D1328" t="str">
            <v>ASSESS E CONSULT; EXCT TI, FIN E ECO</v>
          </cell>
          <cell r="E1328" t="str">
            <v>H</v>
          </cell>
        </row>
        <row r="1329">
          <cell r="C1329">
            <v>3001308</v>
          </cell>
          <cell r="D1329" t="str">
            <v>ASSESS E CONSULT; EXCT TI, FIN E ECO</v>
          </cell>
          <cell r="E1329" t="str">
            <v>MES</v>
          </cell>
        </row>
        <row r="1330">
          <cell r="C1330">
            <v>3001309</v>
          </cell>
          <cell r="D1330" t="str">
            <v>ASSESSORIA OU CONSULTORIA DE QQ NATUREZA</v>
          </cell>
          <cell r="E1330" t="str">
            <v>SV</v>
          </cell>
        </row>
        <row r="1331">
          <cell r="C1331">
            <v>3001310</v>
          </cell>
          <cell r="D1331" t="str">
            <v>ASSESS E CONSULT; EXCT TI, FIN E ECO</v>
          </cell>
          <cell r="E1331" t="str">
            <v>UN</v>
          </cell>
        </row>
        <row r="1332">
          <cell r="C1332">
            <v>3001311</v>
          </cell>
          <cell r="D1332" t="str">
            <v>ASSESS FINANC CONTAS RECEBER;PAGAR</v>
          </cell>
          <cell r="E1332" t="str">
            <v>DIA</v>
          </cell>
        </row>
        <row r="1333">
          <cell r="C1333">
            <v>3001312</v>
          </cell>
          <cell r="D1333" t="str">
            <v>ASSESS FINANC CONTAS RECEBER;PAGAR</v>
          </cell>
          <cell r="E1333" t="str">
            <v>SV</v>
          </cell>
        </row>
        <row r="1334">
          <cell r="C1334">
            <v>3001313</v>
          </cell>
          <cell r="D1334" t="str">
            <v>ASSESSORIA DE IMPRENSA</v>
          </cell>
          <cell r="E1334" t="str">
            <v>H</v>
          </cell>
        </row>
        <row r="1335">
          <cell r="C1335">
            <v>3001314</v>
          </cell>
          <cell r="D1335" t="str">
            <v>ASSESSORIA DE IMPRENSA</v>
          </cell>
          <cell r="E1335" t="str">
            <v>MES</v>
          </cell>
        </row>
        <row r="1336">
          <cell r="C1336">
            <v>3001315</v>
          </cell>
          <cell r="D1336" t="str">
            <v>SRV REPORT,ASSESS IMPRENSA,RELACOES PUB</v>
          </cell>
          <cell r="E1336" t="str">
            <v>SV</v>
          </cell>
        </row>
        <row r="1337">
          <cell r="C1337">
            <v>3001316</v>
          </cell>
          <cell r="D1337" t="str">
            <v>ASSESSORIA DE IMPRENSA</v>
          </cell>
          <cell r="E1337" t="str">
            <v>UN</v>
          </cell>
        </row>
        <row r="1338">
          <cell r="C1338">
            <v>3001317</v>
          </cell>
          <cell r="D1338" t="str">
            <v>ASSESSORIA EM COMUNICAÇÃO</v>
          </cell>
          <cell r="E1338" t="str">
            <v>UN</v>
          </cell>
        </row>
        <row r="1339">
          <cell r="C1339">
            <v>3001318</v>
          </cell>
          <cell r="D1339" t="str">
            <v>OUTRAS DESPESAS</v>
          </cell>
          <cell r="E1339" t="str">
            <v>SV</v>
          </cell>
        </row>
        <row r="1340">
          <cell r="C1340">
            <v>3001319</v>
          </cell>
          <cell r="D1340" t="str">
            <v>CONSULTORIA E ASSESSORIA EM TI</v>
          </cell>
          <cell r="E1340" t="str">
            <v>DIA</v>
          </cell>
        </row>
        <row r="1341">
          <cell r="C1341">
            <v>3001320</v>
          </cell>
          <cell r="D1341" t="str">
            <v>CONSULTORIA E ASSESSORIA EM TI</v>
          </cell>
          <cell r="E1341" t="str">
            <v>H</v>
          </cell>
        </row>
        <row r="1342">
          <cell r="C1342">
            <v>3001321</v>
          </cell>
          <cell r="D1342" t="str">
            <v>CONSULTORIA E ASSESSORIA EM TI</v>
          </cell>
          <cell r="E1342" t="str">
            <v>MES</v>
          </cell>
        </row>
        <row r="1343">
          <cell r="C1343">
            <v>3001322</v>
          </cell>
          <cell r="D1343" t="str">
            <v>ASSESSORIA E CONSULTORIA EM INFORMATICA</v>
          </cell>
          <cell r="E1343" t="str">
            <v>SV</v>
          </cell>
        </row>
        <row r="1344">
          <cell r="C1344">
            <v>3001323</v>
          </cell>
          <cell r="D1344" t="str">
            <v>CONSULTORIA E ASSESSORIA EM TI</v>
          </cell>
          <cell r="E1344" t="str">
            <v>UN</v>
          </cell>
        </row>
        <row r="1345">
          <cell r="C1345">
            <v>3001324</v>
          </cell>
          <cell r="D1345" t="str">
            <v>ASSINATURA DE ACESSO A INFO ELETRÔNICA</v>
          </cell>
          <cell r="E1345" t="str">
            <v>ANO</v>
          </cell>
        </row>
        <row r="1346">
          <cell r="C1346">
            <v>3001325</v>
          </cell>
          <cell r="D1346" t="str">
            <v>ASSINATURA DE ACESSO A INFO ELETRÔNICA</v>
          </cell>
          <cell r="E1346" t="str">
            <v>MES</v>
          </cell>
        </row>
        <row r="1347">
          <cell r="C1347">
            <v>3001326</v>
          </cell>
          <cell r="D1347" t="str">
            <v>ASSINATURA DE ACESSO A INFO ELETRÔNICA</v>
          </cell>
          <cell r="E1347" t="str">
            <v>PC</v>
          </cell>
        </row>
        <row r="1348">
          <cell r="C1348">
            <v>3001327</v>
          </cell>
          <cell r="D1348" t="str">
            <v>ASSINATURA D ACESSO A INFORMACAO ELETR</v>
          </cell>
          <cell r="E1348" t="str">
            <v>SV</v>
          </cell>
        </row>
        <row r="1349">
          <cell r="C1349">
            <v>3001328</v>
          </cell>
          <cell r="D1349" t="str">
            <v>ASSINATURA DE ACESSO A INFO ELETRÔNICA</v>
          </cell>
          <cell r="E1349" t="str">
            <v>UN</v>
          </cell>
        </row>
        <row r="1350">
          <cell r="C1350">
            <v>3001329</v>
          </cell>
          <cell r="D1350" t="str">
            <v>ASSIST TÉCNICA FABRICANTE REVENDEDOR</v>
          </cell>
          <cell r="E1350" t="str">
            <v>DIA</v>
          </cell>
        </row>
        <row r="1351">
          <cell r="C1351">
            <v>3001330</v>
          </cell>
          <cell r="D1351" t="str">
            <v>ASSIST TÉCNICA FABRICANTE REVENDEDOR</v>
          </cell>
          <cell r="E1351" t="str">
            <v>H</v>
          </cell>
        </row>
        <row r="1352">
          <cell r="C1352">
            <v>3001331</v>
          </cell>
          <cell r="D1352" t="str">
            <v>ASSIST TÉCNICA FABRICANTE REVENDEDOR</v>
          </cell>
          <cell r="E1352" t="str">
            <v>SV</v>
          </cell>
        </row>
        <row r="1353">
          <cell r="C1353">
            <v>3001332</v>
          </cell>
          <cell r="D1353" t="str">
            <v>ASSIST TÉCNICA FABRICANTE REVENDEDOR</v>
          </cell>
          <cell r="E1353" t="str">
            <v>UN</v>
          </cell>
        </row>
        <row r="1354">
          <cell r="C1354">
            <v>3001333</v>
          </cell>
          <cell r="D1354" t="str">
            <v>ATERRO SANITÁRIO</v>
          </cell>
          <cell r="E1354" t="str">
            <v>KG</v>
          </cell>
        </row>
        <row r="1355">
          <cell r="C1355">
            <v>3001334</v>
          </cell>
          <cell r="D1355" t="str">
            <v>ATERRO SANITÁRIO</v>
          </cell>
          <cell r="E1355" t="str">
            <v>MES</v>
          </cell>
        </row>
        <row r="1356">
          <cell r="C1356">
            <v>3001335</v>
          </cell>
          <cell r="D1356" t="str">
            <v>ATERRO SANITÁRIO</v>
          </cell>
          <cell r="E1356" t="str">
            <v>TO</v>
          </cell>
        </row>
        <row r="1357">
          <cell r="C1357">
            <v>3001336</v>
          </cell>
          <cell r="D1357" t="str">
            <v>ATERRO SANITÁRIO</v>
          </cell>
          <cell r="E1357" t="str">
            <v>UN</v>
          </cell>
        </row>
        <row r="1358">
          <cell r="C1358">
            <v>3001337</v>
          </cell>
          <cell r="D1358" t="str">
            <v>ATRACAÇÃO E DESATRACAÇÃO</v>
          </cell>
          <cell r="E1358" t="str">
            <v>H</v>
          </cell>
        </row>
        <row r="1359">
          <cell r="C1359">
            <v>3001338</v>
          </cell>
          <cell r="D1359" t="str">
            <v>ATRACAÇÃO E DESATRACAÇÃO</v>
          </cell>
          <cell r="E1359" t="str">
            <v>MES</v>
          </cell>
        </row>
        <row r="1360">
          <cell r="C1360">
            <v>3001339</v>
          </cell>
          <cell r="D1360" t="str">
            <v>CAPATAZIA,PRATICAG,ARQUEACAO,ATRACAGEM</v>
          </cell>
          <cell r="E1360" t="str">
            <v>SV</v>
          </cell>
        </row>
        <row r="1361">
          <cell r="C1361">
            <v>3001340</v>
          </cell>
          <cell r="D1361" t="str">
            <v>ATRACAÇÃO E DESATRACAÇÃO</v>
          </cell>
          <cell r="E1361" t="str">
            <v>UN</v>
          </cell>
        </row>
        <row r="1362">
          <cell r="C1362">
            <v>3001341</v>
          </cell>
          <cell r="D1362" t="str">
            <v>ATUÁRIA E CÁLCULOS TÉCN DE QLQ NATUREZA</v>
          </cell>
          <cell r="E1362" t="str">
            <v>UN</v>
          </cell>
        </row>
        <row r="1363">
          <cell r="C1363">
            <v>3001342</v>
          </cell>
          <cell r="D1363" t="str">
            <v>AUTOMATIZAÇÃO P GERENC DE PRJ AUTOMAÇÃO</v>
          </cell>
          <cell r="E1363" t="str">
            <v>H</v>
          </cell>
        </row>
        <row r="1364">
          <cell r="C1364">
            <v>3001343</v>
          </cell>
          <cell r="D1364" t="str">
            <v>ANALISE E DESENVOLVIMENTO DE SISTEMAS</v>
          </cell>
          <cell r="E1364" t="str">
            <v>SV</v>
          </cell>
        </row>
        <row r="1365">
          <cell r="C1365">
            <v>3001344</v>
          </cell>
          <cell r="D1365" t="str">
            <v>AUTOMATIZAÇÃO P GERENC DE PRJ AUTOMAÇÃO</v>
          </cell>
          <cell r="E1365" t="str">
            <v>UN</v>
          </cell>
        </row>
        <row r="1366">
          <cell r="C1366">
            <v>3001345</v>
          </cell>
          <cell r="D1366" t="str">
            <v>AVALIAÇÃO CONHECIMENTOS</v>
          </cell>
          <cell r="E1366" t="str">
            <v>UN</v>
          </cell>
        </row>
        <row r="1367">
          <cell r="C1367">
            <v>3001346</v>
          </cell>
          <cell r="D1367" t="str">
            <v>BANCOS DE SANGUE E DE ÓRGÃOS E CONG.</v>
          </cell>
          <cell r="E1367" t="str">
            <v>SV</v>
          </cell>
        </row>
        <row r="1368">
          <cell r="C1368">
            <v>3001347</v>
          </cell>
          <cell r="D1368" t="str">
            <v>BANCOS SANGUE;LEITE;PELE;OLHOS;SIMILARES</v>
          </cell>
          <cell r="E1368" t="str">
            <v>SV</v>
          </cell>
        </row>
        <row r="1369">
          <cell r="C1369">
            <v>3001348</v>
          </cell>
          <cell r="D1369" t="str">
            <v>BANHOS, SAUNA, MASSAGEM E SIMILARES</v>
          </cell>
          <cell r="E1369" t="str">
            <v>H</v>
          </cell>
        </row>
        <row r="1370">
          <cell r="C1370">
            <v>3001349</v>
          </cell>
          <cell r="D1370" t="str">
            <v>BANHOS, SAUNA, MASSAGEM E SIMILARES</v>
          </cell>
          <cell r="E1370" t="str">
            <v>MES</v>
          </cell>
        </row>
        <row r="1371">
          <cell r="C1371">
            <v>3001350</v>
          </cell>
          <cell r="D1371" t="str">
            <v>BANHOS, DUCHAS, SAUNA, MASSAGENS E CONG.</v>
          </cell>
          <cell r="E1371" t="str">
            <v>SV</v>
          </cell>
        </row>
        <row r="1372">
          <cell r="C1372">
            <v>3001351</v>
          </cell>
          <cell r="D1372" t="str">
            <v>BANHOS, SAUNA, MASSAGEM E SIMILARES</v>
          </cell>
          <cell r="E1372" t="str">
            <v>UN</v>
          </cell>
        </row>
        <row r="1373">
          <cell r="C1373">
            <v>3001352</v>
          </cell>
          <cell r="D1373" t="str">
            <v>INSTAL,MONT DE PROD,PC,EQUIPS DE OBRAS</v>
          </cell>
          <cell r="E1373" t="str">
            <v>SV</v>
          </cell>
        </row>
        <row r="1374">
          <cell r="C1374">
            <v>3001353</v>
          </cell>
          <cell r="D1374" t="str">
            <v>BARRAGEM E DIQUE TERRA-CONCR GRAND PORTE</v>
          </cell>
          <cell r="E1374" t="str">
            <v>UN</v>
          </cell>
        </row>
        <row r="1375">
          <cell r="C1375">
            <v>3001354</v>
          </cell>
          <cell r="D1375" t="str">
            <v>BARRAGEM E DIQUE TERRA-CONCR MÉDIO PORTE</v>
          </cell>
          <cell r="E1375" t="str">
            <v>KG</v>
          </cell>
        </row>
        <row r="1376">
          <cell r="C1376">
            <v>3001355</v>
          </cell>
          <cell r="D1376" t="str">
            <v>BARRAGEM E DIQUE TERRA-CONCR MÉDIO PORTE</v>
          </cell>
          <cell r="E1376" t="str">
            <v>M2</v>
          </cell>
        </row>
        <row r="1377">
          <cell r="C1377">
            <v>3001356</v>
          </cell>
          <cell r="D1377" t="str">
            <v>BARRAGEM E DIQUE TERRA-CONCR MÉDIO PORTE</v>
          </cell>
          <cell r="E1377" t="str">
            <v>M3</v>
          </cell>
        </row>
        <row r="1378">
          <cell r="C1378">
            <v>3001357</v>
          </cell>
          <cell r="D1378" t="str">
            <v>BARRAGEM E DIQUE TERRA-CONCR MÉDIO PORTE</v>
          </cell>
          <cell r="E1378" t="str">
            <v>UN</v>
          </cell>
        </row>
        <row r="1379">
          <cell r="C1379">
            <v>3001358</v>
          </cell>
          <cell r="D1379" t="str">
            <v>BARRAGEM E DIQUE TERRA-CONCR PEQ PORTE</v>
          </cell>
          <cell r="E1379" t="str">
            <v>UN</v>
          </cell>
        </row>
        <row r="1380">
          <cell r="C1380">
            <v>3001359</v>
          </cell>
          <cell r="D1380" t="str">
            <v>BATIMÉTRICOS E GEOGRÁFICOS E CONGÊNERES</v>
          </cell>
          <cell r="E1380" t="str">
            <v>UN</v>
          </cell>
        </row>
        <row r="1381">
          <cell r="C1381">
            <v>3001360</v>
          </cell>
          <cell r="D1381" t="str">
            <v>BENEFICIAMENTO OBJ QLQ, INCLUS PÇ</v>
          </cell>
          <cell r="E1381" t="str">
            <v>UN</v>
          </cell>
        </row>
        <row r="1382">
          <cell r="C1382">
            <v>3001361</v>
          </cell>
          <cell r="D1382" t="str">
            <v>BILHARES;BOLICHES;DIVERSÕES ELETR OU NÃO</v>
          </cell>
          <cell r="E1382" t="str">
            <v>UN</v>
          </cell>
        </row>
        <row r="1383">
          <cell r="C1383">
            <v>3001362</v>
          </cell>
          <cell r="D1383" t="str">
            <v>BLENDAGEM RESÍDUOS</v>
          </cell>
          <cell r="E1383" t="str">
            <v>TO</v>
          </cell>
        </row>
        <row r="1384">
          <cell r="C1384">
            <v>3001363</v>
          </cell>
          <cell r="D1384" t="str">
            <v>BLENDAGEM DE RESIDUOS</v>
          </cell>
          <cell r="E1384" t="str">
            <v>SV</v>
          </cell>
        </row>
        <row r="1385">
          <cell r="C1385">
            <v>3001364</v>
          </cell>
          <cell r="D1385" t="str">
            <v>BOATES, TAXI-DANCING E CONGÊNERES</v>
          </cell>
          <cell r="E1385" t="str">
            <v>UN</v>
          </cell>
        </row>
        <row r="1386">
          <cell r="C1386">
            <v>3001365</v>
          </cell>
          <cell r="D1386" t="str">
            <v>TERCEIRIZACAO PROCESSOS - MEIO AMBIENTE</v>
          </cell>
          <cell r="E1386" t="str">
            <v>H</v>
          </cell>
        </row>
        <row r="1387">
          <cell r="C1387">
            <v>3001366</v>
          </cell>
          <cell r="D1387" t="str">
            <v>TERCEIRIZACAO PROCESSOS - MEIO AMBIENTE</v>
          </cell>
          <cell r="E1387" t="str">
            <v>UN</v>
          </cell>
        </row>
        <row r="1388">
          <cell r="C1388">
            <v>3001367</v>
          </cell>
          <cell r="D1388" t="str">
            <v>TERCEIRIZACAO PROCESSOS - FINANCAS</v>
          </cell>
          <cell r="E1388" t="str">
            <v>H</v>
          </cell>
        </row>
        <row r="1389">
          <cell r="C1389">
            <v>3001368</v>
          </cell>
          <cell r="D1389" t="str">
            <v>TERCEIRIZACAO PROCESSOS - FINANCAS</v>
          </cell>
          <cell r="E1389" t="str">
            <v>UN</v>
          </cell>
        </row>
        <row r="1390">
          <cell r="C1390">
            <v>3001369</v>
          </cell>
          <cell r="D1390" t="str">
            <v>TERCEIRIZACAO PROCESSOS - RH</v>
          </cell>
          <cell r="E1390" t="str">
            <v>H</v>
          </cell>
        </row>
        <row r="1391">
          <cell r="C1391">
            <v>3001370</v>
          </cell>
          <cell r="D1391" t="str">
            <v>TERCEIRIZACAO PROCESSOS - RH</v>
          </cell>
          <cell r="E1391" t="str">
            <v>UN</v>
          </cell>
        </row>
        <row r="1392">
          <cell r="C1392">
            <v>3001371</v>
          </cell>
          <cell r="D1392" t="str">
            <v>TERCEIRIZACAO PROCESSOS - GERENC DADOS</v>
          </cell>
          <cell r="E1392" t="str">
            <v>H</v>
          </cell>
        </row>
        <row r="1393">
          <cell r="C1393">
            <v>3001372</v>
          </cell>
          <cell r="D1393" t="str">
            <v>TERCEIRIZACAO PROCESSOS - GERENC DADOS</v>
          </cell>
          <cell r="E1393" t="str">
            <v>MES</v>
          </cell>
        </row>
        <row r="1394">
          <cell r="C1394">
            <v>3001373</v>
          </cell>
          <cell r="D1394" t="str">
            <v>TERCEIRIZACAO PROCESSOS - GERENC DADOS</v>
          </cell>
          <cell r="E1394" t="str">
            <v>UN</v>
          </cell>
        </row>
        <row r="1395">
          <cell r="C1395">
            <v>3001374</v>
          </cell>
          <cell r="D1395" t="str">
            <v>BUSCA OU TRANSPORTE DE LIXO E SIMILARES</v>
          </cell>
          <cell r="E1395" t="str">
            <v>DIA</v>
          </cell>
        </row>
        <row r="1396">
          <cell r="C1396">
            <v>3001375</v>
          </cell>
          <cell r="D1396" t="str">
            <v>BUSCA OU TRANSPORTE DE LIXO E SIMILARES</v>
          </cell>
          <cell r="E1396" t="str">
            <v>H</v>
          </cell>
        </row>
        <row r="1397">
          <cell r="C1397">
            <v>3001376</v>
          </cell>
          <cell r="D1397" t="str">
            <v>BUSCA OU TRANSPORTE DE LIXO E SIMILARES</v>
          </cell>
          <cell r="E1397" t="str">
            <v>KMS</v>
          </cell>
        </row>
        <row r="1398">
          <cell r="C1398">
            <v>3001377</v>
          </cell>
          <cell r="D1398" t="str">
            <v>COLETA,RECICL DE MATERIAIS INSERVIVEIS</v>
          </cell>
          <cell r="E1398" t="str">
            <v>SV</v>
          </cell>
        </row>
        <row r="1399">
          <cell r="C1399">
            <v>3001378</v>
          </cell>
          <cell r="D1399" t="str">
            <v>BUSCA OU TRANSPORTE DE LIXO E SIMILARES</v>
          </cell>
          <cell r="E1399" t="str">
            <v>UN</v>
          </cell>
        </row>
        <row r="1400">
          <cell r="C1400">
            <v>3001379</v>
          </cell>
          <cell r="D1400" t="str">
            <v>CONSULTORIA EMPRESARIAL - ESTRATEGIA</v>
          </cell>
          <cell r="E1400" t="str">
            <v>H</v>
          </cell>
        </row>
        <row r="1401">
          <cell r="C1401">
            <v>3001380</v>
          </cell>
          <cell r="D1401" t="str">
            <v>CONSULTORIA EMPRESARIAL - ESTRATEGIA</v>
          </cell>
          <cell r="E1401" t="str">
            <v>UN</v>
          </cell>
        </row>
        <row r="1402">
          <cell r="C1402">
            <v>3001381</v>
          </cell>
          <cell r="D1402" t="str">
            <v>CONSULTORIA EMPRESARIAL - FORMACAO</v>
          </cell>
          <cell r="E1402" t="str">
            <v>DIA</v>
          </cell>
        </row>
        <row r="1403">
          <cell r="C1403">
            <v>3001382</v>
          </cell>
          <cell r="D1403" t="str">
            <v>CONSULTORIA EMPRESARIAL - FORMACAO</v>
          </cell>
          <cell r="E1403" t="str">
            <v>H</v>
          </cell>
        </row>
        <row r="1404">
          <cell r="C1404">
            <v>3001383</v>
          </cell>
          <cell r="D1404" t="str">
            <v>CONSULTORIA EMPRESARIAL - FORMACAO</v>
          </cell>
          <cell r="E1404" t="str">
            <v>UN</v>
          </cell>
        </row>
        <row r="1405">
          <cell r="C1405">
            <v>3001384</v>
          </cell>
          <cell r="D1405" t="str">
            <v>CONSULTORIA EMPRESARIAL -SAUDE SEGURANCA</v>
          </cell>
          <cell r="E1405" t="str">
            <v>DIA</v>
          </cell>
        </row>
        <row r="1406">
          <cell r="C1406">
            <v>3001385</v>
          </cell>
          <cell r="D1406" t="str">
            <v>CONSULTORIA EMPRESARIAL -SAUDE SEGURANCA</v>
          </cell>
          <cell r="E1406" t="str">
            <v>H</v>
          </cell>
        </row>
        <row r="1407">
          <cell r="C1407">
            <v>3001386</v>
          </cell>
          <cell r="D1407" t="str">
            <v>CONSULTORIA EMPRESARIAL -SAUDE SEGURANCA</v>
          </cell>
          <cell r="E1407" t="str">
            <v>MES</v>
          </cell>
        </row>
        <row r="1408">
          <cell r="C1408">
            <v>3001387</v>
          </cell>
          <cell r="D1408" t="str">
            <v>ASSESSORIA OU CONSULTORIA DE QQ NATUREZA</v>
          </cell>
          <cell r="E1408" t="str">
            <v>SV</v>
          </cell>
        </row>
        <row r="1409">
          <cell r="C1409">
            <v>3001388</v>
          </cell>
          <cell r="D1409" t="str">
            <v>CONSULTORIA EMPRESARIAL -SAUDE SEGURANCA</v>
          </cell>
          <cell r="E1409" t="str">
            <v>UN</v>
          </cell>
        </row>
        <row r="1410">
          <cell r="C1410">
            <v>3001389</v>
          </cell>
          <cell r="D1410" t="str">
            <v>TERCEIRIZACAO DE PROCESSOS - OPERACOES</v>
          </cell>
          <cell r="E1410" t="str">
            <v>H</v>
          </cell>
        </row>
        <row r="1411">
          <cell r="C1411">
            <v>3001390</v>
          </cell>
          <cell r="D1411" t="str">
            <v>TERCEIRIZACAO DE PROCESSOS - OPERACOES</v>
          </cell>
          <cell r="E1411" t="str">
            <v>UN</v>
          </cell>
        </row>
        <row r="1412">
          <cell r="C1412">
            <v>3001391</v>
          </cell>
          <cell r="D1412" t="str">
            <v>TERCEIRIZACAO DE PROCESSOS - S&amp;S</v>
          </cell>
          <cell r="E1412" t="str">
            <v>H</v>
          </cell>
        </row>
        <row r="1413">
          <cell r="C1413">
            <v>3001392</v>
          </cell>
          <cell r="D1413" t="str">
            <v>TERCEIRIZACAO DE PROCESSOS - S&amp;S</v>
          </cell>
          <cell r="E1413" t="str">
            <v>UN</v>
          </cell>
        </row>
        <row r="1414">
          <cell r="C1414">
            <v>3001393</v>
          </cell>
          <cell r="D1414" t="str">
            <v>TERCEIRIZACAO DE PROCESSOS - TI</v>
          </cell>
          <cell r="E1414" t="str">
            <v>H</v>
          </cell>
        </row>
        <row r="1415">
          <cell r="C1415">
            <v>3001394</v>
          </cell>
          <cell r="D1415" t="str">
            <v>TERCEIRIZACAO DE PROCESSOS - TI</v>
          </cell>
          <cell r="E1415" t="str">
            <v>UN</v>
          </cell>
        </row>
        <row r="1416">
          <cell r="C1416">
            <v>3001395</v>
          </cell>
          <cell r="D1416" t="str">
            <v>TERCEIRIZACAO DE PROCESSOS - BACKOFFICE</v>
          </cell>
          <cell r="E1416" t="str">
            <v>DIA</v>
          </cell>
        </row>
        <row r="1417">
          <cell r="C1417">
            <v>3001396</v>
          </cell>
          <cell r="D1417" t="str">
            <v>TERCEIRIZACAO DE PROCESSOS - BACKOFFICE</v>
          </cell>
          <cell r="E1417" t="str">
            <v>H</v>
          </cell>
        </row>
        <row r="1418">
          <cell r="C1418">
            <v>3001397</v>
          </cell>
          <cell r="D1418" t="str">
            <v>OPER, FORNEC DE MAO-DE-OBRA OU OUTSOURC</v>
          </cell>
          <cell r="E1418" t="str">
            <v>SV</v>
          </cell>
        </row>
        <row r="1419">
          <cell r="C1419">
            <v>3001398</v>
          </cell>
          <cell r="D1419" t="str">
            <v>TERCEIRIZACAO DE PROCESSOS - BACKOFFICE</v>
          </cell>
          <cell r="E1419" t="str">
            <v>UN</v>
          </cell>
        </row>
        <row r="1420">
          <cell r="C1420">
            <v>3001399</v>
          </cell>
          <cell r="D1420" t="str">
            <v>TERCEIRIZACAO DE PROCESSOS - LEGAL</v>
          </cell>
          <cell r="E1420" t="str">
            <v>MES</v>
          </cell>
        </row>
        <row r="1421">
          <cell r="C1421">
            <v>3001400</v>
          </cell>
          <cell r="D1421" t="str">
            <v>OPER, FORNEC DE MAO-DE-OBRA OU OUTSOURC</v>
          </cell>
          <cell r="E1421" t="str">
            <v>SV</v>
          </cell>
        </row>
        <row r="1422">
          <cell r="C1422">
            <v>3001401</v>
          </cell>
          <cell r="D1422" t="str">
            <v>TERCEIRIZACAO DE PROCESSOS - LEGAL</v>
          </cell>
          <cell r="E1422" t="str">
            <v>UN</v>
          </cell>
        </row>
        <row r="1423">
          <cell r="C1423">
            <v>3001402</v>
          </cell>
          <cell r="D1423" t="str">
            <v>TERCEIRIZACAO DE PROCESSOS - SUPRIMENTOS</v>
          </cell>
          <cell r="E1423" t="str">
            <v>H</v>
          </cell>
        </row>
        <row r="1424">
          <cell r="C1424">
            <v>3001403</v>
          </cell>
          <cell r="D1424" t="str">
            <v>TERCEIRIZACAO DE PROCESSOS - SUPRIMENTOS</v>
          </cell>
          <cell r="E1424" t="str">
            <v>MES</v>
          </cell>
        </row>
        <row r="1425">
          <cell r="C1425">
            <v>3001404</v>
          </cell>
          <cell r="D1425" t="str">
            <v>TERCEIRIZACAO DE PROCESSOS - SUPRIMENTOS</v>
          </cell>
          <cell r="E1425" t="str">
            <v>SV</v>
          </cell>
        </row>
        <row r="1426">
          <cell r="C1426">
            <v>3001405</v>
          </cell>
          <cell r="D1426" t="str">
            <v>TERCEIRIZACAO DE PROCESSOS - SUPRIMENTOS</v>
          </cell>
          <cell r="E1426" t="str">
            <v>UN</v>
          </cell>
        </row>
        <row r="1427">
          <cell r="C1427">
            <v>3001406</v>
          </cell>
          <cell r="D1427" t="str">
            <v>CONSULTORIA TECNICA - MEIO AMBIENTE</v>
          </cell>
          <cell r="E1427" t="str">
            <v>H</v>
          </cell>
        </row>
        <row r="1428">
          <cell r="C1428">
            <v>3001407</v>
          </cell>
          <cell r="D1428" t="str">
            <v>CONSULTORIA TECNICA - MEIO AMBIENTE</v>
          </cell>
          <cell r="E1428" t="str">
            <v>UN</v>
          </cell>
        </row>
        <row r="1429">
          <cell r="C1429">
            <v>3001408</v>
          </cell>
          <cell r="D1429" t="str">
            <v>CONSULTORIA TECNICA - BACKOFFICE</v>
          </cell>
          <cell r="E1429" t="str">
            <v>H</v>
          </cell>
        </row>
        <row r="1430">
          <cell r="C1430">
            <v>3001409</v>
          </cell>
          <cell r="D1430" t="str">
            <v>CONSULTORIA TECNICA - BACKOFFICE</v>
          </cell>
          <cell r="E1430" t="str">
            <v>UN</v>
          </cell>
        </row>
        <row r="1431">
          <cell r="C1431">
            <v>3001410</v>
          </cell>
          <cell r="D1431" t="str">
            <v>CONSULTORIA TECNICA - RH</v>
          </cell>
          <cell r="E1431" t="str">
            <v>H</v>
          </cell>
        </row>
        <row r="1432">
          <cell r="C1432">
            <v>3001411</v>
          </cell>
          <cell r="D1432" t="str">
            <v>CONSULTORIA TECNICA - RH</v>
          </cell>
          <cell r="E1432" t="str">
            <v>UN</v>
          </cell>
        </row>
        <row r="1433">
          <cell r="C1433">
            <v>3001412</v>
          </cell>
          <cell r="D1433" t="str">
            <v>CONSULTORIA TECNICA - SUPRIMENTOS</v>
          </cell>
          <cell r="E1433" t="str">
            <v>H</v>
          </cell>
        </row>
        <row r="1434">
          <cell r="C1434">
            <v>3001413</v>
          </cell>
          <cell r="D1434" t="str">
            <v>CONSULTORIA TECNICA - SUPRIMENTOS</v>
          </cell>
          <cell r="E1434" t="str">
            <v>UN</v>
          </cell>
        </row>
        <row r="1435">
          <cell r="C1435">
            <v>3001414</v>
          </cell>
          <cell r="D1435" t="str">
            <v>CONSULTORIA TECNICA - OPERACOES</v>
          </cell>
          <cell r="E1435" t="str">
            <v>H</v>
          </cell>
        </row>
        <row r="1436">
          <cell r="C1436">
            <v>3001415</v>
          </cell>
          <cell r="D1436" t="str">
            <v>CONSULTORIA TECNICA - OPERACOES</v>
          </cell>
          <cell r="E1436" t="str">
            <v>UN</v>
          </cell>
        </row>
        <row r="1437">
          <cell r="C1437">
            <v>3001416</v>
          </cell>
          <cell r="D1437" t="str">
            <v>CONSULTORIA TECNICA - S&amp;S</v>
          </cell>
          <cell r="E1437" t="str">
            <v>H</v>
          </cell>
        </row>
        <row r="1438">
          <cell r="C1438">
            <v>3001417</v>
          </cell>
          <cell r="D1438" t="str">
            <v>CONSULTORIA TECNICA - S&amp;S</v>
          </cell>
          <cell r="E1438" t="str">
            <v>UN</v>
          </cell>
        </row>
        <row r="1439">
          <cell r="C1439">
            <v>3001418</v>
          </cell>
          <cell r="D1439" t="str">
            <v>CONSULTORIA TECNICA - FINANCAS</v>
          </cell>
          <cell r="E1439" t="str">
            <v>H</v>
          </cell>
        </row>
        <row r="1440">
          <cell r="C1440">
            <v>3001419</v>
          </cell>
          <cell r="D1440" t="str">
            <v>CONSULTORIA TECNICA - FINANCAS</v>
          </cell>
          <cell r="E1440" t="str">
            <v>UN</v>
          </cell>
        </row>
        <row r="1441">
          <cell r="C1441">
            <v>3001420</v>
          </cell>
          <cell r="D1441" t="str">
            <v>CONSULTORIA TECNICA - TI</v>
          </cell>
          <cell r="E1441" t="str">
            <v>H</v>
          </cell>
        </row>
        <row r="1442">
          <cell r="C1442">
            <v>3001421</v>
          </cell>
          <cell r="D1442" t="str">
            <v>CONSULTORIA TECNICA - TI</v>
          </cell>
          <cell r="E1442" t="str">
            <v>UN</v>
          </cell>
        </row>
        <row r="1443">
          <cell r="C1443">
            <v>3001422</v>
          </cell>
          <cell r="D1443" t="str">
            <v>CABELEIREIRO, MANICURE E SIMILARES</v>
          </cell>
          <cell r="E1443" t="str">
            <v>SV</v>
          </cell>
        </row>
        <row r="1444">
          <cell r="C1444">
            <v>3001423</v>
          </cell>
          <cell r="D1444" t="str">
            <v>CALDERARIA AÇO CARBONO MEDIA</v>
          </cell>
          <cell r="E1444" t="str">
            <v>UN</v>
          </cell>
        </row>
        <row r="1445">
          <cell r="C1445">
            <v>3001424</v>
          </cell>
          <cell r="D1445" t="str">
            <v>CALDERARIA EM AÇO CARBONO LEVE</v>
          </cell>
          <cell r="E1445" t="str">
            <v>H</v>
          </cell>
        </row>
        <row r="1446">
          <cell r="C1446">
            <v>3001425</v>
          </cell>
          <cell r="D1446" t="str">
            <v>CALDERARIA EM AÇO CARBONO LEVE</v>
          </cell>
          <cell r="E1446" t="str">
            <v>KG</v>
          </cell>
        </row>
        <row r="1447">
          <cell r="C1447">
            <v>3001426</v>
          </cell>
          <cell r="D1447" t="str">
            <v>CALDERARIA EM AÇO CARBONO LEVE</v>
          </cell>
          <cell r="E1447" t="str">
            <v>M</v>
          </cell>
        </row>
        <row r="1448">
          <cell r="C1448">
            <v>3001427</v>
          </cell>
          <cell r="D1448" t="str">
            <v>FORJARIA,FUNDICAO,SERRALHERIA,VULC,USIN</v>
          </cell>
          <cell r="E1448" t="str">
            <v>SV</v>
          </cell>
        </row>
        <row r="1449">
          <cell r="C1449">
            <v>3001428</v>
          </cell>
          <cell r="D1449" t="str">
            <v>CALDERARIA EM AÇO CARBONO PESADA</v>
          </cell>
          <cell r="E1449" t="str">
            <v>UN</v>
          </cell>
        </row>
        <row r="1450">
          <cell r="C1450">
            <v>3001429</v>
          </cell>
          <cell r="D1450" t="str">
            <v>CALDERARIA EM AÇO INOXIDÁVEL PESADA</v>
          </cell>
          <cell r="E1450" t="str">
            <v>M</v>
          </cell>
        </row>
        <row r="1451">
          <cell r="C1451">
            <v>3001430</v>
          </cell>
          <cell r="D1451" t="str">
            <v>CALDERARIA EM AÇO INOXIDÁVEL PESADA</v>
          </cell>
          <cell r="E1451" t="str">
            <v>PC</v>
          </cell>
        </row>
        <row r="1452">
          <cell r="C1452">
            <v>3001431</v>
          </cell>
          <cell r="D1452" t="str">
            <v>CALDERARIA EM AÇO INOXIDÁVEL PESADA</v>
          </cell>
          <cell r="E1452" t="str">
            <v>SV</v>
          </cell>
        </row>
        <row r="1453">
          <cell r="C1453">
            <v>3001432</v>
          </cell>
          <cell r="D1453" t="str">
            <v>CALDERARIA EM AÇO INOXIDÁVEL PESADA</v>
          </cell>
          <cell r="E1453" t="str">
            <v>UN</v>
          </cell>
        </row>
        <row r="1454">
          <cell r="C1454">
            <v>3001433</v>
          </cell>
          <cell r="D1454" t="str">
            <v>CALEFAÇÃO, EXCETO REFORMA OU OBRA</v>
          </cell>
          <cell r="E1454" t="str">
            <v>UN</v>
          </cell>
        </row>
        <row r="1455">
          <cell r="C1455">
            <v>3001434</v>
          </cell>
          <cell r="D1455" t="str">
            <v>CANTEIRO; MANUT E OPERAÇÃO CANTEIRO</v>
          </cell>
          <cell r="E1455" t="str">
            <v>H</v>
          </cell>
        </row>
        <row r="1456">
          <cell r="C1456">
            <v>3001435</v>
          </cell>
          <cell r="D1456" t="str">
            <v>CANTEIRO; MANUT E OPERAÇÃO CANTEIRO</v>
          </cell>
          <cell r="E1456" t="str">
            <v>KG</v>
          </cell>
        </row>
        <row r="1457">
          <cell r="C1457">
            <v>3001436</v>
          </cell>
          <cell r="D1457" t="str">
            <v>CANTEIRO; MANUT E OPERAÇÃO CANTEIRO</v>
          </cell>
          <cell r="E1457" t="str">
            <v>M</v>
          </cell>
        </row>
        <row r="1458">
          <cell r="C1458">
            <v>3001437</v>
          </cell>
          <cell r="D1458" t="str">
            <v>CANTEIRO; MANUT E OPERAÇÃO CANTEIRO</v>
          </cell>
          <cell r="E1458" t="str">
            <v>M2</v>
          </cell>
        </row>
        <row r="1459">
          <cell r="C1459">
            <v>3001438</v>
          </cell>
          <cell r="D1459" t="str">
            <v>CANTEIRO; MANUT E OPERAÇÃO CANTEIRO</v>
          </cell>
          <cell r="E1459" t="str">
            <v>M3</v>
          </cell>
        </row>
        <row r="1460">
          <cell r="C1460">
            <v>3001439</v>
          </cell>
          <cell r="D1460" t="str">
            <v>CANTEIRO; MANUT E OPERAÇÃO CANTEIRO</v>
          </cell>
          <cell r="E1460" t="str">
            <v>MES</v>
          </cell>
        </row>
        <row r="1461">
          <cell r="C1461">
            <v>3001440</v>
          </cell>
          <cell r="D1461" t="str">
            <v>REFOR EDIFICIOS,ESTRADAS,PONTES,PORTOS</v>
          </cell>
          <cell r="E1461" t="str">
            <v>SV</v>
          </cell>
        </row>
        <row r="1462">
          <cell r="C1462">
            <v>3001441</v>
          </cell>
          <cell r="D1462" t="str">
            <v>CANTEIRO; MANUT E OPERAÇÃO CANTEIRO</v>
          </cell>
          <cell r="E1462" t="str">
            <v>UN</v>
          </cell>
        </row>
        <row r="1463">
          <cell r="C1463">
            <v>3001442</v>
          </cell>
          <cell r="D1463" t="str">
            <v>CAPATAZIA AEROPORTUÁRIA</v>
          </cell>
          <cell r="E1463" t="str">
            <v>UN</v>
          </cell>
        </row>
        <row r="1464">
          <cell r="C1464">
            <v>3001443</v>
          </cell>
          <cell r="D1464" t="str">
            <v>CAPATAZIA,PRATICAG,ARQUEACAO,ATRACAGEM</v>
          </cell>
          <cell r="E1464" t="str">
            <v>SV</v>
          </cell>
        </row>
        <row r="1465">
          <cell r="C1465">
            <v>3001444</v>
          </cell>
          <cell r="D1465" t="str">
            <v>CAPATAZIA,PRATICAG,ARQUEACAO,ATRACAGEM</v>
          </cell>
          <cell r="E1465" t="str">
            <v>SV</v>
          </cell>
        </row>
        <row r="1466">
          <cell r="C1466">
            <v>3001445</v>
          </cell>
          <cell r="D1466" t="str">
            <v>CAPATAZIA PORTUÁRIA</v>
          </cell>
          <cell r="E1466" t="str">
            <v>H</v>
          </cell>
        </row>
        <row r="1467">
          <cell r="C1467">
            <v>3001446</v>
          </cell>
          <cell r="D1467" t="str">
            <v>CAPATAZIA PORTUÁRIA</v>
          </cell>
          <cell r="E1467" t="str">
            <v>M3</v>
          </cell>
        </row>
        <row r="1468">
          <cell r="C1468">
            <v>3001447</v>
          </cell>
          <cell r="D1468" t="str">
            <v>CAPATAZIA PORTUÁRIA</v>
          </cell>
          <cell r="E1468" t="str">
            <v>MES</v>
          </cell>
        </row>
        <row r="1469">
          <cell r="C1469">
            <v>3001448</v>
          </cell>
          <cell r="D1469" t="str">
            <v>CAPATAZIA,PRATICAG,ARQUEACAO,ATRACAGEM</v>
          </cell>
          <cell r="E1469" t="str">
            <v>SV</v>
          </cell>
        </row>
        <row r="1470">
          <cell r="C1470">
            <v>3001449</v>
          </cell>
          <cell r="D1470" t="str">
            <v>CAPATAZIA PORTUÁRIA</v>
          </cell>
          <cell r="E1470" t="str">
            <v>TO</v>
          </cell>
        </row>
        <row r="1471">
          <cell r="C1471">
            <v>3001450</v>
          </cell>
          <cell r="D1471" t="str">
            <v>CAPATAZIA PORTUÁRIA</v>
          </cell>
          <cell r="E1471" t="str">
            <v>UN</v>
          </cell>
        </row>
        <row r="1472">
          <cell r="C1472">
            <v>3001451</v>
          </cell>
          <cell r="D1472" t="str">
            <v>CAPINA QUÍMICA</v>
          </cell>
          <cell r="E1472" t="str">
            <v>HA</v>
          </cell>
        </row>
        <row r="1473">
          <cell r="C1473">
            <v>3001452</v>
          </cell>
          <cell r="D1473" t="str">
            <v>CAPINA QUÍMICA</v>
          </cell>
          <cell r="E1473" t="str">
            <v>M2</v>
          </cell>
        </row>
        <row r="1474">
          <cell r="C1474">
            <v>3001453</v>
          </cell>
          <cell r="D1474" t="str">
            <v>CAPINA QUÍMICA</v>
          </cell>
          <cell r="E1474" t="str">
            <v>UN</v>
          </cell>
        </row>
        <row r="1475">
          <cell r="C1475">
            <v>3001454</v>
          </cell>
          <cell r="D1475" t="str">
            <v>LUBRIF,LUSTRACAO,REVISAO,CARGA,RECARGA</v>
          </cell>
          <cell r="E1475" t="str">
            <v>SV</v>
          </cell>
        </row>
        <row r="1476">
          <cell r="C1476">
            <v>3001455</v>
          </cell>
          <cell r="D1476" t="str">
            <v>CARGA E RECARGA  MAQ;EQUIP MÓV E SIMILAR</v>
          </cell>
          <cell r="E1476" t="str">
            <v>UN</v>
          </cell>
        </row>
        <row r="1477">
          <cell r="C1477">
            <v>3001456</v>
          </cell>
          <cell r="D1477" t="str">
            <v>CARPINTARIA E SERRALHERIA</v>
          </cell>
          <cell r="E1477" t="str">
            <v>H</v>
          </cell>
        </row>
        <row r="1478">
          <cell r="C1478">
            <v>3001457</v>
          </cell>
          <cell r="D1478" t="str">
            <v>CARPINTARIA E SERRALHERIA</v>
          </cell>
          <cell r="E1478" t="str">
            <v>UN</v>
          </cell>
        </row>
        <row r="1479">
          <cell r="C1479">
            <v>3001458</v>
          </cell>
          <cell r="D1479" t="str">
            <v>CARREGAMENTO - ESTIVA DE NAVIO</v>
          </cell>
          <cell r="E1479" t="str">
            <v>H</v>
          </cell>
        </row>
        <row r="1480">
          <cell r="C1480">
            <v>3001459</v>
          </cell>
          <cell r="D1480" t="str">
            <v>CARREGAMENTO - ESTIVA DE NAVIO</v>
          </cell>
          <cell r="E1480" t="str">
            <v>SV</v>
          </cell>
        </row>
        <row r="1481">
          <cell r="C1481">
            <v>3001460</v>
          </cell>
          <cell r="D1481" t="str">
            <v>CARREGAMENTO - ESTIVA DE NAVIO</v>
          </cell>
          <cell r="E1481" t="str">
            <v>TO</v>
          </cell>
        </row>
        <row r="1482">
          <cell r="C1482">
            <v>3001461</v>
          </cell>
          <cell r="D1482" t="str">
            <v>CARREGAMENTO - ESTIVA DE NAVIO</v>
          </cell>
          <cell r="E1482" t="str">
            <v>UN</v>
          </cell>
        </row>
        <row r="1483">
          <cell r="C1483">
            <v>3001462</v>
          </cell>
          <cell r="D1483" t="str">
            <v>CARREGAMENTO DE CARGA</v>
          </cell>
          <cell r="E1483" t="str">
            <v>H</v>
          </cell>
        </row>
        <row r="1484">
          <cell r="C1484">
            <v>3001463</v>
          </cell>
          <cell r="D1484" t="str">
            <v>MOV MAT,CARGA,DESCARGA,ARRUM,ARMAZENAM</v>
          </cell>
          <cell r="E1484" t="str">
            <v>SV</v>
          </cell>
        </row>
        <row r="1485">
          <cell r="C1485">
            <v>3001464</v>
          </cell>
          <cell r="D1485" t="str">
            <v>CARREGAMENTO DE CARGA</v>
          </cell>
          <cell r="E1485" t="str">
            <v>TO</v>
          </cell>
        </row>
        <row r="1486">
          <cell r="C1486">
            <v>3001465</v>
          </cell>
          <cell r="D1486" t="str">
            <v>CARREGAMENTO DE CARGA</v>
          </cell>
          <cell r="E1486" t="str">
            <v>UN</v>
          </cell>
        </row>
        <row r="1487">
          <cell r="C1487">
            <v>3001466</v>
          </cell>
          <cell r="D1487" t="str">
            <v>CARREGAMENTO PARA EXPEDIÇÃO</v>
          </cell>
          <cell r="E1487" t="str">
            <v>TO</v>
          </cell>
        </row>
        <row r="1488">
          <cell r="C1488">
            <v>3001467</v>
          </cell>
          <cell r="D1488" t="str">
            <v>CARREGAMENTO PARA EXPEDIÇÃO</v>
          </cell>
          <cell r="E1488" t="str">
            <v>UN</v>
          </cell>
        </row>
        <row r="1489">
          <cell r="C1489">
            <v>3001468</v>
          </cell>
          <cell r="D1489" t="str">
            <v>ESTUDOS E PRJ ENG ESTRUTURAL - SEM EXEC</v>
          </cell>
          <cell r="E1489" t="str">
            <v>M2</v>
          </cell>
        </row>
        <row r="1490">
          <cell r="C1490">
            <v>3001469</v>
          </cell>
          <cell r="D1490" t="str">
            <v>ELAB PLANOS DIRETORES,ESTUDOS OBRAS,ENG</v>
          </cell>
          <cell r="E1490" t="str">
            <v>SV</v>
          </cell>
        </row>
        <row r="1491">
          <cell r="C1491">
            <v>3001470</v>
          </cell>
          <cell r="D1491" t="str">
            <v>CARTÃO DE SUPRIMENTOS ADMINISTRATIVO</v>
          </cell>
          <cell r="E1491" t="str">
            <v>UN</v>
          </cell>
        </row>
        <row r="1492">
          <cell r="C1492">
            <v>3001471</v>
          </cell>
          <cell r="D1492" t="str">
            <v>CARTÃO DE SUPRIMENTOS OPERACIONAL</v>
          </cell>
          <cell r="E1492" t="str">
            <v>UN</v>
          </cell>
        </row>
        <row r="1493">
          <cell r="C1493">
            <v>3001472</v>
          </cell>
          <cell r="D1493" t="str">
            <v>CARTOGRAFIA E MAPEAMENTO E CONGÊNERES</v>
          </cell>
          <cell r="E1493" t="str">
            <v>H</v>
          </cell>
        </row>
        <row r="1494">
          <cell r="C1494">
            <v>3001473</v>
          </cell>
          <cell r="D1494" t="str">
            <v>CARTOGRAFIA E MAPEAMENTO E CONGÊNERES</v>
          </cell>
          <cell r="E1494" t="str">
            <v>HA</v>
          </cell>
        </row>
        <row r="1495">
          <cell r="C1495">
            <v>3001474</v>
          </cell>
          <cell r="D1495" t="str">
            <v>CARTOGRAFIA E MAPEAMENTO E CONGÊNERES</v>
          </cell>
          <cell r="E1495" t="str">
            <v>KM2</v>
          </cell>
        </row>
        <row r="1496">
          <cell r="C1496">
            <v>3001475</v>
          </cell>
          <cell r="D1496" t="str">
            <v>CARTOGRAFIA E MAPEAMENTO E CONGÊNERES</v>
          </cell>
          <cell r="E1496" t="str">
            <v>SV</v>
          </cell>
        </row>
        <row r="1497">
          <cell r="C1497">
            <v>3001476</v>
          </cell>
          <cell r="D1497" t="str">
            <v>AEROFOTOGR,CARTOGRAF,MAP,GEOL,IMAG SAT</v>
          </cell>
          <cell r="E1497" t="str">
            <v>SV</v>
          </cell>
        </row>
        <row r="1498">
          <cell r="C1498">
            <v>3001477</v>
          </cell>
          <cell r="D1498" t="str">
            <v>CARTOGRAFIA E MAPEAMENTO E CONGÊNERES</v>
          </cell>
          <cell r="E1498" t="str">
            <v>UN</v>
          </cell>
        </row>
        <row r="1499">
          <cell r="C1499">
            <v>3001478</v>
          </cell>
          <cell r="D1499" t="str">
            <v>CASAS DE REPOUSO;RECUP;CRECHE;SIMILARES</v>
          </cell>
          <cell r="E1499" t="str">
            <v>SV</v>
          </cell>
        </row>
        <row r="1500">
          <cell r="C1500">
            <v>3001479</v>
          </cell>
          <cell r="D1500" t="str">
            <v>CENTROS EMAGRECIMENTO, SPA E CONGÊNERES</v>
          </cell>
          <cell r="E1500" t="str">
            <v>UN</v>
          </cell>
        </row>
        <row r="1501">
          <cell r="C1501">
            <v>3001480</v>
          </cell>
          <cell r="D1501" t="str">
            <v>CERTIFICAÇÃO (TÉCNICA, DE PRODUTOS, ETC)</v>
          </cell>
          <cell r="E1501" t="str">
            <v>PC</v>
          </cell>
        </row>
        <row r="1502">
          <cell r="C1502">
            <v>3001481</v>
          </cell>
          <cell r="D1502" t="str">
            <v>CERTIFICAÇÃO (TÉCNICA, DE PRODUTOS, ETC)</v>
          </cell>
          <cell r="E1502" t="str">
            <v>UN</v>
          </cell>
        </row>
        <row r="1503">
          <cell r="C1503">
            <v>3001482</v>
          </cell>
          <cell r="D1503" t="str">
            <v>CESSÃO DIREITO DE USO MARCA E PROPAGANDA</v>
          </cell>
          <cell r="E1503" t="str">
            <v>UN</v>
          </cell>
        </row>
        <row r="1504">
          <cell r="C1504">
            <v>3001483</v>
          </cell>
          <cell r="D1504" t="str">
            <v>CONSULTORIA EM GESTAO DA MUDANCA</v>
          </cell>
          <cell r="E1504" t="str">
            <v>UN</v>
          </cell>
        </row>
        <row r="1505">
          <cell r="C1505">
            <v>3001484</v>
          </cell>
          <cell r="D1505" t="str">
            <v>CLIPPING (PROPAGANDA E PUPLICIDADE)</v>
          </cell>
          <cell r="E1505" t="str">
            <v>MES</v>
          </cell>
        </row>
        <row r="1506">
          <cell r="C1506">
            <v>3001485</v>
          </cell>
          <cell r="D1506" t="str">
            <v>CLIPPING (PROPAGANDA E PUPLICIDADE)</v>
          </cell>
          <cell r="E1506" t="str">
            <v>SV</v>
          </cell>
        </row>
        <row r="1507">
          <cell r="C1507">
            <v>3001486</v>
          </cell>
          <cell r="D1507" t="str">
            <v>CLIPPING</v>
          </cell>
          <cell r="E1507" t="str">
            <v>UN</v>
          </cell>
        </row>
        <row r="1508">
          <cell r="C1508">
            <v>3001487</v>
          </cell>
          <cell r="D1508" t="str">
            <v>COBERTURA VEGETAL</v>
          </cell>
          <cell r="E1508" t="str">
            <v>DIA</v>
          </cell>
        </row>
        <row r="1509">
          <cell r="C1509">
            <v>3001488</v>
          </cell>
          <cell r="D1509" t="str">
            <v>COBERTURA VEGETAL</v>
          </cell>
          <cell r="E1509" t="str">
            <v>H</v>
          </cell>
        </row>
        <row r="1510">
          <cell r="C1510">
            <v>3001489</v>
          </cell>
          <cell r="D1510" t="str">
            <v>JATEAMENTO E HIDROJATEAMENTO</v>
          </cell>
          <cell r="E1510" t="str">
            <v>SV</v>
          </cell>
        </row>
        <row r="1511">
          <cell r="C1511">
            <v>3001490</v>
          </cell>
          <cell r="D1511" t="str">
            <v>COBERTURA VEGETAL</v>
          </cell>
          <cell r="E1511" t="str">
            <v>KMS</v>
          </cell>
        </row>
        <row r="1512">
          <cell r="C1512">
            <v>3001491</v>
          </cell>
          <cell r="D1512" t="str">
            <v>COBERTURA VEGETAL</v>
          </cell>
          <cell r="E1512" t="str">
            <v>M</v>
          </cell>
        </row>
        <row r="1513">
          <cell r="C1513">
            <v>3001492</v>
          </cell>
          <cell r="D1513" t="str">
            <v>COBERTURA VEGETAL</v>
          </cell>
          <cell r="E1513" t="str">
            <v>M2</v>
          </cell>
        </row>
        <row r="1514">
          <cell r="C1514">
            <v>3001493</v>
          </cell>
          <cell r="D1514" t="str">
            <v>COBERTURA VEGETAL</v>
          </cell>
          <cell r="E1514" t="str">
            <v>M3</v>
          </cell>
        </row>
        <row r="1515">
          <cell r="C1515">
            <v>3001494</v>
          </cell>
          <cell r="D1515" t="str">
            <v>COBERTURA VEGETAL</v>
          </cell>
          <cell r="E1515" t="str">
            <v>MES</v>
          </cell>
        </row>
        <row r="1516">
          <cell r="C1516">
            <v>3001495</v>
          </cell>
          <cell r="D1516" t="str">
            <v>COBERTURA VEGETAL</v>
          </cell>
          <cell r="E1516" t="str">
            <v>SV</v>
          </cell>
        </row>
        <row r="1517">
          <cell r="C1517">
            <v>3001496</v>
          </cell>
          <cell r="D1517" t="str">
            <v>COBERTURA VEGETAL</v>
          </cell>
          <cell r="E1517" t="str">
            <v>TO</v>
          </cell>
        </row>
        <row r="1518">
          <cell r="C1518">
            <v>3001497</v>
          </cell>
          <cell r="D1518" t="str">
            <v>COBERTURA VEGETAL</v>
          </cell>
          <cell r="E1518" t="str">
            <v>UN</v>
          </cell>
        </row>
        <row r="1519">
          <cell r="C1519">
            <v>3001498</v>
          </cell>
          <cell r="D1519" t="str">
            <v>COBRANÇA GERAL, EXCT RECEBIMENTO VALOR</v>
          </cell>
          <cell r="E1519" t="str">
            <v>UN</v>
          </cell>
        </row>
        <row r="1520">
          <cell r="C1520">
            <v>3001499</v>
          </cell>
          <cell r="D1520" t="str">
            <v>COLETA DE AMOSTRAGEM GEOLÓGICA</v>
          </cell>
          <cell r="E1520" t="str">
            <v>DIA</v>
          </cell>
        </row>
        <row r="1521">
          <cell r="C1521">
            <v>3001500</v>
          </cell>
          <cell r="D1521" t="str">
            <v>COLETA DE AMOSTRAGEM GEOLÓGICA</v>
          </cell>
          <cell r="E1521" t="str">
            <v>M</v>
          </cell>
        </row>
        <row r="1522">
          <cell r="C1522">
            <v>3001501</v>
          </cell>
          <cell r="D1522" t="str">
            <v>COLETA DE AMOSTRAGEM GEOLÓGICA</v>
          </cell>
          <cell r="E1522" t="str">
            <v>SV</v>
          </cell>
        </row>
        <row r="1523">
          <cell r="C1523">
            <v>3001502</v>
          </cell>
          <cell r="D1523" t="str">
            <v>COLETA DE AMOSTRAGEM GEOLÓGICA</v>
          </cell>
          <cell r="E1523" t="str">
            <v>UN</v>
          </cell>
        </row>
        <row r="1524">
          <cell r="C1524">
            <v>3001503</v>
          </cell>
          <cell r="D1524" t="str">
            <v>COLETA DE CARGA NA ORIGEM</v>
          </cell>
          <cell r="E1524" t="str">
            <v>UN</v>
          </cell>
        </row>
        <row r="1525">
          <cell r="C1525">
            <v>3001504</v>
          </cell>
          <cell r="D1525" t="str">
            <v>COLETA DE SANGUE;ORGÃO;SIMILAR P ANIMAL</v>
          </cell>
          <cell r="E1525" t="str">
            <v>SV</v>
          </cell>
        </row>
        <row r="1526">
          <cell r="C1526">
            <v>3001505</v>
          </cell>
          <cell r="D1526" t="str">
            <v>COLETA OU RECICLAGEM DE LIXO E SIMILARES</v>
          </cell>
          <cell r="E1526" t="str">
            <v>H</v>
          </cell>
        </row>
        <row r="1527">
          <cell r="C1527">
            <v>3001506</v>
          </cell>
          <cell r="D1527" t="str">
            <v>COLETA OU RECICLAGEM DE LIXO E SIMILARES</v>
          </cell>
          <cell r="E1527" t="str">
            <v>M3</v>
          </cell>
        </row>
        <row r="1528">
          <cell r="C1528">
            <v>3001507</v>
          </cell>
          <cell r="D1528" t="str">
            <v>COLETA OU RECICLAGEM DE LIXO E SIMILARES</v>
          </cell>
          <cell r="E1528" t="str">
            <v>PC</v>
          </cell>
        </row>
        <row r="1529">
          <cell r="C1529">
            <v>3001508</v>
          </cell>
          <cell r="D1529" t="str">
            <v>COLETA,RECICL DE MATERIAIS INSERVIVEIS</v>
          </cell>
          <cell r="E1529" t="str">
            <v>SV</v>
          </cell>
        </row>
        <row r="1530">
          <cell r="C1530">
            <v>3001509</v>
          </cell>
          <cell r="D1530" t="str">
            <v>COLETA OU RECICLAGEM DE LIXO E SIMILARES</v>
          </cell>
          <cell r="E1530" t="str">
            <v>UN</v>
          </cell>
        </row>
        <row r="1531">
          <cell r="C1531">
            <v>3001510</v>
          </cell>
          <cell r="D1531" t="str">
            <v>COLETA DE MATERIAIS BIO DE QLQ ESPECIE</v>
          </cell>
          <cell r="E1531" t="str">
            <v>SV</v>
          </cell>
        </row>
        <row r="1532">
          <cell r="C1532">
            <v>3001511</v>
          </cell>
          <cell r="D1532" t="str">
            <v>COLETA SANGUE, TECIDO, ORGÃOS E SIMILAR</v>
          </cell>
          <cell r="E1532" t="str">
            <v>UN</v>
          </cell>
        </row>
        <row r="1533">
          <cell r="C1533">
            <v>3001512</v>
          </cell>
          <cell r="D1533" t="str">
            <v>COLOCAÇÃO DE MOLDURAS E CONGÊNERES</v>
          </cell>
          <cell r="E1533" t="str">
            <v>UN</v>
          </cell>
        </row>
        <row r="1534">
          <cell r="C1534">
            <v>3001513</v>
          </cell>
          <cell r="D1534" t="str">
            <v>COMPACT ATERRO A 95% DO PROCTOR NORMAL</v>
          </cell>
          <cell r="E1534" t="str">
            <v>M</v>
          </cell>
        </row>
        <row r="1535">
          <cell r="C1535">
            <v>3001514</v>
          </cell>
          <cell r="D1535" t="str">
            <v>COMPACT ATERRO A 95% DO PROCTOR NORMAL</v>
          </cell>
          <cell r="E1535" t="str">
            <v>M2</v>
          </cell>
        </row>
        <row r="1536">
          <cell r="C1536">
            <v>3001515</v>
          </cell>
          <cell r="D1536" t="str">
            <v>COMPACT ATERRO A 95% DO PROCTOR NORMAL</v>
          </cell>
          <cell r="E1536" t="str">
            <v>M3</v>
          </cell>
        </row>
        <row r="1537">
          <cell r="C1537">
            <v>3001516</v>
          </cell>
          <cell r="D1537" t="str">
            <v>COMPACT ATERRO A 95% DO PROCTOR NORMAL</v>
          </cell>
          <cell r="E1537" t="str">
            <v>SV</v>
          </cell>
        </row>
        <row r="1538">
          <cell r="C1538">
            <v>3001517</v>
          </cell>
          <cell r="D1538" t="str">
            <v>TERRAPLANAG,PREP TERRENO,ATERRO,DRAGAG</v>
          </cell>
          <cell r="E1538" t="str">
            <v>SV</v>
          </cell>
        </row>
        <row r="1539">
          <cell r="C1539">
            <v>3001518</v>
          </cell>
          <cell r="D1539" t="str">
            <v>COMPETIÇÃO ESPORTE;FÍSICA;INTELECT</v>
          </cell>
          <cell r="E1539" t="str">
            <v>UN</v>
          </cell>
        </row>
        <row r="1540">
          <cell r="C1540">
            <v>3001519</v>
          </cell>
          <cell r="D1540" t="str">
            <v>COMPO HIDRÁUL E PNEUM - TUBUL HIDRÁULICA</v>
          </cell>
          <cell r="E1540" t="str">
            <v>L</v>
          </cell>
        </row>
        <row r="1541">
          <cell r="C1541">
            <v>3001520</v>
          </cell>
          <cell r="D1541" t="str">
            <v>MANUT CONSERV MAQS,EQUIPS MOV,PC,MOTORES</v>
          </cell>
          <cell r="E1541" t="str">
            <v>SV</v>
          </cell>
        </row>
        <row r="1542">
          <cell r="C1542">
            <v>3001521</v>
          </cell>
          <cell r="D1542" t="str">
            <v>MANUT CONSERV MAQS,EQUIPS MOV,PC,MOTORES</v>
          </cell>
          <cell r="E1542" t="str">
            <v>SV</v>
          </cell>
        </row>
        <row r="1543">
          <cell r="C1543">
            <v>3001522</v>
          </cell>
          <cell r="D1543" t="str">
            <v>COMPO HIDRÁUL E PNEUM - TUBUL PNEUMÁTICA</v>
          </cell>
          <cell r="E1543" t="str">
            <v>H</v>
          </cell>
        </row>
        <row r="1544">
          <cell r="C1544">
            <v>3001523</v>
          </cell>
          <cell r="D1544" t="str">
            <v>COMPO HIDRÁUL E PNEUM - TUBUL PNEUMÁTICA</v>
          </cell>
          <cell r="E1544" t="str">
            <v>KG</v>
          </cell>
        </row>
        <row r="1545">
          <cell r="C1545">
            <v>3001524</v>
          </cell>
          <cell r="D1545" t="str">
            <v>COMPO HIDRÁUL E PNEUM - TUBUL PNEUMÁTICA</v>
          </cell>
          <cell r="E1545" t="str">
            <v>MES</v>
          </cell>
        </row>
        <row r="1546">
          <cell r="C1546">
            <v>3001525</v>
          </cell>
          <cell r="D1546" t="str">
            <v>COMPO HIDRÁUL E PNEUM - TUBUL PNEUMÁTICA</v>
          </cell>
          <cell r="E1546" t="str">
            <v>SV</v>
          </cell>
        </row>
        <row r="1547">
          <cell r="C1547">
            <v>3001526</v>
          </cell>
          <cell r="D1547" t="str">
            <v>COMPO HIDRÁUL E PNEUM - TUBUL PNEUMÁTICA</v>
          </cell>
          <cell r="E1547" t="str">
            <v>UN</v>
          </cell>
        </row>
        <row r="1548">
          <cell r="C1548">
            <v>3001527</v>
          </cell>
          <cell r="D1548" t="str">
            <v>COMPOSIÇÃO GRÁFICA;LITOGRAFIA;SIMILARES</v>
          </cell>
          <cell r="E1548" t="str">
            <v>DIA</v>
          </cell>
        </row>
        <row r="1549">
          <cell r="C1549">
            <v>3001528</v>
          </cell>
          <cell r="D1549" t="str">
            <v>COMPOSIÇÃO GRÁFICA;LITOGRAFIA;SIMILARES</v>
          </cell>
          <cell r="E1549" t="str">
            <v>M2</v>
          </cell>
        </row>
        <row r="1550">
          <cell r="C1550">
            <v>3001529</v>
          </cell>
          <cell r="D1550" t="str">
            <v>COMPOSIÇÃO GRÁFICA;LITOGRAFIA;SIMILARES</v>
          </cell>
          <cell r="E1550" t="str">
            <v>M3</v>
          </cell>
        </row>
        <row r="1551">
          <cell r="C1551">
            <v>3001530</v>
          </cell>
          <cell r="D1551" t="str">
            <v>COMPOSIÇÃO GRÁFICA;LITOGRAFIA;SIMILARES</v>
          </cell>
          <cell r="E1551" t="str">
            <v>PC</v>
          </cell>
        </row>
        <row r="1552">
          <cell r="C1552">
            <v>3001531</v>
          </cell>
          <cell r="D1552" t="str">
            <v>COMPOSIÇÃO GRÁFICA;LITOGRAFIA;SIMILARES</v>
          </cell>
          <cell r="E1552" t="str">
            <v>UN</v>
          </cell>
        </row>
        <row r="1553">
          <cell r="C1553">
            <v>3001532</v>
          </cell>
          <cell r="D1553" t="str">
            <v>COMPUTAÇÃO GRÁFICA</v>
          </cell>
          <cell r="E1553" t="str">
            <v>H</v>
          </cell>
        </row>
        <row r="1554">
          <cell r="C1554">
            <v>3001533</v>
          </cell>
          <cell r="D1554" t="str">
            <v>COMPUTAÇÃO GRÁFICA</v>
          </cell>
          <cell r="E1554" t="str">
            <v>UN</v>
          </cell>
        </row>
        <row r="1555">
          <cell r="C1555">
            <v>3001534</v>
          </cell>
          <cell r="D1555" t="str">
            <v>CONCRETAGEM MANUAL</v>
          </cell>
          <cell r="E1555" t="str">
            <v>H</v>
          </cell>
        </row>
        <row r="1556">
          <cell r="C1556">
            <v>3001535</v>
          </cell>
          <cell r="D1556" t="str">
            <v>CONCRETAGEM MANUAL</v>
          </cell>
          <cell r="E1556" t="str">
            <v>KG</v>
          </cell>
        </row>
        <row r="1557">
          <cell r="C1557">
            <v>3001536</v>
          </cell>
          <cell r="D1557" t="str">
            <v>CONCRETAGEM MANUAL</v>
          </cell>
          <cell r="E1557" t="str">
            <v>L</v>
          </cell>
        </row>
        <row r="1558">
          <cell r="C1558">
            <v>3001537</v>
          </cell>
          <cell r="D1558" t="str">
            <v>CONCRETAGEM MANUAL</v>
          </cell>
          <cell r="E1558" t="str">
            <v>M</v>
          </cell>
        </row>
        <row r="1559">
          <cell r="C1559">
            <v>3001538</v>
          </cell>
          <cell r="D1559" t="str">
            <v>CONCRETAGEM MANUAL</v>
          </cell>
          <cell r="E1559" t="str">
            <v>M2</v>
          </cell>
        </row>
        <row r="1560">
          <cell r="C1560">
            <v>3001539</v>
          </cell>
          <cell r="D1560" t="str">
            <v>CONCRETAGEM MANUAL</v>
          </cell>
          <cell r="E1560" t="str">
            <v>M3</v>
          </cell>
        </row>
        <row r="1561">
          <cell r="C1561">
            <v>3001540</v>
          </cell>
          <cell r="D1561" t="str">
            <v>CONCRETAGEM MANUAL</v>
          </cell>
          <cell r="E1561" t="str">
            <v>PC</v>
          </cell>
        </row>
        <row r="1562">
          <cell r="C1562">
            <v>3001541</v>
          </cell>
          <cell r="D1562" t="str">
            <v>CONCRETAGEM MANUAL</v>
          </cell>
          <cell r="E1562" t="str">
            <v>SV</v>
          </cell>
        </row>
        <row r="1563">
          <cell r="C1563">
            <v>3001542</v>
          </cell>
          <cell r="D1563" t="str">
            <v>CONCRETAGEM MANUAL</v>
          </cell>
          <cell r="E1563" t="str">
            <v>UN</v>
          </cell>
        </row>
        <row r="1564">
          <cell r="C1564">
            <v>3001543</v>
          </cell>
          <cell r="D1564" t="str">
            <v>CONEXÃO E TRANSMISSÃO AO SISTEMA ELETR</v>
          </cell>
          <cell r="E1564" t="str">
            <v>KMS</v>
          </cell>
        </row>
        <row r="1565">
          <cell r="C1565">
            <v>3001544</v>
          </cell>
          <cell r="D1565" t="str">
            <v>CONEXÃO E TRANSMISSÃO AO SISTEMA ELETR</v>
          </cell>
          <cell r="E1565" t="str">
            <v>MES</v>
          </cell>
        </row>
        <row r="1566">
          <cell r="C1566">
            <v>3001545</v>
          </cell>
          <cell r="D1566" t="str">
            <v>CONEXÃO E TRANSMISSÃO AO SIST ELÉTRICO</v>
          </cell>
          <cell r="E1566" t="str">
            <v>SV</v>
          </cell>
        </row>
        <row r="1567">
          <cell r="C1567">
            <v>3001546</v>
          </cell>
          <cell r="D1567" t="str">
            <v>CONEXÃO E TRANSMISSÃO AO SISTEMA ELETR</v>
          </cell>
          <cell r="E1567" t="str">
            <v>UN</v>
          </cell>
        </row>
        <row r="1568">
          <cell r="C1568">
            <v>3001547</v>
          </cell>
          <cell r="D1568" t="str">
            <v>SILKSCREEN E CONFECCAO DE BRINDES</v>
          </cell>
          <cell r="E1568" t="str">
            <v>SV</v>
          </cell>
        </row>
        <row r="1569">
          <cell r="C1569">
            <v>3001548</v>
          </cell>
          <cell r="D1569" t="str">
            <v>CONFECÇÃO BRINDES</v>
          </cell>
          <cell r="E1569" t="str">
            <v>UN</v>
          </cell>
        </row>
        <row r="1570">
          <cell r="C1570">
            <v>3001549</v>
          </cell>
          <cell r="D1570" t="str">
            <v>CONSERTO;REPARO;REFOR MAQ;EQUIP MÓV;CONG</v>
          </cell>
          <cell r="E1570" t="str">
            <v>DIA</v>
          </cell>
        </row>
        <row r="1571">
          <cell r="C1571">
            <v>3001550</v>
          </cell>
          <cell r="D1571" t="str">
            <v>CONSERTO;REPARO;REFOR MAQ;EQUIP MÓV;CONG</v>
          </cell>
          <cell r="E1571" t="str">
            <v>G</v>
          </cell>
        </row>
        <row r="1572">
          <cell r="C1572">
            <v>3001551</v>
          </cell>
          <cell r="D1572" t="str">
            <v>CONSERTO;REPARO;REFOR MAQ;EQUIP MÓV;CONG</v>
          </cell>
          <cell r="E1572" t="str">
            <v>H</v>
          </cell>
        </row>
        <row r="1573">
          <cell r="C1573">
            <v>3001552</v>
          </cell>
          <cell r="D1573" t="str">
            <v>CONSERTO;REPARO;REFOR MAQ;EQUIP MÓV;CONG</v>
          </cell>
          <cell r="E1573" t="str">
            <v>KG</v>
          </cell>
        </row>
        <row r="1574">
          <cell r="C1574">
            <v>3001553</v>
          </cell>
          <cell r="D1574" t="str">
            <v>CONSERTO;REPARO;REFOR MAQ;EQUIP MÓV;CONG</v>
          </cell>
          <cell r="E1574" t="str">
            <v>M</v>
          </cell>
        </row>
        <row r="1575">
          <cell r="C1575">
            <v>3001554</v>
          </cell>
          <cell r="D1575" t="str">
            <v>CONSERTO;REPARO;REFOR MAQ;EQUIP MÓV;CONG</v>
          </cell>
          <cell r="E1575" t="str">
            <v>M2</v>
          </cell>
        </row>
        <row r="1576">
          <cell r="C1576">
            <v>3001555</v>
          </cell>
          <cell r="D1576" t="str">
            <v>CONSERTO;REPARO;REFOR MAQ;EQUIP MÓV;CONG</v>
          </cell>
          <cell r="E1576" t="str">
            <v>M3</v>
          </cell>
        </row>
        <row r="1577">
          <cell r="C1577">
            <v>3001556</v>
          </cell>
          <cell r="D1577" t="str">
            <v>CONSERTO;REPARO;REFOR MAQ;EQUIP MÓV;CONG</v>
          </cell>
          <cell r="E1577" t="str">
            <v>MES</v>
          </cell>
        </row>
        <row r="1578">
          <cell r="C1578">
            <v>3001557</v>
          </cell>
          <cell r="D1578" t="str">
            <v>CONSERTO;REPARO;REFOR MAQ;EQUIP MÓV;CONG</v>
          </cell>
          <cell r="E1578" t="str">
            <v>PC</v>
          </cell>
        </row>
        <row r="1579">
          <cell r="C1579">
            <v>3001558</v>
          </cell>
          <cell r="D1579" t="str">
            <v>CONSERTO;REPARO;REFOR MAQ;EQUIP MÓV;CONG</v>
          </cell>
          <cell r="E1579" t="str">
            <v>SEM</v>
          </cell>
        </row>
        <row r="1580">
          <cell r="C1580">
            <v>3001559</v>
          </cell>
          <cell r="D1580" t="str">
            <v>CONSERT, REP, RESTAUR, REFOR E BLIND</v>
          </cell>
          <cell r="E1580" t="str">
            <v>SV</v>
          </cell>
        </row>
        <row r="1581">
          <cell r="C1581">
            <v>3001560</v>
          </cell>
          <cell r="D1581" t="str">
            <v>CONSERTO;REPARO;REFOR MAQ;EQUIP MÓV;CONG</v>
          </cell>
          <cell r="E1581" t="str">
            <v>UN</v>
          </cell>
        </row>
        <row r="1582">
          <cell r="C1582">
            <v>3001561</v>
          </cell>
          <cell r="D1582" t="str">
            <v>CONSTR AQUEDUTOS (ROTAS DE AGUA E ESG)</v>
          </cell>
          <cell r="E1582" t="str">
            <v>UN</v>
          </cell>
        </row>
        <row r="1583">
          <cell r="C1583">
            <v>3001562</v>
          </cell>
          <cell r="D1583" t="str">
            <v>CONSTR E EDIFICAÇÃO PREDIAL - PEQ PORTE</v>
          </cell>
          <cell r="E1583" t="str">
            <v>DIA</v>
          </cell>
        </row>
        <row r="1584">
          <cell r="C1584">
            <v>3001563</v>
          </cell>
          <cell r="D1584" t="str">
            <v>CONSTR E EDIFICAÇÃO PREDIAL - PEQ PORTE</v>
          </cell>
          <cell r="E1584" t="str">
            <v>dm3</v>
          </cell>
        </row>
        <row r="1585">
          <cell r="C1585">
            <v>3001564</v>
          </cell>
          <cell r="D1585" t="str">
            <v>CONSTR E EDIFICAÇÃO PREDIAL - PEQ PORTE</v>
          </cell>
          <cell r="E1585" t="str">
            <v>H</v>
          </cell>
        </row>
        <row r="1586">
          <cell r="C1586">
            <v>3001565</v>
          </cell>
          <cell r="D1586" t="str">
            <v>CONSTR E EDIFICAÇÃO PREDIAL - PEQ PORTE</v>
          </cell>
          <cell r="E1586" t="str">
            <v>JG</v>
          </cell>
        </row>
        <row r="1587">
          <cell r="C1587">
            <v>3001566</v>
          </cell>
          <cell r="D1587" t="str">
            <v>CONSTR E EDIFICAÇÃO PREDIAL - PEQ PORTE</v>
          </cell>
          <cell r="E1587" t="str">
            <v>KG</v>
          </cell>
        </row>
        <row r="1588">
          <cell r="C1588">
            <v>3001567</v>
          </cell>
          <cell r="D1588" t="str">
            <v>CONSTR E EDIFICAÇÃO PREDIAL - PEQ PORTE</v>
          </cell>
          <cell r="E1588" t="str">
            <v>KMS</v>
          </cell>
        </row>
        <row r="1589">
          <cell r="C1589">
            <v>3001568</v>
          </cell>
          <cell r="D1589" t="str">
            <v>CONSTR E EDIFICAÇÃO PREDIAL - PEQ PORTE</v>
          </cell>
          <cell r="E1589" t="str">
            <v>L</v>
          </cell>
        </row>
        <row r="1590">
          <cell r="C1590">
            <v>3001569</v>
          </cell>
          <cell r="D1590" t="str">
            <v>CONSTR E EDIFICAÇÃO PREDIAL - PEQ PORTE</v>
          </cell>
          <cell r="E1590" t="str">
            <v>M</v>
          </cell>
        </row>
        <row r="1591">
          <cell r="C1591">
            <v>3001570</v>
          </cell>
          <cell r="D1591" t="str">
            <v>CONSTR E EDIFICAÇÃO PREDIAL - PEQ PORTE</v>
          </cell>
          <cell r="E1591" t="str">
            <v>M2</v>
          </cell>
        </row>
        <row r="1592">
          <cell r="C1592">
            <v>3001571</v>
          </cell>
          <cell r="D1592" t="str">
            <v>CONSTR E EDIFICAÇÃO PREDIAL - PEQ PORTE</v>
          </cell>
          <cell r="E1592" t="str">
            <v>M3</v>
          </cell>
        </row>
        <row r="1593">
          <cell r="C1593">
            <v>3001572</v>
          </cell>
          <cell r="D1593" t="str">
            <v>CONSTR E EDIFICAÇÃO PREDIAL - PEQ PORTE</v>
          </cell>
          <cell r="E1593" t="str">
            <v>MES</v>
          </cell>
        </row>
        <row r="1594">
          <cell r="C1594">
            <v>3001573</v>
          </cell>
          <cell r="D1594" t="str">
            <v>CONSTR E EDIFICAÇÃO PREDIAL - PEQ PORTE</v>
          </cell>
          <cell r="E1594" t="str">
            <v>PAR</v>
          </cell>
        </row>
        <row r="1595">
          <cell r="C1595">
            <v>3001574</v>
          </cell>
          <cell r="D1595" t="str">
            <v>CONSTR E EDIFICAÇÃO PREDIAL - PEQ PORTE</v>
          </cell>
          <cell r="E1595" t="str">
            <v>PC</v>
          </cell>
        </row>
        <row r="1596">
          <cell r="C1596">
            <v>3001575</v>
          </cell>
          <cell r="D1596" t="str">
            <v>DEMAIS SERVICOS DE CONSTRUCAO CIVIL</v>
          </cell>
          <cell r="E1596" t="str">
            <v>SV</v>
          </cell>
        </row>
        <row r="1597">
          <cell r="C1597">
            <v>3001576</v>
          </cell>
          <cell r="D1597" t="str">
            <v>CONSTR E EDIFICAÇÃO PREDIAL - PEQ PORTE</v>
          </cell>
          <cell r="E1597" t="str">
            <v>TO</v>
          </cell>
        </row>
        <row r="1598">
          <cell r="C1598">
            <v>3001577</v>
          </cell>
          <cell r="D1598" t="str">
            <v>CONSTR E EDIFICAÇÃO PREDIAL - PEQ PORTE</v>
          </cell>
          <cell r="E1598" t="str">
            <v>UN</v>
          </cell>
        </row>
        <row r="1599">
          <cell r="C1599">
            <v>3001578</v>
          </cell>
          <cell r="D1599" t="str">
            <v>CONSTR ESTAÇÕES BOMBEAMENTO GRANDE PORTE</v>
          </cell>
          <cell r="E1599" t="str">
            <v>UN</v>
          </cell>
        </row>
        <row r="1600">
          <cell r="C1600">
            <v>3001579</v>
          </cell>
          <cell r="D1600" t="str">
            <v>CONSTR ESTAÇÕES BOMBEAMENTO MÉDIO PORTE</v>
          </cell>
          <cell r="E1600" t="str">
            <v>UN</v>
          </cell>
        </row>
        <row r="1601">
          <cell r="C1601">
            <v>3001580</v>
          </cell>
          <cell r="D1601" t="str">
            <v>CONSTR ESTAÇÕES BOMBEAMENTO PEQ PORTE</v>
          </cell>
          <cell r="E1601" t="str">
            <v>UN</v>
          </cell>
        </row>
        <row r="1602">
          <cell r="C1602">
            <v>3001581</v>
          </cell>
          <cell r="D1602" t="str">
            <v>DEMAIS SERVICOS DE CONSTRUCAO CIVIL</v>
          </cell>
          <cell r="E1602" t="str">
            <v>SV</v>
          </cell>
        </row>
        <row r="1603">
          <cell r="C1603">
            <v>3001582</v>
          </cell>
          <cell r="D1603" t="str">
            <v>CONSTRUÇÃO NOVAS PLANTAS INDUSTR PORTE P</v>
          </cell>
          <cell r="E1603" t="str">
            <v>UN</v>
          </cell>
        </row>
        <row r="1604">
          <cell r="C1604">
            <v>3001583</v>
          </cell>
          <cell r="D1604" t="str">
            <v>CONSTRUÇÃO OBRA PLANTAS INDUSTR GRANDE P</v>
          </cell>
          <cell r="E1604" t="str">
            <v>DIA</v>
          </cell>
        </row>
        <row r="1605">
          <cell r="C1605">
            <v>3001584</v>
          </cell>
          <cell r="D1605" t="str">
            <v>CONSTRUÇÃO OBRA PLANTAS INDUSTR GRANDE P</v>
          </cell>
          <cell r="E1605" t="str">
            <v>H</v>
          </cell>
        </row>
        <row r="1606">
          <cell r="C1606">
            <v>3001585</v>
          </cell>
          <cell r="D1606" t="str">
            <v>CONSTRUÇÃO OBRA PLANTAS INDUSTR GRANDE P</v>
          </cell>
          <cell r="E1606" t="str">
            <v>JG</v>
          </cell>
        </row>
        <row r="1607">
          <cell r="C1607">
            <v>3001586</v>
          </cell>
          <cell r="D1607" t="str">
            <v>CONSTRUÇÃO OBRA PLANTAS INDUSTR GRANDE P</v>
          </cell>
          <cell r="E1607" t="str">
            <v>KG</v>
          </cell>
        </row>
        <row r="1608">
          <cell r="C1608">
            <v>3001587</v>
          </cell>
          <cell r="D1608" t="str">
            <v>CONSTRUÇÃO OBRA PLANTAS INDUSTR GRANDE P</v>
          </cell>
          <cell r="E1608" t="str">
            <v>L</v>
          </cell>
        </row>
        <row r="1609">
          <cell r="C1609">
            <v>3001588</v>
          </cell>
          <cell r="D1609" t="str">
            <v>CONSTRUÇÃO OBRA PLANTAS INDUSTR GRANDE P</v>
          </cell>
          <cell r="E1609" t="str">
            <v>M</v>
          </cell>
        </row>
        <row r="1610">
          <cell r="C1610">
            <v>3001589</v>
          </cell>
          <cell r="D1610" t="str">
            <v>CONSTRUÇÃO OBRA PLANTAS INDUSTR GRANDE P</v>
          </cell>
          <cell r="E1610" t="str">
            <v>M2</v>
          </cell>
        </row>
        <row r="1611">
          <cell r="C1611">
            <v>3001590</v>
          </cell>
          <cell r="D1611" t="str">
            <v>CONSTRUÇÃO OBRA PLANTAS INDUSTR GRANDE P</v>
          </cell>
          <cell r="E1611" t="str">
            <v>M3</v>
          </cell>
        </row>
        <row r="1612">
          <cell r="C1612">
            <v>3001591</v>
          </cell>
          <cell r="D1612" t="str">
            <v>CONSTRUÇÃO OBRA PLANTAS INDUSTR GRANDE P</v>
          </cell>
          <cell r="E1612" t="str">
            <v>MES</v>
          </cell>
        </row>
        <row r="1613">
          <cell r="C1613">
            <v>3001592</v>
          </cell>
          <cell r="D1613" t="str">
            <v>CONSTRUÇÃO OBRA PLANTAS INDUSTR GRANDE P</v>
          </cell>
          <cell r="E1613" t="str">
            <v>PAR</v>
          </cell>
        </row>
        <row r="1614">
          <cell r="C1614">
            <v>3001593</v>
          </cell>
          <cell r="D1614" t="str">
            <v>CONSTRUÇÃO OBRA PLANTAS INDUSTR GRANDE P</v>
          </cell>
          <cell r="E1614" t="str">
            <v>PC</v>
          </cell>
        </row>
        <row r="1615">
          <cell r="C1615">
            <v>3001594</v>
          </cell>
          <cell r="D1615" t="str">
            <v>CONSTRUÇÃO OBRA PLANTAS INDUSTR GRANDE P</v>
          </cell>
          <cell r="E1615" t="str">
            <v>SV</v>
          </cell>
        </row>
        <row r="1616">
          <cell r="C1616">
            <v>3001595</v>
          </cell>
          <cell r="D1616" t="str">
            <v>CONSTRUÇÃO OBRA PLANTAS INDUSTR GRANDE P</v>
          </cell>
          <cell r="E1616" t="str">
            <v>UN</v>
          </cell>
        </row>
        <row r="1617">
          <cell r="C1617">
            <v>3001596</v>
          </cell>
          <cell r="D1617" t="str">
            <v>CONSTRUÇÃO OBRA PLANTAS INDUSTR PORTE M</v>
          </cell>
          <cell r="E1617" t="str">
            <v>DIA</v>
          </cell>
        </row>
        <row r="1618">
          <cell r="C1618">
            <v>3001597</v>
          </cell>
          <cell r="D1618" t="str">
            <v>CONSTRUÇÃO OBRA PLANTAS INDUSTR PORTE M</v>
          </cell>
          <cell r="E1618" t="str">
            <v>dm3</v>
          </cell>
        </row>
        <row r="1619">
          <cell r="C1619">
            <v>3001598</v>
          </cell>
          <cell r="D1619" t="str">
            <v>CONSTRUÇÃO OBRA PLANTAS INDUSTR PORTE M</v>
          </cell>
          <cell r="E1619" t="str">
            <v>H</v>
          </cell>
        </row>
        <row r="1620">
          <cell r="C1620">
            <v>3001599</v>
          </cell>
          <cell r="D1620" t="str">
            <v>CONSTRUÇÃO OBRA PLANTAS INDUSTR PORTE M</v>
          </cell>
          <cell r="E1620" t="str">
            <v>KG</v>
          </cell>
        </row>
        <row r="1621">
          <cell r="C1621">
            <v>3001600</v>
          </cell>
          <cell r="D1621" t="str">
            <v>CONSTRUÇÃO OBRA PLANTAS INDUSTR PORTE M</v>
          </cell>
          <cell r="E1621" t="str">
            <v>KMS</v>
          </cell>
        </row>
        <row r="1622">
          <cell r="C1622">
            <v>3001601</v>
          </cell>
          <cell r="D1622" t="str">
            <v>CONSTRUÇÃO OBRA PLANTAS INDUSTR PORTE M</v>
          </cell>
          <cell r="E1622" t="str">
            <v>M</v>
          </cell>
        </row>
        <row r="1623">
          <cell r="C1623">
            <v>3001602</v>
          </cell>
          <cell r="D1623" t="str">
            <v>CONSTRUÇÃO OBRA PLANTAS INDUSTR PORTE M</v>
          </cell>
          <cell r="E1623" t="str">
            <v>M2</v>
          </cell>
        </row>
        <row r="1624">
          <cell r="C1624">
            <v>3001603</v>
          </cell>
          <cell r="D1624" t="str">
            <v>CONSTRUÇÃO OBRA PLANTAS INDUSTR PORTE M</v>
          </cell>
          <cell r="E1624" t="str">
            <v>M3</v>
          </cell>
        </row>
        <row r="1625">
          <cell r="C1625">
            <v>3001604</v>
          </cell>
          <cell r="D1625" t="str">
            <v>CONSTRUÇÃO OBRA PLANTAS INDUSTR PORTE M</v>
          </cell>
          <cell r="E1625" t="str">
            <v>MES</v>
          </cell>
        </row>
        <row r="1626">
          <cell r="C1626">
            <v>3001605</v>
          </cell>
          <cell r="D1626" t="str">
            <v>CONSTRUÇÃO OBRA PLANTAS INDUSTR PORTE M</v>
          </cell>
          <cell r="E1626" t="str">
            <v>PC</v>
          </cell>
        </row>
        <row r="1627">
          <cell r="C1627">
            <v>3001606</v>
          </cell>
          <cell r="D1627" t="str">
            <v>CONSTRUÇÃO OBRA PLANTAS INDUSTR PORTE M</v>
          </cell>
          <cell r="E1627" t="str">
            <v>SV</v>
          </cell>
        </row>
        <row r="1628">
          <cell r="C1628">
            <v>3001607</v>
          </cell>
          <cell r="D1628" t="str">
            <v>CONSTRUÇÃO OBRA PLANTAS INDUSTR PORTE M</v>
          </cell>
          <cell r="E1628" t="str">
            <v>TO</v>
          </cell>
        </row>
        <row r="1629">
          <cell r="C1629">
            <v>3001608</v>
          </cell>
          <cell r="D1629" t="str">
            <v>CONSTRUÇÃO OBRA PLANTAS INDUSTR PORTE M</v>
          </cell>
          <cell r="E1629" t="str">
            <v>UN</v>
          </cell>
        </row>
        <row r="1630">
          <cell r="C1630">
            <v>3001609</v>
          </cell>
          <cell r="D1630" t="str">
            <v>CONSTRUÇÃO OBRA PLANTAS INDUSTR PORTE P</v>
          </cell>
          <cell r="E1630" t="str">
            <v>DIA</v>
          </cell>
        </row>
        <row r="1631">
          <cell r="C1631">
            <v>3001610</v>
          </cell>
          <cell r="D1631" t="str">
            <v>CONSTRUÇÃO OBRA PLANTAS INDUSTR PORTE P</v>
          </cell>
          <cell r="E1631" t="str">
            <v>dm3</v>
          </cell>
        </row>
        <row r="1632">
          <cell r="C1632">
            <v>3001611</v>
          </cell>
          <cell r="D1632" t="str">
            <v>CONSTRUÇÃO OBRA PLANTAS INDUSTR PORTE P</v>
          </cell>
          <cell r="E1632" t="str">
            <v>H</v>
          </cell>
        </row>
        <row r="1633">
          <cell r="C1633">
            <v>3001612</v>
          </cell>
          <cell r="D1633" t="str">
            <v>CONSTRUÇÃO OBRA PLANTAS INDUSTR PORTE P</v>
          </cell>
          <cell r="E1633" t="str">
            <v>JG</v>
          </cell>
        </row>
        <row r="1634">
          <cell r="C1634">
            <v>3001613</v>
          </cell>
          <cell r="D1634" t="str">
            <v>CONSTRUÇÃO OBRA PLANTAS INDUSTR PORTE P</v>
          </cell>
          <cell r="E1634" t="str">
            <v>KG</v>
          </cell>
        </row>
        <row r="1635">
          <cell r="C1635">
            <v>3001614</v>
          </cell>
          <cell r="D1635" t="str">
            <v>CONSTRUÇÃO OBRA PLANTAS INDUSTR PORTE P</v>
          </cell>
          <cell r="E1635" t="str">
            <v>M</v>
          </cell>
        </row>
        <row r="1636">
          <cell r="C1636">
            <v>3001615</v>
          </cell>
          <cell r="D1636" t="str">
            <v>CONSTRUÇÃO OBRA PLANTAS INDUSTR PORTE P</v>
          </cell>
          <cell r="E1636" t="str">
            <v>M2</v>
          </cell>
        </row>
        <row r="1637">
          <cell r="C1637">
            <v>3001616</v>
          </cell>
          <cell r="D1637" t="str">
            <v>CONSTRUÇÃO OBRA PLANTAS INDUSTR PORTE P</v>
          </cell>
          <cell r="E1637" t="str">
            <v>M3</v>
          </cell>
        </row>
        <row r="1638">
          <cell r="C1638">
            <v>3001617</v>
          </cell>
          <cell r="D1638" t="str">
            <v>CONSTRUÇÃO OBRA PLANTAS INDUSTR PORTE P</v>
          </cell>
          <cell r="E1638" t="str">
            <v>MES</v>
          </cell>
        </row>
        <row r="1639">
          <cell r="C1639">
            <v>3001618</v>
          </cell>
          <cell r="D1639" t="str">
            <v>CONSTRUÇÃO OBRA PLANTAS INDUSTR PORTE P</v>
          </cell>
          <cell r="E1639" t="str">
            <v>PC</v>
          </cell>
        </row>
        <row r="1640">
          <cell r="C1640">
            <v>3001619</v>
          </cell>
          <cell r="D1640" t="str">
            <v>CONSTRUÇÃO OBRA PLANTAS INDUSTR PORTE P</v>
          </cell>
          <cell r="E1640" t="str">
            <v>SV</v>
          </cell>
        </row>
        <row r="1641">
          <cell r="C1641">
            <v>3001620</v>
          </cell>
          <cell r="D1641" t="str">
            <v>CONSTRUÇÃO OBRA PLANTAS INDUSTR PORTE P</v>
          </cell>
          <cell r="E1641" t="str">
            <v>UN</v>
          </cell>
        </row>
        <row r="1642">
          <cell r="C1642">
            <v>3001621</v>
          </cell>
          <cell r="D1642" t="str">
            <v>CONSULT E ASSESS ECONÔMICA OU FINANCEIRA</v>
          </cell>
          <cell r="E1642" t="str">
            <v>H</v>
          </cell>
        </row>
        <row r="1643">
          <cell r="C1643">
            <v>3001622</v>
          </cell>
          <cell r="D1643" t="str">
            <v>CONSULT E ASSESS ECONÔMICA OU FINANCEIRA</v>
          </cell>
          <cell r="E1643" t="str">
            <v>MES</v>
          </cell>
        </row>
        <row r="1644">
          <cell r="C1644">
            <v>3001623</v>
          </cell>
          <cell r="D1644" t="str">
            <v>CONSULT E ASSESS ECONÔMICA OU FINANCEIRA</v>
          </cell>
          <cell r="E1644">
            <v>0</v>
          </cell>
        </row>
        <row r="1645">
          <cell r="C1645">
            <v>3001624</v>
          </cell>
          <cell r="D1645" t="str">
            <v>CONSULT E ASSESS ECO OU FINANCEIRA.</v>
          </cell>
          <cell r="E1645" t="str">
            <v>SV</v>
          </cell>
        </row>
        <row r="1646">
          <cell r="C1646">
            <v>3001625</v>
          </cell>
          <cell r="D1646" t="str">
            <v>CONSULT E ASSESS ECONÔMICA OU FINANCEIRA</v>
          </cell>
          <cell r="E1646" t="str">
            <v>UN</v>
          </cell>
        </row>
        <row r="1647">
          <cell r="C1647">
            <v>3001626</v>
          </cell>
          <cell r="D1647" t="str">
            <v>CONSULTORIA</v>
          </cell>
          <cell r="E1647" t="str">
            <v>H</v>
          </cell>
        </row>
        <row r="1648">
          <cell r="C1648">
            <v>3001627</v>
          </cell>
          <cell r="D1648" t="str">
            <v>CONSULTORIA</v>
          </cell>
          <cell r="E1648" t="str">
            <v>UN</v>
          </cell>
        </row>
        <row r="1649">
          <cell r="C1649">
            <v>3001628</v>
          </cell>
          <cell r="D1649" t="str">
            <v>CONSULTORIA TÉCNICA AUTOMAÇÃO</v>
          </cell>
          <cell r="E1649" t="str">
            <v>DIA</v>
          </cell>
        </row>
        <row r="1650">
          <cell r="C1650">
            <v>3001629</v>
          </cell>
          <cell r="D1650" t="str">
            <v>CONSULTORIA TÉCNICA AUTOMAÇÃO</v>
          </cell>
          <cell r="E1650" t="str">
            <v>H</v>
          </cell>
        </row>
        <row r="1651">
          <cell r="C1651">
            <v>3001630</v>
          </cell>
          <cell r="D1651" t="str">
            <v>CONSULTORIA TÉCNICA AUTOMAÇÃO</v>
          </cell>
          <cell r="E1651" t="str">
            <v>KG</v>
          </cell>
        </row>
        <row r="1652">
          <cell r="C1652">
            <v>3001631</v>
          </cell>
          <cell r="D1652" t="str">
            <v>CONSULTORIA TÉCNICA AUTOMAÇÃO</v>
          </cell>
          <cell r="E1652" t="str">
            <v>M</v>
          </cell>
        </row>
        <row r="1653">
          <cell r="C1653">
            <v>3001632</v>
          </cell>
          <cell r="D1653" t="str">
            <v>CONSULTORIA TÉCNICA AUTOMAÇÃO</v>
          </cell>
          <cell r="E1653" t="str">
            <v>MES</v>
          </cell>
        </row>
        <row r="1654">
          <cell r="C1654">
            <v>3001633</v>
          </cell>
          <cell r="D1654" t="str">
            <v>ASSESSORIA OU CONSULTORIA DE QQ NATUREZA</v>
          </cell>
          <cell r="E1654" t="str">
            <v>SV</v>
          </cell>
        </row>
        <row r="1655">
          <cell r="C1655">
            <v>3001634</v>
          </cell>
          <cell r="D1655" t="str">
            <v>CONSULTORIA TÉCNICA AUTOMAÇÃO</v>
          </cell>
          <cell r="E1655" t="str">
            <v>UN</v>
          </cell>
        </row>
        <row r="1656">
          <cell r="C1656">
            <v>3001635</v>
          </cell>
          <cell r="D1656" t="str">
            <v>CONSULTORIA E ASSESSORIA EM TI</v>
          </cell>
          <cell r="E1656" t="str">
            <v>ANO</v>
          </cell>
        </row>
        <row r="1657">
          <cell r="C1657">
            <v>3001636</v>
          </cell>
          <cell r="D1657" t="str">
            <v>ASSESSORIA E CONSULTORIA EM INFORMATICA</v>
          </cell>
          <cell r="E1657" t="str">
            <v>SV</v>
          </cell>
        </row>
        <row r="1658">
          <cell r="C1658">
            <v>3001637</v>
          </cell>
          <cell r="D1658" t="str">
            <v>CONSULTORIA TÉCNICA INFORMÁTICA</v>
          </cell>
          <cell r="E1658" t="str">
            <v>H</v>
          </cell>
        </row>
        <row r="1659">
          <cell r="C1659">
            <v>3001638</v>
          </cell>
          <cell r="D1659" t="str">
            <v>CONSULTORIA TÉCNICA INFORMÁTICA</v>
          </cell>
          <cell r="E1659" t="str">
            <v>MES</v>
          </cell>
        </row>
        <row r="1660">
          <cell r="C1660">
            <v>3001639</v>
          </cell>
          <cell r="D1660" t="str">
            <v>ASSESSORIA E CONSULTORIA EM INFORMATICA</v>
          </cell>
          <cell r="E1660" t="str">
            <v>SV</v>
          </cell>
        </row>
        <row r="1661">
          <cell r="C1661">
            <v>3001640</v>
          </cell>
          <cell r="D1661" t="str">
            <v>CONSULTORIA TECNICA INFORMATICA-UN</v>
          </cell>
          <cell r="E1661" t="str">
            <v>UN</v>
          </cell>
        </row>
        <row r="1662">
          <cell r="C1662">
            <v>3001641</v>
          </cell>
          <cell r="D1662" t="str">
            <v>CONSULTORIA TÉCNICA LOCOMOTIVAS</v>
          </cell>
          <cell r="E1662" t="str">
            <v>H</v>
          </cell>
        </row>
        <row r="1663">
          <cell r="C1663">
            <v>3001642</v>
          </cell>
          <cell r="D1663" t="str">
            <v>ASSESSORIA OU CONSULTORIA DE QQ NATUREZA</v>
          </cell>
          <cell r="E1663" t="str">
            <v>SV</v>
          </cell>
        </row>
        <row r="1664">
          <cell r="C1664">
            <v>3001643</v>
          </cell>
          <cell r="D1664" t="str">
            <v>CONSULTORIA TÉCNICA LOCOMOTIVAS</v>
          </cell>
          <cell r="E1664" t="str">
            <v>UN</v>
          </cell>
        </row>
        <row r="1665">
          <cell r="C1665">
            <v>3001644</v>
          </cell>
          <cell r="D1665" t="str">
            <v>CONSULTORIA TÉCNICA TELECOMUNICAÇÕES</v>
          </cell>
          <cell r="E1665" t="str">
            <v>ANO</v>
          </cell>
        </row>
        <row r="1666">
          <cell r="C1666">
            <v>3001645</v>
          </cell>
          <cell r="D1666" t="str">
            <v>CONSULTORIA TÉCNICA TELECOMUNICAÇÕES</v>
          </cell>
          <cell r="E1666" t="str">
            <v>DIA</v>
          </cell>
        </row>
        <row r="1667">
          <cell r="C1667">
            <v>3001646</v>
          </cell>
          <cell r="D1667" t="str">
            <v>CONSULTORIA TÉCNICA TELECOMUNICAÇÕES</v>
          </cell>
          <cell r="E1667" t="str">
            <v>H</v>
          </cell>
        </row>
        <row r="1668">
          <cell r="C1668">
            <v>3001647</v>
          </cell>
          <cell r="D1668" t="str">
            <v>CONSULTORIA TÉCNICA TELECOMUNICAÇÕES</v>
          </cell>
          <cell r="E1668" t="str">
            <v>MES</v>
          </cell>
        </row>
        <row r="1669">
          <cell r="C1669">
            <v>3001648</v>
          </cell>
          <cell r="D1669" t="str">
            <v>ASSESSORIA OU CONSULTORIA DE QQ NATUREZA</v>
          </cell>
          <cell r="E1669" t="str">
            <v>SV</v>
          </cell>
        </row>
        <row r="1670">
          <cell r="C1670">
            <v>3001649</v>
          </cell>
          <cell r="D1670" t="str">
            <v>CONSULTORIA TÉCNICA TELECOMUNICAÇÕES</v>
          </cell>
          <cell r="E1670" t="str">
            <v>UN</v>
          </cell>
        </row>
        <row r="1671">
          <cell r="C1671">
            <v>3001650</v>
          </cell>
          <cell r="D1671" t="str">
            <v>CONSULTORIA TÉCNICA VAGÕES</v>
          </cell>
          <cell r="E1671" t="str">
            <v>DIA</v>
          </cell>
        </row>
        <row r="1672">
          <cell r="C1672">
            <v>3001651</v>
          </cell>
          <cell r="D1672" t="str">
            <v>CONSULTORIA TÉCNICA VAGÕES</v>
          </cell>
          <cell r="E1672" t="str">
            <v>MES</v>
          </cell>
        </row>
        <row r="1673">
          <cell r="C1673">
            <v>3001652</v>
          </cell>
          <cell r="D1673" t="str">
            <v>CONSULTORIA TÉCNICA VAGÕES</v>
          </cell>
          <cell r="E1673" t="str">
            <v>UN</v>
          </cell>
        </row>
        <row r="1674">
          <cell r="C1674">
            <v>3001653</v>
          </cell>
          <cell r="D1674" t="str">
            <v>CONSULTORIA TÉCNICA VP</v>
          </cell>
          <cell r="E1674" t="str">
            <v>DIA</v>
          </cell>
        </row>
        <row r="1675">
          <cell r="C1675">
            <v>3001654</v>
          </cell>
          <cell r="D1675" t="str">
            <v>CONSULTORIA TÉCNICA VP</v>
          </cell>
          <cell r="E1675" t="str">
            <v>SV</v>
          </cell>
        </row>
        <row r="1676">
          <cell r="C1676">
            <v>3001655</v>
          </cell>
          <cell r="D1676" t="str">
            <v>CONSULTORIA TÉCNICA VP</v>
          </cell>
          <cell r="E1676" t="str">
            <v>UN</v>
          </cell>
        </row>
        <row r="1677">
          <cell r="C1677">
            <v>3001656</v>
          </cell>
          <cell r="D1677" t="str">
            <v>CONTABILIDADE, INCLUS SRV TÉCN E AUX</v>
          </cell>
          <cell r="E1677" t="str">
            <v>H</v>
          </cell>
        </row>
        <row r="1678">
          <cell r="C1678">
            <v>3001657</v>
          </cell>
          <cell r="D1678" t="str">
            <v>CONTABILIDADE, INCLUS SRV TÉCN E AUX</v>
          </cell>
          <cell r="E1678" t="str">
            <v>UN</v>
          </cell>
        </row>
        <row r="1679">
          <cell r="C1679">
            <v>3001658</v>
          </cell>
          <cell r="D1679" t="str">
            <v>MOV MAT,CARGA,DESCARGA,ARRUM,ARMAZENAM</v>
          </cell>
          <cell r="E1679" t="str">
            <v>SV</v>
          </cell>
        </row>
        <row r="1680">
          <cell r="C1680">
            <v>3001659</v>
          </cell>
          <cell r="D1680" t="str">
            <v>CONTEINEIRIZAÇÃO DE BENS</v>
          </cell>
          <cell r="E1680" t="str">
            <v>UN</v>
          </cell>
        </row>
        <row r="1681">
          <cell r="C1681">
            <v>3001660</v>
          </cell>
          <cell r="D1681" t="str">
            <v>MOV MAT,CARGA,DESCARGA,ARRUM,ARMAZENAM</v>
          </cell>
          <cell r="E1681" t="str">
            <v>SV</v>
          </cell>
        </row>
        <row r="1682">
          <cell r="C1682">
            <v>3001661</v>
          </cell>
          <cell r="D1682" t="str">
            <v>MOV MAT,CARGA,DESCARGA,ARRUM,ARMAZENAM</v>
          </cell>
          <cell r="E1682" t="str">
            <v>SV</v>
          </cell>
        </row>
        <row r="1683">
          <cell r="C1683">
            <v>3001662</v>
          </cell>
          <cell r="D1683" t="str">
            <v>CONTR E TRAT EFLU;AGENT FIS;QUIM;BIO-H</v>
          </cell>
          <cell r="E1683" t="str">
            <v>H</v>
          </cell>
        </row>
        <row r="1684">
          <cell r="C1684">
            <v>3001663</v>
          </cell>
          <cell r="D1684" t="str">
            <v>CONTR E TRAT EFLUENTE;AGENT FIS;QUIM;BIO</v>
          </cell>
          <cell r="E1684" t="str">
            <v>KG</v>
          </cell>
        </row>
        <row r="1685">
          <cell r="C1685">
            <v>3001664</v>
          </cell>
          <cell r="D1685" t="str">
            <v>CONTR E TRAT EFLUENTE;AGENT FIS;QUIM;BIO</v>
          </cell>
          <cell r="E1685" t="str">
            <v>M</v>
          </cell>
        </row>
        <row r="1686">
          <cell r="C1686">
            <v>3001665</v>
          </cell>
          <cell r="D1686" t="str">
            <v>CONTR E TRAT EFLUENTE;AGENT FIS;QUIM;BIO</v>
          </cell>
          <cell r="E1686" t="str">
            <v>M3</v>
          </cell>
        </row>
        <row r="1687">
          <cell r="C1687">
            <v>3001666</v>
          </cell>
          <cell r="D1687" t="str">
            <v>CONTR E TRAT EFLUENTE;AGENT FIS;QUIM;BIO</v>
          </cell>
          <cell r="E1687" t="str">
            <v>MES</v>
          </cell>
        </row>
        <row r="1688">
          <cell r="C1688">
            <v>3001667</v>
          </cell>
          <cell r="D1688" t="str">
            <v>CONTR E TRAT EFLUENTE;AGENT FIS;QUIM;BIO</v>
          </cell>
          <cell r="E1688" t="str">
            <v>SV</v>
          </cell>
        </row>
        <row r="1689">
          <cell r="C1689">
            <v>3001668</v>
          </cell>
          <cell r="D1689" t="str">
            <v>CONTR E TRAT EFLUENTE;AGENT FIS;QUIM;BIO</v>
          </cell>
          <cell r="E1689" t="str">
            <v>UN</v>
          </cell>
        </row>
        <row r="1690">
          <cell r="C1690">
            <v>3001669</v>
          </cell>
          <cell r="D1690" t="str">
            <v>ESTUDOS E PRJ ENG ESTRUTURAL - SEM EXEC</v>
          </cell>
          <cell r="E1690" t="str">
            <v>UN</v>
          </cell>
        </row>
        <row r="1691">
          <cell r="C1691">
            <v>3001670</v>
          </cell>
          <cell r="D1691" t="str">
            <v>ESTUDOS E PRJ FERROVIÁRIOS -SEM EXECUÇÃO</v>
          </cell>
          <cell r="E1691" t="str">
            <v>SV</v>
          </cell>
        </row>
        <row r="1692">
          <cell r="C1692">
            <v>3001671</v>
          </cell>
          <cell r="D1692" t="str">
            <v>CONTROLE DE ÁGUA E GÁS EM PERFURAÇÃO</v>
          </cell>
          <cell r="E1692" t="str">
            <v>DIA</v>
          </cell>
        </row>
        <row r="1693">
          <cell r="C1693">
            <v>3001672</v>
          </cell>
          <cell r="D1693" t="str">
            <v>CONTROLE DE ÁGUA E GÁS EM PERFURAÇÃO</v>
          </cell>
          <cell r="E1693" t="str">
            <v>H</v>
          </cell>
        </row>
        <row r="1694">
          <cell r="C1694">
            <v>3001673</v>
          </cell>
          <cell r="D1694" t="str">
            <v>CONTROLE DE ÁGUA E GÁS EM PERFURAÇÃO</v>
          </cell>
          <cell r="E1694" t="str">
            <v>KG</v>
          </cell>
        </row>
        <row r="1695">
          <cell r="C1695">
            <v>3001674</v>
          </cell>
          <cell r="D1695" t="str">
            <v>CONTROLE DE ÁGUA E GÁS EM PERFURAÇÃO</v>
          </cell>
          <cell r="E1695" t="str">
            <v>KMS</v>
          </cell>
        </row>
        <row r="1696">
          <cell r="C1696">
            <v>3001675</v>
          </cell>
          <cell r="D1696" t="str">
            <v>CONTROLE DE ÁGUA E GÁS EM PERFURAÇÃO</v>
          </cell>
          <cell r="E1696" t="str">
            <v>L</v>
          </cell>
        </row>
        <row r="1697">
          <cell r="C1697">
            <v>3001676</v>
          </cell>
          <cell r="D1697" t="str">
            <v>CONTROLE DE ÁGUA E GÁS EM PERFURAÇÃO</v>
          </cell>
          <cell r="E1697" t="str">
            <v>M</v>
          </cell>
        </row>
        <row r="1698">
          <cell r="C1698">
            <v>3001677</v>
          </cell>
          <cell r="D1698" t="str">
            <v>CONTROLE DE ÁGUA E GÁS EM PERFURAÇÃO</v>
          </cell>
          <cell r="E1698" t="str">
            <v>M3</v>
          </cell>
        </row>
        <row r="1699">
          <cell r="C1699">
            <v>3001678</v>
          </cell>
          <cell r="D1699" t="str">
            <v>CONTROLE DE ÁGUA E GÁS EM PERFURAÇÃO</v>
          </cell>
          <cell r="E1699" t="str">
            <v>TO</v>
          </cell>
        </row>
        <row r="1700">
          <cell r="C1700">
            <v>3001679</v>
          </cell>
          <cell r="D1700" t="str">
            <v>CONTROLE DE ÁGUA E GÁS EM PERFURAÇÃO</v>
          </cell>
          <cell r="E1700" t="str">
            <v>UN</v>
          </cell>
        </row>
        <row r="1701">
          <cell r="C1701">
            <v>3001680</v>
          </cell>
          <cell r="D1701" t="str">
            <v>CONTROLE E GESTÃO DE BENS DE TERCEIROS</v>
          </cell>
          <cell r="E1701" t="str">
            <v>MES</v>
          </cell>
        </row>
        <row r="1702">
          <cell r="C1702">
            <v>3001681</v>
          </cell>
          <cell r="D1702" t="str">
            <v>MOV MAT,CARGA,DESCARGA,ARRUM,ARMAZENAM</v>
          </cell>
          <cell r="E1702" t="str">
            <v>SV</v>
          </cell>
        </row>
        <row r="1703">
          <cell r="C1703">
            <v>3001682</v>
          </cell>
          <cell r="D1703" t="str">
            <v>CONTROLE E GESTÃO DE BENS DE TERCEIROS</v>
          </cell>
          <cell r="E1703" t="str">
            <v>UN</v>
          </cell>
        </row>
        <row r="1704">
          <cell r="C1704">
            <v>3001683</v>
          </cell>
          <cell r="D1704" t="str">
            <v>CONTROLE E GESTÃO DE MATERIAIS</v>
          </cell>
          <cell r="E1704" t="str">
            <v>H</v>
          </cell>
        </row>
        <row r="1705">
          <cell r="C1705">
            <v>3001684</v>
          </cell>
          <cell r="D1705" t="str">
            <v>CONTROLE E GESTÃO DE MATERIAIS</v>
          </cell>
          <cell r="E1705" t="str">
            <v>MES</v>
          </cell>
        </row>
        <row r="1706">
          <cell r="C1706">
            <v>3001685</v>
          </cell>
          <cell r="D1706" t="str">
            <v>CONTROLE E GESTÃO DE MATERIAIS</v>
          </cell>
          <cell r="E1706" t="str">
            <v>SV</v>
          </cell>
        </row>
        <row r="1707">
          <cell r="C1707">
            <v>3001686</v>
          </cell>
          <cell r="D1707" t="str">
            <v>CONTROLE E GESTÃO DE MATERIAIS</v>
          </cell>
          <cell r="E1707" t="str">
            <v>UN</v>
          </cell>
        </row>
        <row r="1708">
          <cell r="C1708">
            <v>3001687</v>
          </cell>
          <cell r="D1708" t="str">
            <v>ESTUDOS E PRJ FERROVIÁRIOS -SEM EXECUÇÃO</v>
          </cell>
          <cell r="E1708" t="str">
            <v>UN</v>
          </cell>
        </row>
        <row r="1709">
          <cell r="C1709">
            <v>3001688</v>
          </cell>
          <cell r="D1709" t="str">
            <v>COORDENAÇÃO EM GERENCIAMENTO DE PROJETO</v>
          </cell>
          <cell r="E1709" t="str">
            <v>H</v>
          </cell>
        </row>
        <row r="1710">
          <cell r="C1710">
            <v>3001689</v>
          </cell>
          <cell r="D1710" t="str">
            <v>COORDENAÇÃO EM GERENCIAMENTO DE PROJETO</v>
          </cell>
          <cell r="E1710" t="str">
            <v>MES</v>
          </cell>
        </row>
        <row r="1711">
          <cell r="C1711">
            <v>3001690</v>
          </cell>
          <cell r="D1711" t="str">
            <v>GERENC, FISCALIZACAO E ACOMPANHAMENTO</v>
          </cell>
          <cell r="E1711" t="str">
            <v>SV</v>
          </cell>
        </row>
        <row r="1712">
          <cell r="C1712">
            <v>3001691</v>
          </cell>
          <cell r="D1712" t="str">
            <v>COORDENAÇÃO EM GERENCIAMENTO DE PROJETO</v>
          </cell>
          <cell r="E1712" t="str">
            <v>UN</v>
          </cell>
        </row>
        <row r="1713">
          <cell r="C1713">
            <v>3001692</v>
          </cell>
          <cell r="D1713" t="str">
            <v>COPIA DESENHOS CAD</v>
          </cell>
          <cell r="E1713" t="str">
            <v>H</v>
          </cell>
        </row>
        <row r="1714">
          <cell r="C1714">
            <v>3001693</v>
          </cell>
          <cell r="D1714" t="str">
            <v>ELAB PLANOS DIRETORES,ESTUDOS OBRAS,ENG</v>
          </cell>
          <cell r="E1714" t="str">
            <v>SV</v>
          </cell>
        </row>
        <row r="1715">
          <cell r="C1715">
            <v>3001694</v>
          </cell>
          <cell r="D1715" t="str">
            <v>COPIA DESENHOS CAD</v>
          </cell>
          <cell r="E1715" t="str">
            <v>UN</v>
          </cell>
        </row>
        <row r="1716">
          <cell r="C1716">
            <v>3001695</v>
          </cell>
          <cell r="D1716" t="str">
            <v>CÓPIA E PLOTAGEM DE LIVR, REVIST E CONG</v>
          </cell>
          <cell r="E1716" t="str">
            <v>M</v>
          </cell>
        </row>
        <row r="1717">
          <cell r="C1717">
            <v>3001696</v>
          </cell>
          <cell r="D1717" t="str">
            <v>CÓPIA E PLOTAGEM DE LIVR, REVIST E CONG</v>
          </cell>
          <cell r="E1717" t="str">
            <v>M2</v>
          </cell>
        </row>
        <row r="1718">
          <cell r="C1718">
            <v>3001697</v>
          </cell>
          <cell r="D1718" t="str">
            <v>ENCADERNACAO,COPIA E CONG</v>
          </cell>
          <cell r="E1718" t="str">
            <v>SV</v>
          </cell>
        </row>
        <row r="1719">
          <cell r="C1719">
            <v>3001698</v>
          </cell>
          <cell r="D1719" t="str">
            <v>CÓPIA E PLOTAGEM DE LIVR, REVIST E CONG</v>
          </cell>
          <cell r="E1719" t="str">
            <v>UN</v>
          </cell>
        </row>
        <row r="1720">
          <cell r="C1720">
            <v>3001699</v>
          </cell>
          <cell r="D1720" t="str">
            <v>CORRIDAS E COMPETICOES DE ANIMAIS</v>
          </cell>
          <cell r="E1720" t="str">
            <v>SV</v>
          </cell>
        </row>
        <row r="1721">
          <cell r="C1721">
            <v>3001700</v>
          </cell>
          <cell r="D1721" t="str">
            <v>CORTE E RECORTE OBJ QLQ, INCLUS PÇ</v>
          </cell>
          <cell r="E1721" t="str">
            <v>M</v>
          </cell>
        </row>
        <row r="1722">
          <cell r="C1722">
            <v>3001701</v>
          </cell>
          <cell r="D1722" t="str">
            <v>CORTE E RECORTE OBJ QLQ, INCLUS PÇ</v>
          </cell>
          <cell r="E1722" t="str">
            <v>MES</v>
          </cell>
        </row>
        <row r="1723">
          <cell r="C1723">
            <v>3001702</v>
          </cell>
          <cell r="D1723" t="str">
            <v>CORTE E RECORTE OBJ QLQ, INCLUS PÇ</v>
          </cell>
          <cell r="E1723" t="str">
            <v>UN</v>
          </cell>
        </row>
        <row r="1724">
          <cell r="C1724">
            <v>3001703</v>
          </cell>
          <cell r="D1724" t="str">
            <v>CREMACAO CORP PARTES CORPOS CADAVERICOS</v>
          </cell>
          <cell r="E1724" t="str">
            <v>SV</v>
          </cell>
        </row>
        <row r="1725">
          <cell r="C1725">
            <v>3001704</v>
          </cell>
          <cell r="D1725" t="str">
            <v>CUST â€“ DEMAIS DOCUMENTOS</v>
          </cell>
          <cell r="E1725" t="str">
            <v>UN</v>
          </cell>
        </row>
        <row r="1726">
          <cell r="C1726">
            <v>3001705</v>
          </cell>
          <cell r="D1726" t="str">
            <v>DATA CENTER - SYSTEM MANAGEMENT</v>
          </cell>
          <cell r="E1726" t="str">
            <v>UN</v>
          </cell>
        </row>
        <row r="1727">
          <cell r="C1727">
            <v>3001706</v>
          </cell>
          <cell r="D1727" t="str">
            <v>DC - INFRAST DISTRIB OP;FACILITIES MANAG</v>
          </cell>
          <cell r="E1727" t="str">
            <v>H</v>
          </cell>
        </row>
        <row r="1728">
          <cell r="C1728">
            <v>3001707</v>
          </cell>
          <cell r="D1728" t="str">
            <v>DC - INFRAST DISTRIB OP;FACILITIES MANAG</v>
          </cell>
          <cell r="E1728" t="str">
            <v>MES</v>
          </cell>
        </row>
        <row r="1729">
          <cell r="C1729">
            <v>3001708</v>
          </cell>
          <cell r="D1729" t="str">
            <v>DC - INFRAST DISTRIB OP;FACILITIES MANAG</v>
          </cell>
          <cell r="E1729" t="str">
            <v>UN</v>
          </cell>
        </row>
        <row r="1730">
          <cell r="C1730">
            <v>3001709</v>
          </cell>
          <cell r="D1730" t="str">
            <v>DC - INFRASTRUCTURE CENTRAL SERVER OP</v>
          </cell>
          <cell r="E1730" t="str">
            <v>H</v>
          </cell>
        </row>
        <row r="1731">
          <cell r="C1731">
            <v>3001710</v>
          </cell>
          <cell r="D1731" t="str">
            <v>DC - INFRASTRUCTURE CENTRAL SERVER OP</v>
          </cell>
          <cell r="E1731" t="str">
            <v>MES</v>
          </cell>
        </row>
        <row r="1732">
          <cell r="C1732">
            <v>3001711</v>
          </cell>
          <cell r="D1732" t="str">
            <v>DC - INFRASTRUCTURE CENTRAL SERVER OP</v>
          </cell>
          <cell r="E1732" t="str">
            <v>SV</v>
          </cell>
        </row>
        <row r="1733">
          <cell r="C1733">
            <v>3001712</v>
          </cell>
          <cell r="D1733" t="str">
            <v>DC - INFRASTRUCTURE CENTRAL SERVER OP</v>
          </cell>
          <cell r="E1733" t="str">
            <v>UN</v>
          </cell>
        </row>
        <row r="1734">
          <cell r="C1734">
            <v>3001713</v>
          </cell>
          <cell r="D1734" t="str">
            <v>DC -SYSTEM MANAG DATA BASE / STORAGE ADM</v>
          </cell>
          <cell r="E1734" t="str">
            <v>KM2</v>
          </cell>
        </row>
        <row r="1735">
          <cell r="C1735">
            <v>3001714</v>
          </cell>
          <cell r="D1735" t="str">
            <v>DC -SYSTEM MANAG DATA BASE / STORAGE ADM</v>
          </cell>
          <cell r="E1735" t="str">
            <v>KMS</v>
          </cell>
        </row>
        <row r="1736">
          <cell r="C1736">
            <v>3001715</v>
          </cell>
          <cell r="D1736" t="str">
            <v>DC -SYSTEM MANAG DATA BASE / STORAGE ADM</v>
          </cell>
          <cell r="E1736" t="str">
            <v>MES</v>
          </cell>
        </row>
        <row r="1737">
          <cell r="C1737">
            <v>3001716</v>
          </cell>
          <cell r="D1737" t="str">
            <v>DC -SYSTEM MANAG DATA BASE / STORAGE ADM</v>
          </cell>
          <cell r="E1737" t="str">
            <v>SV</v>
          </cell>
        </row>
        <row r="1738">
          <cell r="C1738">
            <v>3001717</v>
          </cell>
          <cell r="D1738" t="str">
            <v>DC -SYSTEM MANAG DATA BASE / STORAGE ADM</v>
          </cell>
          <cell r="E1738" t="str">
            <v>UN</v>
          </cell>
        </row>
        <row r="1739">
          <cell r="C1739">
            <v>3001718</v>
          </cell>
          <cell r="D1739" t="str">
            <v>DECORAÇÃO INTERIORES</v>
          </cell>
          <cell r="E1739" t="str">
            <v>UN</v>
          </cell>
        </row>
        <row r="1740">
          <cell r="C1740">
            <v>3001719</v>
          </cell>
          <cell r="D1740" t="str">
            <v>DECORAÇÃO;JARDINAGEM, INCLUS CORTE;PODA</v>
          </cell>
          <cell r="E1740" t="str">
            <v>M</v>
          </cell>
        </row>
        <row r="1741">
          <cell r="C1741">
            <v>3001720</v>
          </cell>
          <cell r="D1741" t="str">
            <v>DECORAÇÃO;JARDINAGEM, INCLUS CORTE;PODA</v>
          </cell>
          <cell r="E1741" t="str">
            <v>M2</v>
          </cell>
        </row>
        <row r="1742">
          <cell r="C1742">
            <v>3001721</v>
          </cell>
          <cell r="D1742" t="str">
            <v>DECORAÇÃO;JARDINAGEM, INCLUS CORTE;PODA</v>
          </cell>
          <cell r="E1742" t="str">
            <v>UN</v>
          </cell>
        </row>
        <row r="1743">
          <cell r="C1743">
            <v>3001722</v>
          </cell>
          <cell r="D1743" t="str">
            <v>DEDETIZAÇÃO, IMUNIZAÇÃO E SIMILARES</v>
          </cell>
          <cell r="E1743" t="str">
            <v>DIA</v>
          </cell>
        </row>
        <row r="1744">
          <cell r="C1744">
            <v>3001723</v>
          </cell>
          <cell r="D1744" t="str">
            <v>DEDETIZAÇÃO, IMUNIZAÇÃO E SIMILARES</v>
          </cell>
          <cell r="E1744" t="str">
            <v>H</v>
          </cell>
        </row>
        <row r="1745">
          <cell r="C1745">
            <v>3001724</v>
          </cell>
          <cell r="D1745" t="str">
            <v>DEDETIZAÇÃO, IMUNIZAÇÃO E SIMILARES</v>
          </cell>
          <cell r="E1745" t="str">
            <v>KG</v>
          </cell>
        </row>
        <row r="1746">
          <cell r="C1746">
            <v>3001725</v>
          </cell>
          <cell r="D1746" t="str">
            <v>DEDETIZAÇÃO, IMUNIZAÇÃO E SIMILARES</v>
          </cell>
          <cell r="E1746" t="str">
            <v>KM2</v>
          </cell>
        </row>
        <row r="1747">
          <cell r="C1747">
            <v>3001726</v>
          </cell>
          <cell r="D1747" t="str">
            <v>DEDETIZAÇÃO, IMUNIZAÇÃO E SIMILARES</v>
          </cell>
          <cell r="E1747" t="str">
            <v>KMS</v>
          </cell>
        </row>
        <row r="1748">
          <cell r="C1748">
            <v>3001727</v>
          </cell>
          <cell r="D1748" t="str">
            <v>DEDETIZAÇÃO, IMUNIZAÇÃO E SIMILARES</v>
          </cell>
          <cell r="E1748" t="str">
            <v>L</v>
          </cell>
        </row>
        <row r="1749">
          <cell r="C1749">
            <v>3001728</v>
          </cell>
          <cell r="D1749" t="str">
            <v>DEDETIZAÇÃO, IMUNIZAÇÃO E SIMILARES</v>
          </cell>
          <cell r="E1749" t="str">
            <v>M</v>
          </cell>
        </row>
        <row r="1750">
          <cell r="C1750">
            <v>3001729</v>
          </cell>
          <cell r="D1750" t="str">
            <v>DEDETIZAÇÃO, IMUNIZAÇÃO E SIMILARES</v>
          </cell>
          <cell r="E1750" t="str">
            <v>M2</v>
          </cell>
        </row>
        <row r="1751">
          <cell r="C1751">
            <v>3001730</v>
          </cell>
          <cell r="D1751" t="str">
            <v>DEDETIZAÇÃO, IMUNIZAÇÃO E SIMILARES</v>
          </cell>
          <cell r="E1751" t="str">
            <v>M3</v>
          </cell>
        </row>
        <row r="1752">
          <cell r="C1752">
            <v>3001731</v>
          </cell>
          <cell r="D1752" t="str">
            <v>DEDETIZAÇÃO, IMUNIZAÇÃO E SIMILARES</v>
          </cell>
          <cell r="E1752" t="str">
            <v>SV</v>
          </cell>
        </row>
        <row r="1753">
          <cell r="C1753">
            <v>3001732</v>
          </cell>
          <cell r="D1753" t="str">
            <v>DEDETIZAÇÃO, IMUNIZAÇÃO E SIMILARES</v>
          </cell>
          <cell r="E1753" t="str">
            <v>UN</v>
          </cell>
        </row>
        <row r="1754">
          <cell r="C1754">
            <v>3001733</v>
          </cell>
          <cell r="D1754" t="str">
            <v>DEMOLIÇÃO E DESMONTE ROCHA</v>
          </cell>
          <cell r="E1754" t="str">
            <v>H</v>
          </cell>
        </row>
        <row r="1755">
          <cell r="C1755">
            <v>3001734</v>
          </cell>
          <cell r="D1755" t="str">
            <v>DEMOLIÇÃO E DESMONTE ROCHA</v>
          </cell>
          <cell r="E1755" t="str">
            <v>KG</v>
          </cell>
        </row>
        <row r="1756">
          <cell r="C1756">
            <v>3001735</v>
          </cell>
          <cell r="D1756" t="str">
            <v>DEMOLIÇÃO E DESMONTE ROCHA</v>
          </cell>
          <cell r="E1756" t="str">
            <v>M</v>
          </cell>
        </row>
        <row r="1757">
          <cell r="C1757">
            <v>3001736</v>
          </cell>
          <cell r="D1757" t="str">
            <v>DEMOLIÇÃO E DESMONTE ROCHA</v>
          </cell>
          <cell r="E1757" t="str">
            <v>M2</v>
          </cell>
        </row>
        <row r="1758">
          <cell r="C1758">
            <v>3001737</v>
          </cell>
          <cell r="D1758" t="str">
            <v>DEMOLIÇÃO E DESMONTE ROCHA</v>
          </cell>
          <cell r="E1758" t="str">
            <v>M3</v>
          </cell>
        </row>
        <row r="1759">
          <cell r="C1759">
            <v>3001738</v>
          </cell>
          <cell r="D1759" t="str">
            <v>DEMOLIÇÃO E DESMONTE ROCHA</v>
          </cell>
          <cell r="E1759" t="str">
            <v>MES</v>
          </cell>
        </row>
        <row r="1760">
          <cell r="C1760">
            <v>3001739</v>
          </cell>
          <cell r="D1760" t="str">
            <v>DEMOLIÇÃO E DESMONTE ROCHA</v>
          </cell>
          <cell r="E1760" t="str">
            <v>PC</v>
          </cell>
        </row>
        <row r="1761">
          <cell r="C1761">
            <v>3001740</v>
          </cell>
          <cell r="D1761" t="str">
            <v>DEMOLIÇÃO E DESMONTE DE ROCHA.</v>
          </cell>
          <cell r="E1761" t="str">
            <v>SV</v>
          </cell>
        </row>
        <row r="1762">
          <cell r="C1762">
            <v>3001741</v>
          </cell>
          <cell r="D1762" t="str">
            <v>DEMOLIÇÃO E DESMONTE ROCHA</v>
          </cell>
          <cell r="E1762" t="str">
            <v>UN</v>
          </cell>
        </row>
        <row r="1763">
          <cell r="C1763">
            <v>3001742</v>
          </cell>
          <cell r="D1763" t="str">
            <v>DESCARGA - DESESTIVA DE NAVIO</v>
          </cell>
          <cell r="E1763" t="str">
            <v>CT</v>
          </cell>
        </row>
        <row r="1764">
          <cell r="C1764">
            <v>3001743</v>
          </cell>
          <cell r="D1764" t="str">
            <v>DESCARGA - DESESTIVA DE NAVIO</v>
          </cell>
          <cell r="E1764" t="str">
            <v>DIA</v>
          </cell>
        </row>
        <row r="1765">
          <cell r="C1765">
            <v>3001744</v>
          </cell>
          <cell r="D1765" t="str">
            <v>DESCARGA - DESESTIVA DE NAVIO</v>
          </cell>
          <cell r="E1765" t="str">
            <v>H</v>
          </cell>
        </row>
        <row r="1766">
          <cell r="C1766">
            <v>3001745</v>
          </cell>
          <cell r="D1766" t="str">
            <v>DESCARGA - DESESTIVA DE NAVIO</v>
          </cell>
          <cell r="E1766" t="str">
            <v>M3</v>
          </cell>
        </row>
        <row r="1767">
          <cell r="C1767">
            <v>3001746</v>
          </cell>
          <cell r="D1767" t="str">
            <v>DESCARGA - DESESTIVA DE NAVIO</v>
          </cell>
          <cell r="E1767" t="str">
            <v>SV</v>
          </cell>
        </row>
        <row r="1768">
          <cell r="C1768">
            <v>3001747</v>
          </cell>
          <cell r="D1768" t="str">
            <v>DESCARGA - DESESTIVA DE NAVIO</v>
          </cell>
          <cell r="E1768" t="str">
            <v>TO</v>
          </cell>
        </row>
        <row r="1769">
          <cell r="C1769">
            <v>3001748</v>
          </cell>
          <cell r="D1769" t="str">
            <v>DESCARGA - DESESTIVA DE NAVIO</v>
          </cell>
          <cell r="E1769" t="str">
            <v>UN</v>
          </cell>
        </row>
        <row r="1770">
          <cell r="C1770">
            <v>3001749</v>
          </cell>
          <cell r="D1770" t="str">
            <v>MOV MAT,CARGA,DESCARGA,ARRUM,ARMAZENAM</v>
          </cell>
          <cell r="E1770" t="str">
            <v>SV</v>
          </cell>
        </row>
        <row r="1771">
          <cell r="C1771">
            <v>3001750</v>
          </cell>
          <cell r="D1771" t="str">
            <v>DESCONTEINERIZAÇÃO DE BENS</v>
          </cell>
          <cell r="E1771" t="str">
            <v>SV</v>
          </cell>
        </row>
        <row r="1772">
          <cell r="C1772">
            <v>3001751</v>
          </cell>
          <cell r="D1772" t="str">
            <v>DESCONTEINERIZAÇÃO DE BENS</v>
          </cell>
          <cell r="E1772" t="str">
            <v>UN</v>
          </cell>
        </row>
        <row r="1773">
          <cell r="C1773">
            <v>3001752</v>
          </cell>
          <cell r="D1773" t="str">
            <v>DESEMB,DESPACH,EMISSAO VISTO PASSAPORTE</v>
          </cell>
          <cell r="E1773" t="str">
            <v>SV</v>
          </cell>
        </row>
        <row r="1774">
          <cell r="C1774">
            <v>3001753</v>
          </cell>
          <cell r="D1774" t="str">
            <v>DESEMBARAÇO ADUANEIRO</v>
          </cell>
          <cell r="E1774" t="str">
            <v>UN</v>
          </cell>
        </row>
        <row r="1775">
          <cell r="C1775">
            <v>3001754</v>
          </cell>
          <cell r="D1775" t="str">
            <v>DESENTUPIMENTO E CONGÊNERES.</v>
          </cell>
          <cell r="E1775" t="str">
            <v>KG</v>
          </cell>
        </row>
        <row r="1776">
          <cell r="C1776">
            <v>3001755</v>
          </cell>
          <cell r="D1776" t="str">
            <v>DESENTUPIMENTO E CONGÊNERES.</v>
          </cell>
          <cell r="E1776" t="str">
            <v>M</v>
          </cell>
        </row>
        <row r="1777">
          <cell r="C1777">
            <v>3001756</v>
          </cell>
          <cell r="D1777" t="str">
            <v>DESENTUPIMENTO E CONGÊNERES.</v>
          </cell>
          <cell r="E1777" t="str">
            <v>UN</v>
          </cell>
        </row>
        <row r="1778">
          <cell r="C1778">
            <v>3001757</v>
          </cell>
          <cell r="D1778" t="str">
            <v>DESENV/INTEGRAÇÃO DE SISTEMA AUTOMAÇÃO</v>
          </cell>
          <cell r="E1778" t="str">
            <v>ANO</v>
          </cell>
        </row>
        <row r="1779">
          <cell r="C1779">
            <v>3001758</v>
          </cell>
          <cell r="D1779" t="str">
            <v>DESENV/INTEGRAÇÃO DE SISTEMA AUTOMAÇÃO</v>
          </cell>
          <cell r="E1779" t="str">
            <v>H</v>
          </cell>
        </row>
        <row r="1780">
          <cell r="C1780">
            <v>3001759</v>
          </cell>
          <cell r="D1780" t="str">
            <v>DESENV/INTEGRAÇÃO DE SISTEMA AUTOMAÇÃO</v>
          </cell>
          <cell r="E1780" t="str">
            <v>MES</v>
          </cell>
        </row>
        <row r="1781">
          <cell r="C1781">
            <v>3001760</v>
          </cell>
          <cell r="D1781" t="str">
            <v>ANALISE E DESENVOLVIMENTO DE SISTEMAS</v>
          </cell>
          <cell r="E1781" t="str">
            <v>SV</v>
          </cell>
        </row>
        <row r="1782">
          <cell r="C1782">
            <v>3001761</v>
          </cell>
          <cell r="D1782" t="str">
            <v>DESENV/INTEGRAÇÃO DE SISTEMA AUTOMAÇÃO</v>
          </cell>
          <cell r="E1782" t="str">
            <v>UN</v>
          </cell>
        </row>
        <row r="1783">
          <cell r="C1783">
            <v>3001762</v>
          </cell>
          <cell r="D1783" t="str">
            <v>DESFILES DE BLOCOS CARNAVALESCOS E CONG</v>
          </cell>
          <cell r="E1783" t="str">
            <v>SV</v>
          </cell>
        </row>
        <row r="1784">
          <cell r="C1784">
            <v>3001763</v>
          </cell>
          <cell r="D1784" t="str">
            <v>DESIGN GRÁFICO</v>
          </cell>
          <cell r="E1784" t="str">
            <v>H</v>
          </cell>
        </row>
        <row r="1785">
          <cell r="C1785">
            <v>3001764</v>
          </cell>
          <cell r="D1785" t="str">
            <v>PROPAGANDA E PUBLICIDADE</v>
          </cell>
          <cell r="E1785" t="str">
            <v>SV</v>
          </cell>
        </row>
        <row r="1786">
          <cell r="C1786">
            <v>3001765</v>
          </cell>
          <cell r="D1786" t="str">
            <v>DESIGN GRÁFICO</v>
          </cell>
          <cell r="E1786" t="str">
            <v>UN</v>
          </cell>
        </row>
        <row r="1787">
          <cell r="C1787">
            <v>3001766</v>
          </cell>
          <cell r="D1787" t="str">
            <v>SRV DE PROGRCAO E COMUNIC VISUAL E CONG</v>
          </cell>
          <cell r="E1787" t="str">
            <v>SV</v>
          </cell>
        </row>
        <row r="1788">
          <cell r="C1788">
            <v>3001767</v>
          </cell>
          <cell r="D1788" t="str">
            <v>DESIGN</v>
          </cell>
          <cell r="E1788" t="str">
            <v>UN</v>
          </cell>
        </row>
        <row r="1789">
          <cell r="C1789">
            <v>3001768</v>
          </cell>
          <cell r="D1789" t="str">
            <v>DESLOCAMENTO DO ARQUEADOR</v>
          </cell>
          <cell r="E1789" t="str">
            <v>SV</v>
          </cell>
        </row>
        <row r="1790">
          <cell r="C1790">
            <v>3001769</v>
          </cell>
          <cell r="D1790" t="str">
            <v>DESLOCAMENTO DO ARQUEADOR</v>
          </cell>
          <cell r="E1790" t="str">
            <v>UN</v>
          </cell>
        </row>
        <row r="1791">
          <cell r="C1791">
            <v>3001770</v>
          </cell>
          <cell r="D1791" t="str">
            <v>DESMONT LIGAÇÃO -TUBING, LANÇ CABO SINAL</v>
          </cell>
          <cell r="E1791" t="str">
            <v>UN</v>
          </cell>
        </row>
        <row r="1792">
          <cell r="C1792">
            <v>3001771</v>
          </cell>
          <cell r="D1792" t="str">
            <v>INSTAL E MONT DE APARELHOS,MAQS E EQUIPS</v>
          </cell>
          <cell r="E1792" t="str">
            <v>SV</v>
          </cell>
        </row>
        <row r="1793">
          <cell r="C1793">
            <v>3001772</v>
          </cell>
          <cell r="D1793" t="str">
            <v>DESMONTAGEM DE CALDEIRARIA</v>
          </cell>
          <cell r="E1793" t="str">
            <v>KG</v>
          </cell>
        </row>
        <row r="1794">
          <cell r="C1794">
            <v>3001773</v>
          </cell>
          <cell r="D1794" t="str">
            <v>DESMONTAGEM DE CALDEIRARIA</v>
          </cell>
          <cell r="E1794" t="str">
            <v>UN</v>
          </cell>
        </row>
        <row r="1795">
          <cell r="C1795">
            <v>3001774</v>
          </cell>
          <cell r="D1795" t="str">
            <v>DESMONTAGEM DE CAMINHÃO FORA DE ESTRADA</v>
          </cell>
          <cell r="E1795" t="str">
            <v>UN</v>
          </cell>
        </row>
        <row r="1796">
          <cell r="C1796">
            <v>3001775</v>
          </cell>
          <cell r="D1796" t="str">
            <v>DESMONTAGEM DE ESCAVADEIRAS</v>
          </cell>
          <cell r="E1796" t="str">
            <v>UN</v>
          </cell>
        </row>
        <row r="1797">
          <cell r="C1797">
            <v>3001776</v>
          </cell>
          <cell r="D1797" t="str">
            <v>DESMONTAGEM DE ILUNINAÇÃO</v>
          </cell>
          <cell r="E1797" t="str">
            <v>PC</v>
          </cell>
        </row>
        <row r="1798">
          <cell r="C1798">
            <v>3001777</v>
          </cell>
          <cell r="D1798" t="str">
            <v>DESMONTAGEM DE ILUNINAÇÃO</v>
          </cell>
          <cell r="E1798" t="str">
            <v>UN</v>
          </cell>
        </row>
        <row r="1799">
          <cell r="C1799">
            <v>3001778</v>
          </cell>
          <cell r="D1799" t="str">
            <v>DESMONTAGEM DE LANÇAMENTO DE CABO</v>
          </cell>
          <cell r="E1799" t="str">
            <v>M</v>
          </cell>
        </row>
        <row r="1800">
          <cell r="C1800">
            <v>3001779</v>
          </cell>
          <cell r="D1800" t="str">
            <v>INSTAL E MONT DE APARELHOS,MAQS E EQUIPS</v>
          </cell>
          <cell r="E1800" t="str">
            <v>SV</v>
          </cell>
        </row>
        <row r="1801">
          <cell r="C1801">
            <v>3001780</v>
          </cell>
          <cell r="D1801" t="str">
            <v>INSTAL E MONT DE APARELHOS,MAQS E EQUIPS</v>
          </cell>
          <cell r="E1801" t="str">
            <v>SV</v>
          </cell>
        </row>
        <row r="1802">
          <cell r="C1802">
            <v>3001781</v>
          </cell>
          <cell r="D1802" t="str">
            <v>DESMONTAGEM DE MÁQUINA DE PÁTIO</v>
          </cell>
          <cell r="E1802" t="str">
            <v>UN</v>
          </cell>
        </row>
        <row r="1803">
          <cell r="C1803">
            <v>3001782</v>
          </cell>
          <cell r="D1803" t="str">
            <v>DESMONTAGEM DE MEDIDORES</v>
          </cell>
          <cell r="E1803" t="str">
            <v>UN</v>
          </cell>
        </row>
        <row r="1804">
          <cell r="C1804">
            <v>3001783</v>
          </cell>
          <cell r="D1804" t="str">
            <v>DESMONTAGEM DE PAINÉS</v>
          </cell>
          <cell r="E1804" t="str">
            <v>M</v>
          </cell>
        </row>
        <row r="1805">
          <cell r="C1805">
            <v>3001784</v>
          </cell>
          <cell r="D1805" t="str">
            <v>DESMONTAGEM DE PAINÉS</v>
          </cell>
          <cell r="E1805" t="str">
            <v>M2</v>
          </cell>
        </row>
        <row r="1806">
          <cell r="C1806">
            <v>3001785</v>
          </cell>
          <cell r="D1806" t="str">
            <v>DESMONTAGEM DE PAINÉS</v>
          </cell>
          <cell r="E1806" t="str">
            <v>PC</v>
          </cell>
        </row>
        <row r="1807">
          <cell r="C1807">
            <v>3001786</v>
          </cell>
          <cell r="D1807" t="str">
            <v>DESMONTAGEM DE PAINÉS</v>
          </cell>
          <cell r="E1807" t="str">
            <v>UN</v>
          </cell>
        </row>
        <row r="1808">
          <cell r="C1808">
            <v>3001787</v>
          </cell>
          <cell r="D1808" t="str">
            <v>DESMONTAGEM DE TRANSFORMADORES</v>
          </cell>
          <cell r="E1808" t="str">
            <v>PC</v>
          </cell>
        </row>
        <row r="1809">
          <cell r="C1809">
            <v>3001788</v>
          </cell>
          <cell r="D1809" t="str">
            <v>DESMONTAGEM DE TRANSFORMADORES</v>
          </cell>
          <cell r="E1809" t="str">
            <v>UN</v>
          </cell>
        </row>
        <row r="1810">
          <cell r="C1810">
            <v>3001789</v>
          </cell>
          <cell r="D1810" t="str">
            <v>DESMONTAGEM DE TRANSPORTADORES</v>
          </cell>
          <cell r="E1810" t="str">
            <v>UN</v>
          </cell>
        </row>
        <row r="1811">
          <cell r="C1811">
            <v>3001790</v>
          </cell>
          <cell r="D1811" t="str">
            <v>DESMONTAGEM DE TUBULAÇÕES</v>
          </cell>
          <cell r="E1811" t="str">
            <v>KG</v>
          </cell>
        </row>
        <row r="1812">
          <cell r="C1812">
            <v>3001791</v>
          </cell>
          <cell r="D1812" t="str">
            <v>DESMONTAGEM DE TUBULAÇÕES</v>
          </cell>
          <cell r="E1812" t="str">
            <v>M</v>
          </cell>
        </row>
        <row r="1813">
          <cell r="C1813">
            <v>3001792</v>
          </cell>
          <cell r="D1813" t="str">
            <v>INSTAL E MONT DE APARELHOS,MAQS E EQUIPS</v>
          </cell>
          <cell r="E1813" t="str">
            <v>SV</v>
          </cell>
        </row>
        <row r="1814">
          <cell r="C1814">
            <v>3001793</v>
          </cell>
          <cell r="D1814" t="str">
            <v>DESMONTAGEM DE TUBULAÇÕES</v>
          </cell>
          <cell r="E1814" t="str">
            <v>TO</v>
          </cell>
        </row>
        <row r="1815">
          <cell r="C1815">
            <v>3001794</v>
          </cell>
          <cell r="D1815" t="str">
            <v>DESMONTAGEM DE TUBULAÇÕES</v>
          </cell>
          <cell r="E1815" t="str">
            <v>UN</v>
          </cell>
        </row>
        <row r="1816">
          <cell r="C1816">
            <v>3001795</v>
          </cell>
          <cell r="D1816" t="str">
            <v>DESMONTAGEM DE VÁLVULAS DE INSTRUMENTO</v>
          </cell>
          <cell r="E1816" t="str">
            <v>UN</v>
          </cell>
        </row>
        <row r="1817">
          <cell r="C1817">
            <v>3001796</v>
          </cell>
          <cell r="D1817" t="str">
            <v>DESMONTAGEM DE VIRADOR DE VAGÃO</v>
          </cell>
          <cell r="E1817" t="str">
            <v>UN</v>
          </cell>
        </row>
        <row r="1818">
          <cell r="C1818">
            <v>3001797</v>
          </cell>
          <cell r="D1818" t="str">
            <v>DESMONTAGEM EQUIP MECÂNICOS DO PROCESSO</v>
          </cell>
          <cell r="E1818" t="str">
            <v>UN</v>
          </cell>
        </row>
        <row r="1819">
          <cell r="C1819">
            <v>3001798</v>
          </cell>
          <cell r="D1819" t="str">
            <v>DESMONTAGEM ESTRUTURAS METÁLICAS</v>
          </cell>
          <cell r="E1819" t="str">
            <v>KG</v>
          </cell>
        </row>
        <row r="1820">
          <cell r="C1820">
            <v>3001799</v>
          </cell>
          <cell r="D1820" t="str">
            <v>DESMONTAGEM ESTRUTURAS METÁLICAS</v>
          </cell>
          <cell r="E1820" t="str">
            <v>M2</v>
          </cell>
        </row>
        <row r="1821">
          <cell r="C1821">
            <v>3001800</v>
          </cell>
          <cell r="D1821" t="str">
            <v>DESMONTAGEM ESTRUTURAS METÁLICAS</v>
          </cell>
          <cell r="E1821" t="str">
            <v>M3</v>
          </cell>
        </row>
        <row r="1822">
          <cell r="C1822">
            <v>3001801</v>
          </cell>
          <cell r="D1822" t="str">
            <v>INSTAL E MONT DE APARELHOS,MAQS E EQUIPS</v>
          </cell>
          <cell r="E1822" t="str">
            <v>SV</v>
          </cell>
        </row>
        <row r="1823">
          <cell r="C1823">
            <v>3001802</v>
          </cell>
          <cell r="D1823" t="str">
            <v>DESMONTAGEM ESTRUTURAS METÁLICAS</v>
          </cell>
          <cell r="E1823" t="str">
            <v>UN</v>
          </cell>
        </row>
        <row r="1824">
          <cell r="C1824">
            <v>3001803</v>
          </cell>
          <cell r="D1824" t="str">
            <v>DESMONTAGEM PROTEÇÕES E REVESTIMENTO</v>
          </cell>
          <cell r="E1824" t="str">
            <v>JG</v>
          </cell>
        </row>
        <row r="1825">
          <cell r="C1825">
            <v>3001804</v>
          </cell>
          <cell r="D1825" t="str">
            <v>DESMONTAGEM PROTEÇÕES E REVESTIMENTO</v>
          </cell>
          <cell r="E1825" t="str">
            <v>M2</v>
          </cell>
        </row>
        <row r="1826">
          <cell r="C1826">
            <v>3001805</v>
          </cell>
          <cell r="D1826" t="str">
            <v>INSTAL E MONT DE APARELHOS,MAQS E EQUIPS</v>
          </cell>
          <cell r="E1826" t="str">
            <v>SV</v>
          </cell>
        </row>
        <row r="1827">
          <cell r="C1827">
            <v>3001806</v>
          </cell>
          <cell r="D1827" t="str">
            <v>DESMONTAGEM PROTEÇÕES E REVESTIMENTO</v>
          </cell>
          <cell r="E1827" t="str">
            <v>UN</v>
          </cell>
        </row>
        <row r="1828">
          <cell r="C1828">
            <v>3001807</v>
          </cell>
          <cell r="D1828" t="str">
            <v>DESPESA DE REGISTRO BANDEIRA</v>
          </cell>
          <cell r="E1828" t="str">
            <v>UN</v>
          </cell>
        </row>
        <row r="1829">
          <cell r="C1829">
            <v>3001808</v>
          </cell>
          <cell r="D1829" t="str">
            <v>DESPESAS EFETUADAS EM CARTÃO DE CRÉDITO</v>
          </cell>
          <cell r="E1829" t="str">
            <v>SV</v>
          </cell>
        </row>
        <row r="1830">
          <cell r="C1830">
            <v>3001809</v>
          </cell>
          <cell r="D1830" t="str">
            <v>DESPESAS EFETUADAS EM CARTÃO DE CRÉDITO</v>
          </cell>
          <cell r="E1830" t="str">
            <v>UN</v>
          </cell>
        </row>
        <row r="1831">
          <cell r="C1831">
            <v>3001810</v>
          </cell>
          <cell r="D1831" t="str">
            <v>DESPESAS REEMBOLSÁVEIS-EXTRA-AVARIAS</v>
          </cell>
          <cell r="E1831" t="str">
            <v>SV</v>
          </cell>
        </row>
        <row r="1832">
          <cell r="C1832">
            <v>3001811</v>
          </cell>
          <cell r="D1832" t="str">
            <v>DESPESAS REEMBOLSÁVEIS-EXTRA-MULTAS</v>
          </cell>
          <cell r="E1832" t="str">
            <v>SV</v>
          </cell>
        </row>
        <row r="1833">
          <cell r="C1833">
            <v>3001812</v>
          </cell>
          <cell r="D1833" t="str">
            <v>DESPESAS REEMBOLSÁVEIS-EXTRA-MULTAS</v>
          </cell>
          <cell r="E1833" t="str">
            <v>UN</v>
          </cell>
        </row>
        <row r="1834">
          <cell r="C1834">
            <v>3001813</v>
          </cell>
          <cell r="D1834" t="str">
            <v>DESTINAÇÃO FINAL LIXO OU QLQ RESÍDUO</v>
          </cell>
          <cell r="E1834" t="str">
            <v>H</v>
          </cell>
        </row>
        <row r="1835">
          <cell r="C1835">
            <v>3001814</v>
          </cell>
          <cell r="D1835" t="str">
            <v>DESTINAÇÃO FINAL LIXO OU QLQ RESÍDUO</v>
          </cell>
          <cell r="E1835" t="str">
            <v>KG</v>
          </cell>
        </row>
        <row r="1836">
          <cell r="C1836">
            <v>3001815</v>
          </cell>
          <cell r="D1836" t="str">
            <v>DESTINAÇÃO FINAL LIXO OU QLQ RESÍDUO</v>
          </cell>
          <cell r="E1836" t="str">
            <v>M2</v>
          </cell>
        </row>
        <row r="1837">
          <cell r="C1837">
            <v>3001816</v>
          </cell>
          <cell r="D1837" t="str">
            <v>DESTINAÇÃO FINAL LIXO OU QLQ RESÍDUO</v>
          </cell>
          <cell r="E1837" t="str">
            <v>M3</v>
          </cell>
        </row>
        <row r="1838">
          <cell r="C1838">
            <v>3001817</v>
          </cell>
          <cell r="D1838" t="str">
            <v>DESTINAÇÃO FINAL LIXO OU QLQ RESÍDUO</v>
          </cell>
          <cell r="E1838" t="str">
            <v>MES</v>
          </cell>
        </row>
        <row r="1839">
          <cell r="C1839">
            <v>3001818</v>
          </cell>
          <cell r="D1839" t="str">
            <v>INCINERACAO E DESTINACAO FINAL DE LIXO</v>
          </cell>
          <cell r="E1839" t="str">
            <v>SV</v>
          </cell>
        </row>
        <row r="1840">
          <cell r="C1840">
            <v>3001819</v>
          </cell>
          <cell r="D1840" t="str">
            <v>DESTINAÇÃO FINAL LIXO OU QLQ RESÍDUO</v>
          </cell>
          <cell r="E1840" t="str">
            <v>TO</v>
          </cell>
        </row>
        <row r="1841">
          <cell r="C1841">
            <v>3001820</v>
          </cell>
          <cell r="D1841" t="str">
            <v>DESTINAÇÃO FINAL LIXO OU QLQ RESÍDUO</v>
          </cell>
          <cell r="E1841" t="str">
            <v>UN</v>
          </cell>
        </row>
        <row r="1842">
          <cell r="C1842">
            <v>3001821</v>
          </cell>
          <cell r="D1842" t="str">
            <v>DETONAÇÃO E MANUSEIO DE EXPLOSIVO</v>
          </cell>
          <cell r="E1842" t="str">
            <v>DIA</v>
          </cell>
        </row>
        <row r="1843">
          <cell r="C1843">
            <v>3001822</v>
          </cell>
          <cell r="D1843" t="str">
            <v>DETONAÇÃO E MANUSEIO DE EXPLOSIVO</v>
          </cell>
          <cell r="E1843" t="str">
            <v>H</v>
          </cell>
        </row>
        <row r="1844">
          <cell r="C1844">
            <v>3001823</v>
          </cell>
          <cell r="D1844" t="str">
            <v>DETONAÇÃO E MANUSEIO DE EXPLOSIVO</v>
          </cell>
          <cell r="E1844" t="str">
            <v>KG</v>
          </cell>
        </row>
        <row r="1845">
          <cell r="C1845">
            <v>3001824</v>
          </cell>
          <cell r="D1845" t="str">
            <v>DETONAÇÃO E MANUSEIO DE EXPLOSIVO</v>
          </cell>
          <cell r="E1845" t="str">
            <v>MES</v>
          </cell>
        </row>
        <row r="1846">
          <cell r="C1846">
            <v>3001825</v>
          </cell>
          <cell r="D1846" t="str">
            <v>DETONAÇÃO E MANUSEIO DE EXPLOSIVOS</v>
          </cell>
          <cell r="E1846" t="str">
            <v>SV</v>
          </cell>
        </row>
        <row r="1847">
          <cell r="C1847">
            <v>3001826</v>
          </cell>
          <cell r="D1847" t="str">
            <v>DETONAÇÃO E MANUSEIO DE EXPLOSIVO</v>
          </cell>
          <cell r="E1847" t="str">
            <v>UN</v>
          </cell>
        </row>
        <row r="1848">
          <cell r="C1848">
            <v>3001827</v>
          </cell>
          <cell r="D1848" t="str">
            <v>DIGITAÇÃO;SECRETARIA;ADM;SIMILARES</v>
          </cell>
          <cell r="E1848" t="str">
            <v>M2</v>
          </cell>
        </row>
        <row r="1849">
          <cell r="C1849">
            <v>3001828</v>
          </cell>
          <cell r="D1849" t="str">
            <v>DIGITAÇÃO;SECRETARIA;ADM;SIMILARES</v>
          </cell>
          <cell r="E1849" t="str">
            <v>MES</v>
          </cell>
        </row>
        <row r="1850">
          <cell r="C1850">
            <v>3001829</v>
          </cell>
          <cell r="D1850" t="str">
            <v>DATILOGRAF,APOIO E INFRA ADM E CONG</v>
          </cell>
          <cell r="E1850" t="str">
            <v>SV</v>
          </cell>
        </row>
        <row r="1851">
          <cell r="C1851">
            <v>3001830</v>
          </cell>
          <cell r="D1851" t="str">
            <v>DIGITAÇÃO;SECRETARIA;ADM;SIMILARES</v>
          </cell>
          <cell r="E1851" t="str">
            <v>UN</v>
          </cell>
        </row>
        <row r="1852">
          <cell r="C1852">
            <v>3001831</v>
          </cell>
          <cell r="D1852" t="str">
            <v>LOC,SUBLOC,ARRENDAM,DIREITO D PASSAGEM</v>
          </cell>
          <cell r="E1852" t="str">
            <v>SV</v>
          </cell>
        </row>
        <row r="1853">
          <cell r="C1853">
            <v>3001832</v>
          </cell>
          <cell r="D1853" t="str">
            <v>DIREITO PASSAGEM OU USO DE FERROVIA</v>
          </cell>
          <cell r="E1853" t="str">
            <v>TO</v>
          </cell>
        </row>
        <row r="1854">
          <cell r="C1854">
            <v>3001833</v>
          </cell>
          <cell r="D1854" t="str">
            <v>LOC,SUBLOC,ARRENDAM,DIREITO D PASSAGEM</v>
          </cell>
          <cell r="E1854" t="str">
            <v>SV</v>
          </cell>
        </row>
        <row r="1855">
          <cell r="C1855">
            <v>3001834</v>
          </cell>
          <cell r="D1855" t="str">
            <v>DIREITO PASSAGEM OU USO DE RODOVIA</v>
          </cell>
          <cell r="E1855" t="str">
            <v>UN</v>
          </cell>
        </row>
        <row r="1856">
          <cell r="C1856">
            <v>3001835</v>
          </cell>
          <cell r="D1856" t="str">
            <v>DRAYAGE</v>
          </cell>
          <cell r="E1856" t="str">
            <v>UN</v>
          </cell>
        </row>
        <row r="1857">
          <cell r="C1857">
            <v>3001836</v>
          </cell>
          <cell r="D1857" t="str">
            <v>EIM SRV (IMPLEM;CONFIG;ENHAN;TEST;TRAIN)</v>
          </cell>
          <cell r="E1857" t="str">
            <v>DIA</v>
          </cell>
        </row>
        <row r="1858">
          <cell r="C1858">
            <v>3001837</v>
          </cell>
          <cell r="D1858" t="str">
            <v>EIM SRV (IMPLEM;CONFIG;ENHAN;TEST;TRAIN)</v>
          </cell>
          <cell r="E1858" t="str">
            <v>H</v>
          </cell>
        </row>
        <row r="1859">
          <cell r="C1859">
            <v>3001838</v>
          </cell>
          <cell r="D1859" t="str">
            <v>SUPORTE TECNICO EM INFORMATICA</v>
          </cell>
          <cell r="E1859" t="str">
            <v>SV</v>
          </cell>
        </row>
        <row r="1860">
          <cell r="C1860">
            <v>3001839</v>
          </cell>
          <cell r="D1860" t="str">
            <v>EIM SRV (IMPLEM;CONFIG;ENHAN;TEST;TRAIN)</v>
          </cell>
          <cell r="E1860" t="str">
            <v>UN</v>
          </cell>
        </row>
        <row r="1861">
          <cell r="C1861">
            <v>3001840</v>
          </cell>
          <cell r="D1861" t="str">
            <v>ELABORACAO DE PROGRAMAS DE COMPUTADORES</v>
          </cell>
          <cell r="E1861" t="str">
            <v>H</v>
          </cell>
        </row>
        <row r="1862">
          <cell r="C1862">
            <v>3001841</v>
          </cell>
          <cell r="D1862" t="str">
            <v>ELABORACAO DE PROGRAMAS DE COMPUTADORES</v>
          </cell>
          <cell r="E1862" t="str">
            <v>SV</v>
          </cell>
        </row>
        <row r="1863">
          <cell r="C1863">
            <v>3001842</v>
          </cell>
          <cell r="D1863" t="str">
            <v>ELABORACAO DE PROGRAMAS DE COMPUTADORES</v>
          </cell>
          <cell r="E1863" t="str">
            <v>UN</v>
          </cell>
        </row>
        <row r="1864">
          <cell r="C1864">
            <v>3001843</v>
          </cell>
          <cell r="D1864" t="str">
            <v>ELABORAÇÃO DE PROJETOS EM GERAL</v>
          </cell>
          <cell r="E1864" t="str">
            <v>H</v>
          </cell>
        </row>
        <row r="1865">
          <cell r="C1865">
            <v>3001844</v>
          </cell>
          <cell r="D1865" t="str">
            <v>ELABORAÇÃO DE PROJETOS EM GERAL</v>
          </cell>
          <cell r="E1865" t="str">
            <v>HA</v>
          </cell>
        </row>
        <row r="1866">
          <cell r="C1866">
            <v>3001845</v>
          </cell>
          <cell r="D1866" t="str">
            <v>ELABORAÇÃO DE PROJETOS EM GERAL</v>
          </cell>
          <cell r="E1866" t="str">
            <v>M</v>
          </cell>
        </row>
        <row r="1867">
          <cell r="C1867">
            <v>3001846</v>
          </cell>
          <cell r="D1867" t="str">
            <v>ELABORAÇÃO DE PROJETOS EM GERAL</v>
          </cell>
          <cell r="E1867" t="str">
            <v>M2</v>
          </cell>
        </row>
        <row r="1868">
          <cell r="C1868">
            <v>3001847</v>
          </cell>
          <cell r="D1868" t="str">
            <v>ELABORAÇÃO DE PROJETOS EM GERAL</v>
          </cell>
          <cell r="E1868" t="str">
            <v>MES</v>
          </cell>
        </row>
        <row r="1869">
          <cell r="C1869">
            <v>3001848</v>
          </cell>
          <cell r="D1869" t="str">
            <v>ELABORAÇÃO DE PROJETOS EM GERAL</v>
          </cell>
          <cell r="E1869" t="str">
            <v>PC</v>
          </cell>
        </row>
        <row r="1870">
          <cell r="C1870">
            <v>3001849</v>
          </cell>
          <cell r="D1870" t="str">
            <v>ELABORACAO DE PROJETOS EM GERAL</v>
          </cell>
          <cell r="E1870" t="str">
            <v>SV</v>
          </cell>
        </row>
        <row r="1871">
          <cell r="C1871">
            <v>3001850</v>
          </cell>
          <cell r="D1871" t="str">
            <v>ELABORAÇÃO DE PROJETOS EM GERAL</v>
          </cell>
          <cell r="E1871" t="str">
            <v>UN</v>
          </cell>
        </row>
        <row r="1872">
          <cell r="C1872">
            <v>3001851</v>
          </cell>
          <cell r="D1872" t="str">
            <v>ELETRICIDADE MEDICA E CONGENERES</v>
          </cell>
          <cell r="E1872" t="str">
            <v>UN</v>
          </cell>
        </row>
        <row r="1873">
          <cell r="C1873">
            <v>3001852</v>
          </cell>
          <cell r="D1873" t="str">
            <v>EMBALAGEM DE PRODUTOS E MERCADORIAS</v>
          </cell>
          <cell r="E1873" t="str">
            <v>UN</v>
          </cell>
        </row>
        <row r="1874">
          <cell r="C1874">
            <v>3001853</v>
          </cell>
          <cell r="D1874" t="str">
            <v>EMISSÃO;COLETA;ENTREGA DOCUMENTOS</v>
          </cell>
          <cell r="E1874" t="str">
            <v>KMS</v>
          </cell>
        </row>
        <row r="1875">
          <cell r="C1875">
            <v>3001854</v>
          </cell>
          <cell r="D1875" t="str">
            <v>EMISSÃO;COLETA;ENTREGA DOCUNENTOS</v>
          </cell>
          <cell r="E1875" t="str">
            <v>MES</v>
          </cell>
        </row>
        <row r="1876">
          <cell r="C1876">
            <v>3001855</v>
          </cell>
          <cell r="D1876" t="str">
            <v>EMISSÃO;COLETA;ENTREGA DOCUMENTOS</v>
          </cell>
          <cell r="E1876" t="str">
            <v>SV</v>
          </cell>
        </row>
        <row r="1877">
          <cell r="C1877">
            <v>3001856</v>
          </cell>
          <cell r="D1877" t="str">
            <v>EMISSÃO;COLETA;ENTREGA DOCUMENTOS</v>
          </cell>
          <cell r="E1877" t="str">
            <v>UN</v>
          </cell>
        </row>
        <row r="1878">
          <cell r="C1878">
            <v>3001857</v>
          </cell>
          <cell r="D1878" t="str">
            <v>FORNEC,REEMISSAO,RENOV,MANUT D CARTAO</v>
          </cell>
          <cell r="E1878" t="str">
            <v>SV</v>
          </cell>
        </row>
        <row r="1879">
          <cell r="C1879">
            <v>3001858</v>
          </cell>
          <cell r="D1879" t="str">
            <v>EMISSÃO;RENOVAÇÃO:MANUT CARTÕES</v>
          </cell>
          <cell r="E1879" t="str">
            <v>UN</v>
          </cell>
        </row>
        <row r="1880">
          <cell r="C1880">
            <v>3001859</v>
          </cell>
          <cell r="D1880" t="str">
            <v>ENCADERNAÇÃO DE LIVROS, REVISTAS E CONG</v>
          </cell>
          <cell r="E1880" t="str">
            <v>M2</v>
          </cell>
        </row>
        <row r="1881">
          <cell r="C1881">
            <v>3001860</v>
          </cell>
          <cell r="D1881" t="str">
            <v>ENCADERNAÇÃO DE LIVROS, REVISTAS E CONG</v>
          </cell>
          <cell r="E1881" t="str">
            <v>UN</v>
          </cell>
        </row>
        <row r="1882">
          <cell r="C1882">
            <v>3001861</v>
          </cell>
          <cell r="D1882" t="str">
            <v>ENFERMAGEM, INCLUS SERVIÇOS AUXILIARES</v>
          </cell>
          <cell r="E1882" t="str">
            <v>H</v>
          </cell>
        </row>
        <row r="1883">
          <cell r="C1883">
            <v>3001862</v>
          </cell>
          <cell r="D1883" t="str">
            <v>ENFERM, INCLUS SERVIC AUXIL</v>
          </cell>
          <cell r="E1883" t="str">
            <v>M</v>
          </cell>
        </row>
        <row r="1884">
          <cell r="C1884">
            <v>3001863</v>
          </cell>
          <cell r="D1884" t="str">
            <v>ENFERMAGEM, INCLUS SERVIÇOS AUXILIARES</v>
          </cell>
          <cell r="E1884" t="str">
            <v>MES</v>
          </cell>
        </row>
        <row r="1885">
          <cell r="C1885">
            <v>3001864</v>
          </cell>
          <cell r="D1885" t="str">
            <v>ENFERMAGEM, INCLUSIVE SRV AUXILIARES.</v>
          </cell>
          <cell r="E1885" t="str">
            <v>SV</v>
          </cell>
        </row>
        <row r="1886">
          <cell r="C1886">
            <v>3001865</v>
          </cell>
          <cell r="D1886" t="str">
            <v>ENFERM INCLUS SERVIC AUXIL</v>
          </cell>
          <cell r="E1886" t="str">
            <v>UN</v>
          </cell>
        </row>
        <row r="1887">
          <cell r="C1887">
            <v>3001866</v>
          </cell>
          <cell r="D1887" t="str">
            <v>ENGENHARIA BASEADA EM ÍNDICES</v>
          </cell>
          <cell r="E1887" t="str">
            <v>H</v>
          </cell>
        </row>
        <row r="1888">
          <cell r="C1888">
            <v>3001867</v>
          </cell>
          <cell r="D1888" t="str">
            <v>ENGENHARIA BASEADA EM ÍNDICES</v>
          </cell>
          <cell r="E1888" t="str">
            <v>UN</v>
          </cell>
        </row>
        <row r="1889">
          <cell r="C1889">
            <v>3001868</v>
          </cell>
          <cell r="D1889" t="str">
            <v>ENGENHARIA BÁSICA</v>
          </cell>
          <cell r="E1889" t="str">
            <v>H</v>
          </cell>
        </row>
        <row r="1890">
          <cell r="C1890">
            <v>3001869</v>
          </cell>
          <cell r="D1890" t="str">
            <v>ENGENHARIA BÁSICA</v>
          </cell>
          <cell r="E1890" t="str">
            <v>HA</v>
          </cell>
        </row>
        <row r="1891">
          <cell r="C1891">
            <v>3001870</v>
          </cell>
          <cell r="D1891" t="str">
            <v>ENGENHARIA BÁSICA</v>
          </cell>
          <cell r="E1891" t="str">
            <v>KMS</v>
          </cell>
        </row>
        <row r="1892">
          <cell r="C1892">
            <v>3001871</v>
          </cell>
          <cell r="D1892" t="str">
            <v>ENGENHARIA BÁSICA</v>
          </cell>
          <cell r="E1892" t="str">
            <v>M</v>
          </cell>
        </row>
        <row r="1893">
          <cell r="C1893">
            <v>3001872</v>
          </cell>
          <cell r="D1893" t="str">
            <v>ENGENHARIA BÁSICA</v>
          </cell>
          <cell r="E1893" t="str">
            <v>M2</v>
          </cell>
        </row>
        <row r="1894">
          <cell r="C1894">
            <v>3001873</v>
          </cell>
          <cell r="D1894" t="str">
            <v>ENGENHARIA BÁSICA</v>
          </cell>
          <cell r="E1894" t="str">
            <v>S</v>
          </cell>
        </row>
        <row r="1895">
          <cell r="C1895">
            <v>3001874</v>
          </cell>
          <cell r="D1895" t="str">
            <v>ENG,ARQUIT,URB,PAISAG,DECOR INTERIORES</v>
          </cell>
          <cell r="E1895" t="str">
            <v>SV</v>
          </cell>
        </row>
        <row r="1896">
          <cell r="C1896">
            <v>3001875</v>
          </cell>
          <cell r="D1896" t="str">
            <v>ENGENHARIA BÁSICA</v>
          </cell>
          <cell r="E1896" t="str">
            <v>UN</v>
          </cell>
        </row>
        <row r="1897">
          <cell r="C1897">
            <v>3001876</v>
          </cell>
          <cell r="D1897" t="str">
            <v>ENGENHARIA CONCEITUAL</v>
          </cell>
          <cell r="E1897" t="str">
            <v>DIA</v>
          </cell>
        </row>
        <row r="1898">
          <cell r="C1898">
            <v>3001877</v>
          </cell>
          <cell r="D1898" t="str">
            <v>ENGENHARIA CONCEITUAL</v>
          </cell>
          <cell r="E1898" t="str">
            <v>H</v>
          </cell>
        </row>
        <row r="1899">
          <cell r="C1899">
            <v>3001878</v>
          </cell>
          <cell r="D1899" t="str">
            <v>ENGENHARIA CONCEITUAL</v>
          </cell>
          <cell r="E1899" t="str">
            <v>HA</v>
          </cell>
        </row>
        <row r="1900">
          <cell r="C1900">
            <v>3001879</v>
          </cell>
          <cell r="D1900" t="str">
            <v>ENGENHARIA CONCEITUAL</v>
          </cell>
          <cell r="E1900" t="str">
            <v>KMS</v>
          </cell>
        </row>
        <row r="1901">
          <cell r="C1901">
            <v>3001880</v>
          </cell>
          <cell r="D1901" t="str">
            <v>ENGENHARIA CONCEITUAL</v>
          </cell>
          <cell r="E1901" t="str">
            <v>M</v>
          </cell>
        </row>
        <row r="1902">
          <cell r="C1902">
            <v>3001881</v>
          </cell>
          <cell r="D1902" t="str">
            <v>ENGENHARIA CONCEITUAL</v>
          </cell>
          <cell r="E1902" t="str">
            <v>M2</v>
          </cell>
        </row>
        <row r="1903">
          <cell r="C1903">
            <v>3001882</v>
          </cell>
          <cell r="D1903" t="str">
            <v>ENGENHARIA CONCEITUAL</v>
          </cell>
          <cell r="E1903" t="str">
            <v>MES</v>
          </cell>
        </row>
        <row r="1904">
          <cell r="C1904">
            <v>3001883</v>
          </cell>
          <cell r="D1904" t="str">
            <v>ENGENHARIA CONCEITUAL</v>
          </cell>
          <cell r="E1904" t="str">
            <v>SV</v>
          </cell>
        </row>
        <row r="1905">
          <cell r="C1905">
            <v>3001884</v>
          </cell>
          <cell r="D1905" t="str">
            <v>ENGENHARIA CONCEITUAL</v>
          </cell>
          <cell r="E1905" t="str">
            <v>UN</v>
          </cell>
        </row>
        <row r="1906">
          <cell r="C1906">
            <v>3001885</v>
          </cell>
          <cell r="D1906" t="str">
            <v>ENGENHARIA DETALHADA</v>
          </cell>
          <cell r="E1906" t="str">
            <v>H</v>
          </cell>
        </row>
        <row r="1907">
          <cell r="C1907">
            <v>3001886</v>
          </cell>
          <cell r="D1907" t="str">
            <v>ENGENHARIA DETALHADA</v>
          </cell>
          <cell r="E1907" t="str">
            <v>SV</v>
          </cell>
        </row>
        <row r="1908">
          <cell r="C1908">
            <v>3001887</v>
          </cell>
          <cell r="D1908" t="str">
            <v>ENGENHARIA DETALHADA</v>
          </cell>
          <cell r="E1908" t="str">
            <v>UN</v>
          </cell>
        </row>
        <row r="1909">
          <cell r="C1909">
            <v>3001888</v>
          </cell>
          <cell r="D1909" t="str">
            <v>ENGENHARIA ESPECIAL (ESTUDOS, PESQ, ETC)</v>
          </cell>
          <cell r="E1909" t="str">
            <v>DIA</v>
          </cell>
        </row>
        <row r="1910">
          <cell r="C1910">
            <v>3001889</v>
          </cell>
          <cell r="D1910" t="str">
            <v>ENGENHARIA ESPECIAL (ESTUDOS, PESQ, ETC)</v>
          </cell>
          <cell r="E1910" t="str">
            <v>H</v>
          </cell>
        </row>
        <row r="1911">
          <cell r="C1911">
            <v>3001890</v>
          </cell>
          <cell r="D1911" t="str">
            <v>ENGENHARIA ESPECIAL (ESTUDOS, PESQ, ETC)</v>
          </cell>
          <cell r="E1911" t="str">
            <v>MES</v>
          </cell>
        </row>
        <row r="1912">
          <cell r="C1912">
            <v>3001891</v>
          </cell>
          <cell r="D1912" t="str">
            <v>ENGENHARIA ESPECIAL (ESTUDOS, PESQ, ETC)</v>
          </cell>
          <cell r="E1912" t="str">
            <v>SV</v>
          </cell>
        </row>
        <row r="1913">
          <cell r="C1913">
            <v>3001892</v>
          </cell>
          <cell r="D1913" t="str">
            <v>ENGENHARIA ESPECIAL (ESTUDOS, PESQ, ETC)</v>
          </cell>
          <cell r="E1913" t="str">
            <v>UN</v>
          </cell>
        </row>
        <row r="1914">
          <cell r="C1914">
            <v>3001893</v>
          </cell>
          <cell r="D1914" t="str">
            <v>SRV PORTUARIO,UTILIZ D PORTO,LOGIST CONG</v>
          </cell>
          <cell r="E1914" t="str">
            <v>SV</v>
          </cell>
        </row>
        <row r="1915">
          <cell r="C1915">
            <v>3001894</v>
          </cell>
          <cell r="D1915" t="str">
            <v>ENLONAMENTO DE CARGA</v>
          </cell>
          <cell r="E1915" t="str">
            <v>H</v>
          </cell>
        </row>
        <row r="1916">
          <cell r="C1916">
            <v>3001895</v>
          </cell>
          <cell r="D1916" t="str">
            <v>ENLONAMENTO DE CARGA</v>
          </cell>
          <cell r="E1916" t="str">
            <v>TO</v>
          </cell>
        </row>
        <row r="1917">
          <cell r="C1917">
            <v>3001896</v>
          </cell>
          <cell r="D1917" t="str">
            <v>ENSINO FUNDAMENTAL</v>
          </cell>
          <cell r="E1917" t="str">
            <v>UN</v>
          </cell>
        </row>
        <row r="1918">
          <cell r="C1918">
            <v>3001897</v>
          </cell>
          <cell r="D1918" t="str">
            <v>ENSINO MÉDIO</v>
          </cell>
          <cell r="E1918" t="str">
            <v>UN</v>
          </cell>
        </row>
        <row r="1919">
          <cell r="C1919">
            <v>3001898</v>
          </cell>
          <cell r="D1919" t="str">
            <v>ENSINO REGULAR PRÉ-ESCOLAR</v>
          </cell>
          <cell r="E1919" t="str">
            <v>UN</v>
          </cell>
        </row>
        <row r="1920">
          <cell r="C1920">
            <v>3001899</v>
          </cell>
          <cell r="D1920" t="str">
            <v>ENSINO REGULAR SUPERIOR</v>
          </cell>
          <cell r="E1920" t="str">
            <v>UN</v>
          </cell>
        </row>
        <row r="1921">
          <cell r="C1921">
            <v>3001900</v>
          </cell>
          <cell r="D1921" t="str">
            <v>DISTRIBUICAO/ENTREGA DE BENS DE TERCEIRO</v>
          </cell>
          <cell r="E1921" t="str">
            <v>SV</v>
          </cell>
        </row>
        <row r="1922">
          <cell r="C1922">
            <v>3001901</v>
          </cell>
          <cell r="D1922" t="str">
            <v>ENTREGA BEB, ALIM, JORNAIS E SIMILARES</v>
          </cell>
          <cell r="E1922" t="str">
            <v>UN</v>
          </cell>
        </row>
        <row r="1923">
          <cell r="C1923">
            <v>3001902</v>
          </cell>
          <cell r="D1923" t="str">
            <v>ENTREGA DA CARGA NO DESTINO</v>
          </cell>
          <cell r="E1923" t="str">
            <v>UN</v>
          </cell>
        </row>
        <row r="1924">
          <cell r="C1924">
            <v>3001903</v>
          </cell>
          <cell r="D1924" t="str">
            <v>ESCANEAMENTO MANUAL E VETORIZAÇÃO</v>
          </cell>
          <cell r="E1924" t="str">
            <v>UN</v>
          </cell>
        </row>
        <row r="1925">
          <cell r="C1925">
            <v>3001904</v>
          </cell>
          <cell r="D1925" t="str">
            <v>ESCOLTA, INCLUSIVE DE VEÍCULOS E CARGAS</v>
          </cell>
          <cell r="E1925" t="str">
            <v>UN</v>
          </cell>
        </row>
        <row r="1926">
          <cell r="C1926">
            <v>3001905</v>
          </cell>
          <cell r="D1926" t="str">
            <v>ESCORAMENTO, CONTENÇÃO ENCOSTAS E CONG</v>
          </cell>
          <cell r="E1926" t="str">
            <v>M</v>
          </cell>
        </row>
        <row r="1927">
          <cell r="C1927">
            <v>3001906</v>
          </cell>
          <cell r="D1927" t="str">
            <v>ESCORAMENTO, CONTENÇÃO ENCOSTAS E CONG</v>
          </cell>
          <cell r="E1927" t="str">
            <v>M2</v>
          </cell>
        </row>
        <row r="1928">
          <cell r="C1928">
            <v>3001907</v>
          </cell>
          <cell r="D1928" t="str">
            <v>ESCORAMENTO, CONTENÇÃO ENCOSTAS E CONG</v>
          </cell>
          <cell r="E1928" t="str">
            <v>M3</v>
          </cell>
        </row>
        <row r="1929">
          <cell r="C1929">
            <v>3001908</v>
          </cell>
          <cell r="D1929" t="str">
            <v>ESCORAMENTO, CONTENÇÃO ENCOSTAS E CONG</v>
          </cell>
          <cell r="E1929" t="str">
            <v>SV</v>
          </cell>
        </row>
        <row r="1930">
          <cell r="C1930">
            <v>3001909</v>
          </cell>
          <cell r="D1930" t="str">
            <v>ESCORAMENTO, CONTENÇÃO ENCOSTAS E CONG</v>
          </cell>
          <cell r="E1930" t="str">
            <v>UN</v>
          </cell>
        </row>
        <row r="1931">
          <cell r="C1931">
            <v>3001910</v>
          </cell>
          <cell r="D1931" t="str">
            <v>ESPETACULOS CIRCENSES</v>
          </cell>
          <cell r="E1931" t="str">
            <v>SV</v>
          </cell>
        </row>
        <row r="1932">
          <cell r="C1932">
            <v>3001911</v>
          </cell>
          <cell r="D1932" t="str">
            <v>ESPETÁCULOS CIRCENSES</v>
          </cell>
          <cell r="E1932" t="str">
            <v>UN</v>
          </cell>
        </row>
        <row r="1933">
          <cell r="C1933">
            <v>3001912</v>
          </cell>
          <cell r="D1933" t="str">
            <v>ESPETÁCULOS TEATRAIS</v>
          </cell>
          <cell r="E1933" t="str">
            <v>M3</v>
          </cell>
        </row>
        <row r="1934">
          <cell r="C1934">
            <v>3001913</v>
          </cell>
          <cell r="D1934" t="str">
            <v>ESPETÁCULOS TEATRAIS</v>
          </cell>
          <cell r="E1934" t="str">
            <v>UN</v>
          </cell>
        </row>
        <row r="1935">
          <cell r="C1935">
            <v>3001914</v>
          </cell>
          <cell r="D1935" t="str">
            <v>ESTACIONAMENTO (VEÍC; AERONAVES; EMBARC)</v>
          </cell>
          <cell r="E1935" t="str">
            <v>UN</v>
          </cell>
        </row>
        <row r="1936">
          <cell r="C1936">
            <v>3001915</v>
          </cell>
          <cell r="D1936" t="str">
            <v>ESTAQUEAMENTO; ESTAQUEAMENTO MARÍTIMO</v>
          </cell>
          <cell r="E1936" t="str">
            <v>UN</v>
          </cell>
        </row>
        <row r="1937">
          <cell r="C1937">
            <v>3001916</v>
          </cell>
          <cell r="D1937" t="str">
            <v>ESTETICISTA, TRAT PELE E SIMILARES</v>
          </cell>
          <cell r="E1937" t="str">
            <v>SV</v>
          </cell>
        </row>
        <row r="1938">
          <cell r="C1938">
            <v>3001917</v>
          </cell>
          <cell r="D1938" t="str">
            <v>ESTUDO E PRJ PLANEJAMTO DESENV URBANO</v>
          </cell>
          <cell r="E1938" t="str">
            <v>DIA</v>
          </cell>
        </row>
        <row r="1939">
          <cell r="C1939">
            <v>3001918</v>
          </cell>
          <cell r="D1939" t="str">
            <v>ESTUDO E PRJ PLANEJAMTO DESENV URBANO</v>
          </cell>
          <cell r="E1939" t="str">
            <v>SV</v>
          </cell>
        </row>
        <row r="1940">
          <cell r="C1940">
            <v>3001919</v>
          </cell>
          <cell r="D1940" t="str">
            <v>ESTUDO E PRJ PLANEJAMTO DESENV URBANO</v>
          </cell>
          <cell r="E1940" t="str">
            <v>UN</v>
          </cell>
        </row>
        <row r="1941">
          <cell r="C1941">
            <v>3001920</v>
          </cell>
          <cell r="D1941" t="str">
            <v>ESTUDO E PRJ REPOTENCIAMENTO;ELETROMEC</v>
          </cell>
          <cell r="E1941" t="str">
            <v>SV</v>
          </cell>
        </row>
        <row r="1942">
          <cell r="C1942">
            <v>3001921</v>
          </cell>
          <cell r="D1942" t="str">
            <v>ESTUDO E PRJ REPOTENCIAMENTO;ELETROMEC</v>
          </cell>
          <cell r="E1942" t="str">
            <v>UN</v>
          </cell>
        </row>
        <row r="1943">
          <cell r="C1943">
            <v>3001922</v>
          </cell>
          <cell r="D1943" t="str">
            <v>ESTUDO E PROJETO ÁREA PROCESSO MINERAÇÃO</v>
          </cell>
          <cell r="E1943" t="str">
            <v>H</v>
          </cell>
        </row>
        <row r="1944">
          <cell r="C1944">
            <v>3001923</v>
          </cell>
          <cell r="D1944" t="str">
            <v>ESTUDO E PROJETO ÁREA PROCESSO MINERAÇÃO</v>
          </cell>
          <cell r="E1944" t="str">
            <v>HA</v>
          </cell>
        </row>
        <row r="1945">
          <cell r="C1945">
            <v>3001924</v>
          </cell>
          <cell r="D1945" t="str">
            <v>ESTUDO E PROJETO ÁREA PROCESSO MINERAÇÃO</v>
          </cell>
          <cell r="E1945" t="str">
            <v>M</v>
          </cell>
        </row>
        <row r="1946">
          <cell r="C1946">
            <v>3001925</v>
          </cell>
          <cell r="D1946" t="str">
            <v>ESTUDO E PROJETO ÁREA PROCESSO MINERAÇÃO</v>
          </cell>
          <cell r="E1946" t="str">
            <v>MES</v>
          </cell>
        </row>
        <row r="1947">
          <cell r="C1947">
            <v>3001926</v>
          </cell>
          <cell r="D1947" t="str">
            <v>ESTUDO E PROJETO ÁREA PROCESSO MINERAÇÃO</v>
          </cell>
          <cell r="E1947" t="str">
            <v>SV</v>
          </cell>
        </row>
        <row r="1948">
          <cell r="C1948">
            <v>3001927</v>
          </cell>
          <cell r="D1948" t="str">
            <v>ESTUDO E PROJETO ÁREA PROCESSO MINERAÇÃO</v>
          </cell>
          <cell r="E1948" t="str">
            <v>UN</v>
          </cell>
        </row>
        <row r="1949">
          <cell r="C1949">
            <v>3001928</v>
          </cell>
          <cell r="D1949" t="str">
            <v>ESTUDO E PROJETO CÁLCULO ELEMENTO FINITO</v>
          </cell>
          <cell r="E1949" t="str">
            <v>H</v>
          </cell>
        </row>
        <row r="1950">
          <cell r="C1950">
            <v>3001929</v>
          </cell>
          <cell r="D1950" t="str">
            <v>ESTUDO E PROJETO CÁLCULO ELEMENTO FINITO</v>
          </cell>
          <cell r="E1950" t="str">
            <v>UN</v>
          </cell>
        </row>
        <row r="1951">
          <cell r="C1951">
            <v>3001930</v>
          </cell>
          <cell r="D1951" t="str">
            <v>ESTUDO E PROJETO DE ARQUITETURA</v>
          </cell>
          <cell r="E1951" t="str">
            <v>H</v>
          </cell>
        </row>
        <row r="1952">
          <cell r="C1952">
            <v>3001931</v>
          </cell>
          <cell r="D1952" t="str">
            <v>ESTUDO E PROJETO DE ARQUITETURA</v>
          </cell>
          <cell r="E1952" t="str">
            <v>SV</v>
          </cell>
        </row>
        <row r="1953">
          <cell r="C1953">
            <v>3001932</v>
          </cell>
          <cell r="D1953" t="str">
            <v>ESTUDO E PROJETO DE ARQUITETURA</v>
          </cell>
          <cell r="E1953" t="str">
            <v>UN</v>
          </cell>
        </row>
        <row r="1954">
          <cell r="C1954">
            <v>3001933</v>
          </cell>
          <cell r="D1954" t="str">
            <v>ESTUDO E PROJETO DE ENG TRÁFEGO;TRANSP</v>
          </cell>
          <cell r="E1954" t="str">
            <v>H</v>
          </cell>
        </row>
        <row r="1955">
          <cell r="C1955">
            <v>3001934</v>
          </cell>
          <cell r="D1955" t="str">
            <v>ESTUDO E PROJETO DE ENG TRÁFEGO;TRANSP</v>
          </cell>
          <cell r="E1955" t="str">
            <v>HA</v>
          </cell>
        </row>
        <row r="1956">
          <cell r="C1956">
            <v>3001935</v>
          </cell>
          <cell r="D1956" t="str">
            <v>ESTUDO E PROJETO DE ENG TRÁFEGO;TRANSP</v>
          </cell>
          <cell r="E1956" t="str">
            <v>KMS</v>
          </cell>
        </row>
        <row r="1957">
          <cell r="C1957">
            <v>3001936</v>
          </cell>
          <cell r="D1957" t="str">
            <v>ESTUDO E PROJETO DE ENG TRÁFEGO;TRANSP</v>
          </cell>
          <cell r="E1957" t="str">
            <v>M</v>
          </cell>
        </row>
        <row r="1958">
          <cell r="C1958">
            <v>3001937</v>
          </cell>
          <cell r="D1958" t="str">
            <v>ESTUDO E PROJETO DE ENG TRÁFEGO;TRANSP</v>
          </cell>
          <cell r="E1958" t="str">
            <v>M2</v>
          </cell>
        </row>
        <row r="1959">
          <cell r="C1959">
            <v>3001938</v>
          </cell>
          <cell r="D1959" t="str">
            <v>ESTUDO E PROJETO DE ENG TRÁFEGO;TRANSP</v>
          </cell>
          <cell r="E1959" t="str">
            <v>SV</v>
          </cell>
        </row>
        <row r="1960">
          <cell r="C1960">
            <v>3001939</v>
          </cell>
          <cell r="D1960" t="str">
            <v>ESTUDO E PROJETO DE ENG TRÁFEGO;TRANSP</v>
          </cell>
          <cell r="E1960" t="str">
            <v>UN</v>
          </cell>
        </row>
        <row r="1961">
          <cell r="C1961">
            <v>3001940</v>
          </cell>
          <cell r="D1961" t="str">
            <v>ESTUDO E PROJETO DE FERROVIA</v>
          </cell>
          <cell r="E1961" t="str">
            <v>DIA</v>
          </cell>
        </row>
        <row r="1962">
          <cell r="C1962">
            <v>3001941</v>
          </cell>
          <cell r="D1962" t="str">
            <v>ESTUDO E PROJETO DE FERROVIA</v>
          </cell>
          <cell r="E1962" t="str">
            <v>H</v>
          </cell>
        </row>
        <row r="1963">
          <cell r="C1963">
            <v>3001942</v>
          </cell>
          <cell r="D1963" t="str">
            <v>ESTUDO E PROJETO DE FERROVIA</v>
          </cell>
          <cell r="E1963" t="str">
            <v>SV</v>
          </cell>
        </row>
        <row r="1964">
          <cell r="C1964">
            <v>3001943</v>
          </cell>
          <cell r="D1964" t="str">
            <v>ESTUDO E PROJETO DE FERROVIA</v>
          </cell>
          <cell r="E1964" t="str">
            <v>UN</v>
          </cell>
        </row>
        <row r="1965">
          <cell r="C1965">
            <v>3001944</v>
          </cell>
          <cell r="D1965" t="str">
            <v>ESTUDO E PROJETO DE GEOLOGIA</v>
          </cell>
          <cell r="E1965" t="str">
            <v>DIA</v>
          </cell>
        </row>
        <row r="1966">
          <cell r="C1966">
            <v>3001945</v>
          </cell>
          <cell r="D1966" t="str">
            <v>ESTUDO E PROJETO DE GEOLOGIA</v>
          </cell>
          <cell r="E1966" t="str">
            <v>H</v>
          </cell>
        </row>
        <row r="1967">
          <cell r="C1967">
            <v>3001946</v>
          </cell>
          <cell r="D1967" t="str">
            <v>ESTUDO E PROJETO DE GEOLOGIA</v>
          </cell>
          <cell r="E1967" t="str">
            <v>HA</v>
          </cell>
        </row>
        <row r="1968">
          <cell r="C1968">
            <v>3001947</v>
          </cell>
          <cell r="D1968" t="str">
            <v>ESTUDO E PROJETO DE GEOLOGIA</v>
          </cell>
          <cell r="E1968" t="str">
            <v>JG</v>
          </cell>
        </row>
        <row r="1969">
          <cell r="C1969">
            <v>3001948</v>
          </cell>
          <cell r="D1969" t="str">
            <v>ESTUDO E PROJETO DE GEOLOGIA</v>
          </cell>
          <cell r="E1969" t="str">
            <v>KG</v>
          </cell>
        </row>
        <row r="1970">
          <cell r="C1970">
            <v>3001949</v>
          </cell>
          <cell r="D1970" t="str">
            <v>ESTUDO E PROJETO DE GEOLOGIA</v>
          </cell>
          <cell r="E1970" t="str">
            <v>KMS</v>
          </cell>
        </row>
        <row r="1971">
          <cell r="C1971">
            <v>3001950</v>
          </cell>
          <cell r="D1971" t="str">
            <v>ESTUDO E PROJETO DE GEOLOGIA</v>
          </cell>
          <cell r="E1971" t="str">
            <v>M</v>
          </cell>
        </row>
        <row r="1972">
          <cell r="C1972">
            <v>3001951</v>
          </cell>
          <cell r="D1972" t="str">
            <v>ESTUDO E PROJETO DE GEOLOGIA</v>
          </cell>
          <cell r="E1972" t="str">
            <v>M2</v>
          </cell>
        </row>
        <row r="1973">
          <cell r="C1973">
            <v>3001952</v>
          </cell>
          <cell r="D1973" t="str">
            <v>ESTUDO E PROJETO DE GEOLOGIA</v>
          </cell>
          <cell r="E1973" t="str">
            <v>M3</v>
          </cell>
        </row>
        <row r="1974">
          <cell r="C1974">
            <v>3001953</v>
          </cell>
          <cell r="D1974" t="str">
            <v>ESTUDO E PROJETO DE GEOLOGIA</v>
          </cell>
          <cell r="E1974" t="str">
            <v>MES</v>
          </cell>
        </row>
        <row r="1975">
          <cell r="C1975">
            <v>3001954</v>
          </cell>
          <cell r="D1975" t="str">
            <v>ESTUDO E PROJETO DE GEOLOGIA</v>
          </cell>
          <cell r="E1975" t="str">
            <v>PC</v>
          </cell>
        </row>
        <row r="1976">
          <cell r="C1976">
            <v>3001955</v>
          </cell>
          <cell r="D1976" t="str">
            <v>ESTUDO E PROJETO DE GEOLOGIA</v>
          </cell>
          <cell r="E1976" t="str">
            <v>SV</v>
          </cell>
        </row>
        <row r="1977">
          <cell r="C1977">
            <v>3001956</v>
          </cell>
          <cell r="D1977" t="str">
            <v>ESTUDO E PROJETO DE GEOLOGIA</v>
          </cell>
          <cell r="E1977" t="str">
            <v>TO</v>
          </cell>
        </row>
        <row r="1978">
          <cell r="C1978">
            <v>3001957</v>
          </cell>
          <cell r="D1978" t="str">
            <v>ESTUDO E PROJETO DE GEOLOGIA</v>
          </cell>
          <cell r="E1978" t="str">
            <v>UN</v>
          </cell>
        </row>
        <row r="1979">
          <cell r="C1979">
            <v>3001958</v>
          </cell>
          <cell r="D1979" t="str">
            <v>ESTUDO E PROJETO DE HIDROGEOLOGIA</v>
          </cell>
          <cell r="E1979" t="str">
            <v>DIA</v>
          </cell>
        </row>
        <row r="1980">
          <cell r="C1980">
            <v>3001959</v>
          </cell>
          <cell r="D1980" t="str">
            <v>ESTUDO E PROJETO DE HIDROGEOLOGIA</v>
          </cell>
          <cell r="E1980" t="str">
            <v>H</v>
          </cell>
        </row>
        <row r="1981">
          <cell r="C1981">
            <v>3001960</v>
          </cell>
          <cell r="D1981" t="str">
            <v>ESTUDO E PROJETO DE HIDROGEOLOGIA</v>
          </cell>
          <cell r="E1981" t="str">
            <v>HA</v>
          </cell>
        </row>
        <row r="1982">
          <cell r="C1982">
            <v>3001961</v>
          </cell>
          <cell r="D1982" t="str">
            <v>ESTUDO E PROJETO DE HIDROGEOLOGIA</v>
          </cell>
          <cell r="E1982" t="str">
            <v>KMS</v>
          </cell>
        </row>
        <row r="1983">
          <cell r="C1983">
            <v>3001962</v>
          </cell>
          <cell r="D1983" t="str">
            <v>ESTUDO E PROJETO DE HIDROGEOLOGIA</v>
          </cell>
          <cell r="E1983" t="str">
            <v>M</v>
          </cell>
        </row>
        <row r="1984">
          <cell r="C1984">
            <v>3001963</v>
          </cell>
          <cell r="D1984" t="str">
            <v>ESTUDO E PROJETO DE HIDROGEOLOGIA</v>
          </cell>
          <cell r="E1984" t="str">
            <v>MES</v>
          </cell>
        </row>
        <row r="1985">
          <cell r="C1985">
            <v>3001964</v>
          </cell>
          <cell r="D1985" t="str">
            <v>ESTUDO E PROJETO DE HIDROGEOLOGIA</v>
          </cell>
          <cell r="E1985" t="str">
            <v>SV</v>
          </cell>
        </row>
        <row r="1986">
          <cell r="C1986">
            <v>3001965</v>
          </cell>
          <cell r="D1986" t="str">
            <v>ESTUDO E PROJETO DE HIDROGEOLOGIA</v>
          </cell>
          <cell r="E1986" t="str">
            <v>UN</v>
          </cell>
        </row>
        <row r="1987">
          <cell r="C1987">
            <v>3001966</v>
          </cell>
          <cell r="D1987" t="str">
            <v>ESTUDO E PROJETO DE LUBRIFICAÇÃO INDUST</v>
          </cell>
          <cell r="E1987" t="str">
            <v>UN</v>
          </cell>
        </row>
        <row r="1988">
          <cell r="C1988">
            <v>3001967</v>
          </cell>
          <cell r="D1988" t="str">
            <v>ESTUDO E PROJETO DE MANUT INDUSTRIAL</v>
          </cell>
          <cell r="E1988" t="str">
            <v>H</v>
          </cell>
        </row>
        <row r="1989">
          <cell r="C1989">
            <v>3001968</v>
          </cell>
          <cell r="D1989" t="str">
            <v>ESTUDO E PROJETO DE MANUT INDUSTRIAL</v>
          </cell>
          <cell r="E1989" t="str">
            <v>MES</v>
          </cell>
        </row>
        <row r="1990">
          <cell r="C1990">
            <v>3001969</v>
          </cell>
          <cell r="D1990" t="str">
            <v>ESTUDO E PROJETO DE MANUT INDUSTRIAL</v>
          </cell>
          <cell r="E1990" t="str">
            <v>SV</v>
          </cell>
        </row>
        <row r="1991">
          <cell r="C1991">
            <v>3001970</v>
          </cell>
          <cell r="D1991" t="str">
            <v>ESTUDO E PROJETO DE MANUT INDUSTRIAL</v>
          </cell>
          <cell r="E1991" t="str">
            <v>UN</v>
          </cell>
        </row>
        <row r="1992">
          <cell r="C1992">
            <v>3001971</v>
          </cell>
          <cell r="D1992" t="str">
            <v>ESTUDO E PROJETO DE MECÂNICA SOLO</v>
          </cell>
          <cell r="E1992" t="str">
            <v>UN</v>
          </cell>
        </row>
        <row r="1993">
          <cell r="C1993">
            <v>3001972</v>
          </cell>
          <cell r="D1993" t="str">
            <v>ESTUDO E PROJETO DE OBRA MARÍTIMA</v>
          </cell>
          <cell r="E1993" t="str">
            <v>DIA</v>
          </cell>
        </row>
        <row r="1994">
          <cell r="C1994">
            <v>3001973</v>
          </cell>
          <cell r="D1994" t="str">
            <v>ESTUDO E PROJETO DE OBRA MARÍTIMA</v>
          </cell>
          <cell r="E1994" t="str">
            <v>H</v>
          </cell>
        </row>
        <row r="1995">
          <cell r="C1995">
            <v>3001974</v>
          </cell>
          <cell r="D1995" t="str">
            <v>ESTUDO E PROJETO DE OBRA MARÍTIMA</v>
          </cell>
          <cell r="E1995" t="str">
            <v>HA</v>
          </cell>
        </row>
        <row r="1996">
          <cell r="C1996">
            <v>3001975</v>
          </cell>
          <cell r="D1996" t="str">
            <v>ESTUDO E PROJETO DE OBRA MARÍTIMA</v>
          </cell>
          <cell r="E1996" t="str">
            <v>KMS</v>
          </cell>
        </row>
        <row r="1997">
          <cell r="C1997">
            <v>3001976</v>
          </cell>
          <cell r="D1997" t="str">
            <v>ESTUDO E PROJETO DE OBRA MARÍTIMA</v>
          </cell>
          <cell r="E1997" t="str">
            <v>M</v>
          </cell>
        </row>
        <row r="1998">
          <cell r="C1998">
            <v>3001977</v>
          </cell>
          <cell r="D1998" t="str">
            <v>ESTUDO E PROJETO DE OBRA MARÍTIMA</v>
          </cell>
          <cell r="E1998" t="str">
            <v>MES</v>
          </cell>
        </row>
        <row r="1999">
          <cell r="C1999">
            <v>3001978</v>
          </cell>
          <cell r="D1999" t="str">
            <v>ESTUDO E PROJETO DE OBRA MARÍTIMA</v>
          </cell>
          <cell r="E1999" t="str">
            <v>SV</v>
          </cell>
        </row>
        <row r="2000">
          <cell r="C2000">
            <v>3001979</v>
          </cell>
          <cell r="D2000" t="str">
            <v>ESTUDO E PROJETO DE OBRA MARÍTIMA</v>
          </cell>
          <cell r="E2000" t="str">
            <v>UN</v>
          </cell>
        </row>
        <row r="2001">
          <cell r="C2001">
            <v>3001980</v>
          </cell>
          <cell r="D2001" t="str">
            <v>ESTUDO E PROJETO EM ENGENHARIA</v>
          </cell>
          <cell r="E2001" t="str">
            <v>DIA</v>
          </cell>
        </row>
        <row r="2002">
          <cell r="C2002">
            <v>3001981</v>
          </cell>
          <cell r="D2002" t="str">
            <v>ESTUDO E PROJETO EM ENGENHARIA</v>
          </cell>
          <cell r="E2002" t="str">
            <v>H</v>
          </cell>
        </row>
        <row r="2003">
          <cell r="C2003">
            <v>3001982</v>
          </cell>
          <cell r="D2003" t="str">
            <v>ESTUDO E PROJETO EM ENGENHARIA</v>
          </cell>
          <cell r="E2003" t="str">
            <v>HA</v>
          </cell>
        </row>
        <row r="2004">
          <cell r="C2004">
            <v>3001983</v>
          </cell>
          <cell r="D2004" t="str">
            <v>ESTUDO E PROJETO EM ENGENHARIA</v>
          </cell>
          <cell r="E2004" t="str">
            <v>KG</v>
          </cell>
        </row>
        <row r="2005">
          <cell r="C2005">
            <v>3001984</v>
          </cell>
          <cell r="D2005" t="str">
            <v>ESTUDO E PROJETO EM ENGENHARIA</v>
          </cell>
          <cell r="E2005" t="str">
            <v>KM2</v>
          </cell>
        </row>
        <row r="2006">
          <cell r="C2006">
            <v>3001985</v>
          </cell>
          <cell r="D2006" t="str">
            <v>ESTUDO E PROJETO EM ENGENHARIA</v>
          </cell>
          <cell r="E2006" t="str">
            <v>KMS</v>
          </cell>
        </row>
        <row r="2007">
          <cell r="C2007">
            <v>3001986</v>
          </cell>
          <cell r="D2007" t="str">
            <v>ESTUDO E PROJETO EM ENGENHARIA</v>
          </cell>
          <cell r="E2007" t="str">
            <v>M</v>
          </cell>
        </row>
        <row r="2008">
          <cell r="C2008">
            <v>3001987</v>
          </cell>
          <cell r="D2008" t="str">
            <v>ESTUDO E PROJETO EM ENGENHARIA</v>
          </cell>
          <cell r="E2008" t="str">
            <v>M2</v>
          </cell>
        </row>
        <row r="2009">
          <cell r="C2009">
            <v>3001988</v>
          </cell>
          <cell r="D2009" t="str">
            <v>ESTUDO E PROJETO EM ENGENHARIA</v>
          </cell>
          <cell r="E2009" t="str">
            <v>MES</v>
          </cell>
        </row>
        <row r="2010">
          <cell r="C2010">
            <v>3001989</v>
          </cell>
          <cell r="D2010" t="str">
            <v>ESTUDO E PROJETO EM ENGENHARIA</v>
          </cell>
          <cell r="E2010" t="str">
            <v>SV</v>
          </cell>
        </row>
        <row r="2011">
          <cell r="C2011">
            <v>3001990</v>
          </cell>
          <cell r="D2011" t="str">
            <v>ESTUDO E PROJETO EM ENGENHARIA</v>
          </cell>
          <cell r="E2011" t="str">
            <v>UN</v>
          </cell>
        </row>
        <row r="2012">
          <cell r="C2012">
            <v>3001991</v>
          </cell>
          <cell r="D2012" t="str">
            <v>ESTUDO E PROJETO EQUIP CALDEIRARIA</v>
          </cell>
          <cell r="E2012" t="str">
            <v>UN</v>
          </cell>
        </row>
        <row r="2013">
          <cell r="C2013">
            <v>3001992</v>
          </cell>
          <cell r="D2013" t="str">
            <v>ESTUDO E PROJETO MEIO AMBIENTE RCA;PCA</v>
          </cell>
          <cell r="E2013" t="str">
            <v>DIA</v>
          </cell>
        </row>
        <row r="2014">
          <cell r="C2014">
            <v>3001993</v>
          </cell>
          <cell r="D2014" t="str">
            <v>ELAB PLANOS DIRETORES,ESTUDOS OBRAS,ENG</v>
          </cell>
          <cell r="E2014" t="str">
            <v>SV</v>
          </cell>
        </row>
        <row r="2015">
          <cell r="C2015">
            <v>3001994</v>
          </cell>
          <cell r="D2015" t="str">
            <v>ESTUDO E PROJETO MEIO AMBIENTE RCA;PCA</v>
          </cell>
          <cell r="E2015" t="str">
            <v>UN</v>
          </cell>
        </row>
        <row r="2016">
          <cell r="C2016">
            <v>3001995</v>
          </cell>
          <cell r="D2016" t="str">
            <v>ESTUDO E PROJETO REPOTENCIAMENTO EQUIP</v>
          </cell>
          <cell r="E2016" t="str">
            <v>H</v>
          </cell>
        </row>
        <row r="2017">
          <cell r="C2017">
            <v>3001996</v>
          </cell>
          <cell r="D2017" t="str">
            <v>ESTUDO E PROJETO REPOTENCIAMENTO EQUIP</v>
          </cell>
          <cell r="E2017" t="str">
            <v>UN</v>
          </cell>
        </row>
        <row r="2018">
          <cell r="C2018">
            <v>3001997</v>
          </cell>
          <cell r="D2018" t="str">
            <v>ESTUDO E PROJETO SISTEMA AR CONDICIONADO</v>
          </cell>
          <cell r="E2018" t="str">
            <v>KMS</v>
          </cell>
        </row>
        <row r="2019">
          <cell r="C2019">
            <v>3001998</v>
          </cell>
          <cell r="D2019" t="str">
            <v>ESTUDO E PROJETO SISTEMA AR CONDICIONADO</v>
          </cell>
          <cell r="E2019" t="str">
            <v>SV</v>
          </cell>
        </row>
        <row r="2020">
          <cell r="C2020">
            <v>3001999</v>
          </cell>
          <cell r="D2020" t="str">
            <v>ESTUDO E PROJETO SISTEMA AR CONDICIONADO</v>
          </cell>
          <cell r="E2020" t="str">
            <v>UN</v>
          </cell>
        </row>
        <row r="2021">
          <cell r="C2021">
            <v>3002000</v>
          </cell>
          <cell r="D2021" t="str">
            <v>ESTUDOS E PRJ INDUSTRIAIS - SEM EXECUÇÃO</v>
          </cell>
          <cell r="E2021" t="str">
            <v>H</v>
          </cell>
        </row>
        <row r="2022">
          <cell r="C2022">
            <v>3002001</v>
          </cell>
          <cell r="D2022" t="str">
            <v>ESTUDOS E PRJ INDUSTRIAIS - SEM EXECUÇÃO</v>
          </cell>
          <cell r="E2022" t="str">
            <v>KMS</v>
          </cell>
        </row>
        <row r="2023">
          <cell r="C2023">
            <v>3002002</v>
          </cell>
          <cell r="D2023" t="str">
            <v>ESTUDOS E PRJ INDUSTRIAIS - SEM EXECUÇÃO</v>
          </cell>
          <cell r="E2023" t="str">
            <v>M</v>
          </cell>
        </row>
        <row r="2024">
          <cell r="C2024">
            <v>3002003</v>
          </cell>
          <cell r="D2024" t="str">
            <v>ESTUDOS E PRJ INDUSTRIAIS - SEM EXECUÇÃO</v>
          </cell>
          <cell r="E2024" t="str">
            <v>S</v>
          </cell>
        </row>
        <row r="2025">
          <cell r="C2025">
            <v>3002004</v>
          </cell>
          <cell r="D2025" t="str">
            <v>ESTUDOS E PRJ INDUSTRIAIS - SEM EXECUÇÃO</v>
          </cell>
          <cell r="E2025" t="str">
            <v>SV</v>
          </cell>
        </row>
        <row r="2026">
          <cell r="C2026">
            <v>3002005</v>
          </cell>
          <cell r="D2026" t="str">
            <v>ESTUDOS E PRJ INDUSTRIAIS - SEM EXECUÇÃO</v>
          </cell>
          <cell r="E2026" t="str">
            <v>UN</v>
          </cell>
        </row>
        <row r="2027">
          <cell r="C2027">
            <v>3002006</v>
          </cell>
          <cell r="D2027" t="str">
            <v>ESTUDOS E PROJETOS AMBIENTAIS – OUTROS</v>
          </cell>
          <cell r="E2027" t="str">
            <v>UN</v>
          </cell>
        </row>
        <row r="2028">
          <cell r="C2028">
            <v>3002007</v>
          </cell>
          <cell r="D2028" t="str">
            <v>ESTUDOS E PROJETOS CIVIS - SEM EXECUÇÃO</v>
          </cell>
          <cell r="E2028" t="str">
            <v>H</v>
          </cell>
        </row>
        <row r="2029">
          <cell r="C2029">
            <v>3002008</v>
          </cell>
          <cell r="D2029" t="str">
            <v>ESTUDOS E PROJETOS CIVIS - SEM EXECUÇÃO</v>
          </cell>
          <cell r="E2029" t="str">
            <v>SV</v>
          </cell>
        </row>
        <row r="2030">
          <cell r="C2030">
            <v>3002009</v>
          </cell>
          <cell r="D2030" t="str">
            <v>ESTUDOS E PROJETOS CIVIS - SEM EXECUÇÃO</v>
          </cell>
          <cell r="E2030" t="str">
            <v>UN</v>
          </cell>
        </row>
        <row r="2031">
          <cell r="C2031">
            <v>3002010</v>
          </cell>
          <cell r="D2031" t="str">
            <v>ESTUDOS E PROJETOS GEOTECNIA - SEM EXEC</v>
          </cell>
          <cell r="E2031" t="str">
            <v>H</v>
          </cell>
        </row>
        <row r="2032">
          <cell r="C2032">
            <v>3002011</v>
          </cell>
          <cell r="D2032" t="str">
            <v>ESTUDOS E PROJETOS GEOTECNIA - SEM EXEC</v>
          </cell>
          <cell r="E2032" t="str">
            <v>HA</v>
          </cell>
        </row>
        <row r="2033">
          <cell r="C2033">
            <v>3002012</v>
          </cell>
          <cell r="D2033" t="str">
            <v>ESTUDOS E PROJETOS GEOTECNIA - SEM EXEC</v>
          </cell>
          <cell r="E2033" t="str">
            <v>KMS</v>
          </cell>
        </row>
        <row r="2034">
          <cell r="C2034">
            <v>3002013</v>
          </cell>
          <cell r="D2034" t="str">
            <v>ESTUDOS E PROJETOS GEOTECNIA - SEM EXEC</v>
          </cell>
          <cell r="E2034" t="str">
            <v>MES</v>
          </cell>
        </row>
        <row r="2035">
          <cell r="C2035">
            <v>3002014</v>
          </cell>
          <cell r="D2035" t="str">
            <v>ESTUDOS E PROJETOS GEOTECNIA - SEM EXEC</v>
          </cell>
          <cell r="E2035" t="str">
            <v>SV</v>
          </cell>
        </row>
        <row r="2036">
          <cell r="C2036">
            <v>3002015</v>
          </cell>
          <cell r="D2036" t="str">
            <v>ESTUDOS E PROJETOS GEOTECNIA - SEM EXEC</v>
          </cell>
          <cell r="E2036" t="str">
            <v>TO</v>
          </cell>
        </row>
        <row r="2037">
          <cell r="C2037">
            <v>3002016</v>
          </cell>
          <cell r="D2037" t="str">
            <v>ESTUDOS E PROJETOS GEOTECNIA - SEM EXEC</v>
          </cell>
          <cell r="E2037" t="str">
            <v>UN</v>
          </cell>
        </row>
        <row r="2038">
          <cell r="C2038">
            <v>3002017</v>
          </cell>
          <cell r="D2038" t="str">
            <v>ESTUDOS E PROJETOS HIDROLOGIA - SEM EXEC</v>
          </cell>
          <cell r="E2038" t="str">
            <v>H</v>
          </cell>
        </row>
        <row r="2039">
          <cell r="C2039">
            <v>3002018</v>
          </cell>
          <cell r="D2039" t="str">
            <v>ESTUDOS E PROJETOS HIDROLOGIA - SEM EXEC</v>
          </cell>
          <cell r="E2039" t="str">
            <v>HA</v>
          </cell>
        </row>
        <row r="2040">
          <cell r="C2040">
            <v>3002019</v>
          </cell>
          <cell r="D2040" t="str">
            <v>ESTUDOS E PROJETOS HIDROLOGIA - SEM EXEC</v>
          </cell>
          <cell r="E2040" t="str">
            <v>MES</v>
          </cell>
        </row>
        <row r="2041">
          <cell r="C2041">
            <v>3002020</v>
          </cell>
          <cell r="D2041" t="str">
            <v>ESTUDOS E PROJETOS HIDROLOGIA - SEM EXEC</v>
          </cell>
          <cell r="E2041" t="str">
            <v>SV</v>
          </cell>
        </row>
        <row r="2042">
          <cell r="C2042">
            <v>3002021</v>
          </cell>
          <cell r="D2042" t="str">
            <v>ESTUDOS E PROJETOS HIDROLOGIA - SEM EXEC</v>
          </cell>
          <cell r="E2042" t="str">
            <v>UN</v>
          </cell>
        </row>
        <row r="2043">
          <cell r="C2043">
            <v>3002022</v>
          </cell>
          <cell r="D2043" t="str">
            <v>ESTUDOS ORGANIZ RELAC C OBRAS E SRV ENG</v>
          </cell>
          <cell r="E2043" t="str">
            <v>SV</v>
          </cell>
        </row>
        <row r="2044">
          <cell r="C2044">
            <v>3002023</v>
          </cell>
          <cell r="D2044" t="str">
            <v>ESTUDOS ORGANIZ RELAC C OBRAS E SRV ENG</v>
          </cell>
          <cell r="E2044" t="str">
            <v>UN</v>
          </cell>
        </row>
        <row r="2045">
          <cell r="C2045">
            <v>3002024</v>
          </cell>
          <cell r="D2045" t="str">
            <v>ESTUDOS VIABILID RELAC C OBRAS E SRV ENG</v>
          </cell>
          <cell r="E2045" t="str">
            <v>DIA</v>
          </cell>
        </row>
        <row r="2046">
          <cell r="C2046">
            <v>3002025</v>
          </cell>
          <cell r="D2046" t="str">
            <v>ESTUDOS VIABILID RELAC C OBRAS E SRV ENG</v>
          </cell>
          <cell r="E2046" t="str">
            <v>H</v>
          </cell>
        </row>
        <row r="2047">
          <cell r="C2047">
            <v>3002026</v>
          </cell>
          <cell r="D2047" t="str">
            <v>ESTUDOS VIABILID RELAC C OBRAS E SRV ENG</v>
          </cell>
          <cell r="E2047" t="str">
            <v>MES</v>
          </cell>
        </row>
        <row r="2048">
          <cell r="C2048">
            <v>3002027</v>
          </cell>
          <cell r="D2048" t="str">
            <v>ELAB PLANOS DIRETORES,ESTUDOS OBRAS,ENG</v>
          </cell>
          <cell r="E2048" t="str">
            <v>SV</v>
          </cell>
        </row>
        <row r="2049">
          <cell r="C2049">
            <v>3002028</v>
          </cell>
          <cell r="D2049" t="str">
            <v>ESTUDOS VIABILID RELAC C OBRAS E SRV ENG</v>
          </cell>
          <cell r="E2049" t="str">
            <v>UN</v>
          </cell>
        </row>
        <row r="2050">
          <cell r="C2050">
            <v>3002029</v>
          </cell>
          <cell r="D2050" t="str">
            <v>ESTUFAGEM CONTÊINER</v>
          </cell>
          <cell r="E2050" t="str">
            <v>UN</v>
          </cell>
        </row>
        <row r="2051">
          <cell r="C2051">
            <v>3002030</v>
          </cell>
          <cell r="D2051" t="str">
            <v>EXECUÇÃO DE MÚSICA</v>
          </cell>
          <cell r="E2051" t="str">
            <v>UN</v>
          </cell>
        </row>
        <row r="2052">
          <cell r="C2052">
            <v>3002031</v>
          </cell>
          <cell r="D2052" t="str">
            <v>EXEC PROJETO REPOTENCIAMENTO E ELETROMEC</v>
          </cell>
          <cell r="E2052" t="str">
            <v>UN</v>
          </cell>
        </row>
        <row r="2053">
          <cell r="C2053">
            <v>3002032</v>
          </cell>
          <cell r="D2053" t="str">
            <v>SERVICO DE COACHING EXECUTIVO</v>
          </cell>
          <cell r="E2053" t="str">
            <v>DIA</v>
          </cell>
        </row>
        <row r="2054">
          <cell r="C2054">
            <v>3002033</v>
          </cell>
          <cell r="D2054" t="str">
            <v>INSTRUCAO, TREINAMENTO, PEDAGOG E EDUCAC</v>
          </cell>
          <cell r="E2054" t="str">
            <v>SV</v>
          </cell>
        </row>
        <row r="2055">
          <cell r="C2055">
            <v>3002034</v>
          </cell>
          <cell r="D2055" t="str">
            <v>SERVICO DE COACHING EXECUTIVO</v>
          </cell>
          <cell r="E2055" t="str">
            <v>UN</v>
          </cell>
        </row>
        <row r="2056">
          <cell r="C2056">
            <v>3002035</v>
          </cell>
          <cell r="D2056" t="str">
            <v>EXIB D ESPETACULO,DESTREZA INTELEC,CONG</v>
          </cell>
          <cell r="E2056" t="str">
            <v>SV</v>
          </cell>
        </row>
        <row r="2057">
          <cell r="C2057">
            <v>3002036</v>
          </cell>
          <cell r="D2057" t="str">
            <v>EXIBIÇÕES CINEMATOGRÁFICAS</v>
          </cell>
          <cell r="E2057" t="str">
            <v>UN</v>
          </cell>
        </row>
        <row r="2058">
          <cell r="C2058">
            <v>3002037</v>
          </cell>
          <cell r="D2058" t="str">
            <v>EXPLORAÇÃO E LAVRA DE MINÉRIOS E METAIS</v>
          </cell>
          <cell r="E2058" t="str">
            <v>DIA</v>
          </cell>
        </row>
        <row r="2059">
          <cell r="C2059">
            <v>3002038</v>
          </cell>
          <cell r="D2059" t="str">
            <v>EXPLORAÇÃO LOCAL EVENTO, NEGÓCIOS E CONG</v>
          </cell>
          <cell r="E2059" t="str">
            <v>DIA</v>
          </cell>
        </row>
        <row r="2060">
          <cell r="C2060">
            <v>3002039</v>
          </cell>
          <cell r="D2060" t="str">
            <v>EXPLORAÇÃO LOCAL EVENTO, NEGÓCIOS E CONG</v>
          </cell>
          <cell r="E2060" t="str">
            <v>MES</v>
          </cell>
        </row>
        <row r="2061">
          <cell r="C2061">
            <v>3002040</v>
          </cell>
          <cell r="D2061" t="str">
            <v>EXPLORAÇÃO LOCAL EVENTO, NEGÓCIOS E CONG</v>
          </cell>
          <cell r="E2061" t="str">
            <v>SV</v>
          </cell>
        </row>
        <row r="2062">
          <cell r="C2062">
            <v>3002041</v>
          </cell>
          <cell r="D2062" t="str">
            <v>EXPLORAÇÃO LOCAL EVENTO, NEGÓCIOS E CONG</v>
          </cell>
          <cell r="E2062" t="str">
            <v>UN</v>
          </cell>
        </row>
        <row r="2063">
          <cell r="C2063">
            <v>3002042</v>
          </cell>
          <cell r="D2063" t="str">
            <v>EXTRAÇÃO, REMOÇÃO MINERIO E METAIS</v>
          </cell>
          <cell r="E2063" t="str">
            <v>H</v>
          </cell>
        </row>
        <row r="2064">
          <cell r="C2064">
            <v>3002043</v>
          </cell>
          <cell r="D2064" t="str">
            <v>EXTRAÇÃO, REMOÇÃO MINERIO E METAIS</v>
          </cell>
          <cell r="E2064" t="str">
            <v>MES</v>
          </cell>
        </row>
        <row r="2065">
          <cell r="C2065">
            <v>3002044</v>
          </cell>
          <cell r="D2065" t="str">
            <v>EXTRAÇÃO, REMOÇÃO MINERIO E METAIS</v>
          </cell>
          <cell r="E2065" t="str">
            <v>UN</v>
          </cell>
        </row>
        <row r="2066">
          <cell r="C2066">
            <v>3002045</v>
          </cell>
          <cell r="D2066" t="str">
            <v>FÁBRICA DE SOFTWARE</v>
          </cell>
          <cell r="E2066" t="str">
            <v>H</v>
          </cell>
        </row>
        <row r="2067">
          <cell r="C2067">
            <v>3002046</v>
          </cell>
          <cell r="D2067" t="str">
            <v>PROGRAMACAO</v>
          </cell>
          <cell r="E2067" t="str">
            <v>SV</v>
          </cell>
        </row>
        <row r="2068">
          <cell r="C2068">
            <v>3002047</v>
          </cell>
          <cell r="D2068" t="str">
            <v>FÁBRICA DE SOFTWARE</v>
          </cell>
          <cell r="E2068" t="str">
            <v>UN</v>
          </cell>
        </row>
        <row r="2069">
          <cell r="C2069">
            <v>3002048</v>
          </cell>
          <cell r="D2069" t="str">
            <v>FEIRAS, EXPOSIÇÕES, CONGRESSOS E CONG</v>
          </cell>
          <cell r="E2069" t="str">
            <v>UN</v>
          </cell>
        </row>
        <row r="2070">
          <cell r="C2070">
            <v>3002049</v>
          </cell>
          <cell r="D2070" t="str">
            <v>FERROVIA - VAGÕES DE PASSAGEIROS</v>
          </cell>
          <cell r="E2070" t="str">
            <v>UN</v>
          </cell>
        </row>
        <row r="2071">
          <cell r="C2071">
            <v>3002050</v>
          </cell>
          <cell r="D2071" t="str">
            <v>FERROVIA - VIAS DE ACESSO</v>
          </cell>
          <cell r="E2071" t="str">
            <v>UN</v>
          </cell>
        </row>
        <row r="2072">
          <cell r="C2072">
            <v>3002051</v>
          </cell>
          <cell r="D2072" t="str">
            <v>FONOGRAFIA OU GRAVACAO DE SONS E CONG</v>
          </cell>
          <cell r="E2072" t="str">
            <v>SV</v>
          </cell>
        </row>
        <row r="2073">
          <cell r="C2073">
            <v>3002052</v>
          </cell>
          <cell r="D2073" t="str">
            <v>FONOGRAFIA E SIMILARES</v>
          </cell>
          <cell r="E2073" t="str">
            <v>UN</v>
          </cell>
        </row>
        <row r="2074">
          <cell r="C2074">
            <v>3002053</v>
          </cell>
          <cell r="D2074" t="str">
            <v>FORJARIA PEÃ‡AS EM AÃ‡O CARBONO MÃ‰DIA</v>
          </cell>
          <cell r="E2074" t="str">
            <v>UN</v>
          </cell>
        </row>
        <row r="2075">
          <cell r="C2075">
            <v>3002054</v>
          </cell>
          <cell r="D2075" t="str">
            <v>FORJARIA</v>
          </cell>
          <cell r="E2075" t="str">
            <v>UN</v>
          </cell>
        </row>
        <row r="2076">
          <cell r="C2076">
            <v>3002055</v>
          </cell>
          <cell r="D2076" t="str">
            <v>FORNEC CONCRETO E ARGAMASSA USINADA</v>
          </cell>
          <cell r="E2076" t="str">
            <v>dm3</v>
          </cell>
        </row>
        <row r="2077">
          <cell r="C2077">
            <v>3002056</v>
          </cell>
          <cell r="D2077" t="str">
            <v>FORNEC CONCRETO E ARGAMASSA USINADA</v>
          </cell>
          <cell r="E2077" t="str">
            <v>H</v>
          </cell>
        </row>
        <row r="2078">
          <cell r="C2078">
            <v>3002057</v>
          </cell>
          <cell r="D2078" t="str">
            <v>FORNEC CONCRETO E ARGAMASSA USINADA</v>
          </cell>
          <cell r="E2078" t="str">
            <v>KG</v>
          </cell>
        </row>
        <row r="2079">
          <cell r="C2079">
            <v>3002058</v>
          </cell>
          <cell r="D2079" t="str">
            <v>FORNEC CONCRETO E ARGAMASSA USINADA</v>
          </cell>
          <cell r="E2079" t="str">
            <v>L</v>
          </cell>
        </row>
        <row r="2080">
          <cell r="C2080">
            <v>3002059</v>
          </cell>
          <cell r="D2080" t="str">
            <v>FORNEC CONCRETO E ARGAMASSA USINADA</v>
          </cell>
          <cell r="E2080" t="str">
            <v>M</v>
          </cell>
        </row>
        <row r="2081">
          <cell r="C2081">
            <v>3002060</v>
          </cell>
          <cell r="D2081" t="str">
            <v>FORNEC CONCRETO E ARGAMASSA USINADA</v>
          </cell>
          <cell r="E2081" t="str">
            <v>M2</v>
          </cell>
        </row>
        <row r="2082">
          <cell r="C2082">
            <v>3002061</v>
          </cell>
          <cell r="D2082" t="str">
            <v>FORNEC CONCRETO E ARGAMASSA USINADA</v>
          </cell>
          <cell r="E2082" t="str">
            <v>M3</v>
          </cell>
        </row>
        <row r="2083">
          <cell r="C2083">
            <v>3002062</v>
          </cell>
          <cell r="D2083" t="str">
            <v>FORNEC CONCRETO E ARGAMASSA USINADA</v>
          </cell>
          <cell r="E2083" t="str">
            <v>PC</v>
          </cell>
        </row>
        <row r="2084">
          <cell r="C2084">
            <v>3002063</v>
          </cell>
          <cell r="D2084" t="str">
            <v>FORNEC CONCRETO E ARGAMASSA USINADA</v>
          </cell>
          <cell r="E2084" t="str">
            <v>SV</v>
          </cell>
        </row>
        <row r="2085">
          <cell r="C2085">
            <v>3002064</v>
          </cell>
          <cell r="D2085" t="str">
            <v>FORNEC CONCRETO E ARGAMASSA USINADA</v>
          </cell>
          <cell r="E2085" t="str">
            <v>TO</v>
          </cell>
        </row>
        <row r="2086">
          <cell r="C2086">
            <v>3002065</v>
          </cell>
          <cell r="D2086" t="str">
            <v>FORNEC CONCRETO E ARGAMASSA USINADA</v>
          </cell>
          <cell r="E2086" t="str">
            <v>UN</v>
          </cell>
        </row>
        <row r="2087">
          <cell r="C2087">
            <v>3002066</v>
          </cell>
          <cell r="D2087" t="str">
            <v>FORNECIMENTO ATESTADOS E SIMILARES</v>
          </cell>
          <cell r="E2087" t="str">
            <v>UN</v>
          </cell>
        </row>
        <row r="2088">
          <cell r="C2088">
            <v>3002067</v>
          </cell>
          <cell r="D2088" t="str">
            <v>FORNECIMENTO DE ÁGUA EM CAMINHÃO PIPA</v>
          </cell>
          <cell r="E2088" t="str">
            <v>H</v>
          </cell>
        </row>
        <row r="2089">
          <cell r="C2089">
            <v>3002068</v>
          </cell>
          <cell r="D2089" t="str">
            <v>FORNECIMENTO DE ÁGUA EM CAMINHÃO PIPA</v>
          </cell>
          <cell r="E2089" t="str">
            <v>L</v>
          </cell>
        </row>
        <row r="2090">
          <cell r="C2090">
            <v>3002069</v>
          </cell>
          <cell r="D2090" t="str">
            <v>FORNECIMENTO DE AGUA EM CAMINHAO PIPA</v>
          </cell>
          <cell r="E2090" t="str">
            <v>SV</v>
          </cell>
        </row>
        <row r="2091">
          <cell r="C2091">
            <v>3002070</v>
          </cell>
          <cell r="D2091" t="str">
            <v>FORNECIMENTO DE ÁGUA EM CAMINHÃO PIPA</v>
          </cell>
          <cell r="E2091" t="str">
            <v>UN</v>
          </cell>
        </row>
        <row r="2092">
          <cell r="C2092">
            <v>3002071</v>
          </cell>
          <cell r="D2092" t="str">
            <v>FOTOGRAFIA E VÍDEO</v>
          </cell>
          <cell r="E2092" t="str">
            <v>DIA</v>
          </cell>
        </row>
        <row r="2093">
          <cell r="C2093">
            <v>3002072</v>
          </cell>
          <cell r="D2093" t="str">
            <v>FOTOGRAFIA E VÍDEO</v>
          </cell>
          <cell r="E2093" t="str">
            <v>H</v>
          </cell>
        </row>
        <row r="2094">
          <cell r="C2094">
            <v>3002073</v>
          </cell>
          <cell r="D2094" t="str">
            <v>FOTOGRAFIA E VÍDEO</v>
          </cell>
          <cell r="E2094" t="str">
            <v>MES</v>
          </cell>
        </row>
        <row r="2095">
          <cell r="C2095">
            <v>3002074</v>
          </cell>
          <cell r="D2095" t="str">
            <v>FOTOGRAFIA E VÍDEO</v>
          </cell>
          <cell r="E2095" t="str">
            <v>PC</v>
          </cell>
        </row>
        <row r="2096">
          <cell r="C2096">
            <v>3002075</v>
          </cell>
          <cell r="D2096" t="str">
            <v>FOTOGRAFIA E VÍDEO</v>
          </cell>
          <cell r="E2096" t="str">
            <v>SV</v>
          </cell>
        </row>
        <row r="2097">
          <cell r="C2097">
            <v>3002076</v>
          </cell>
          <cell r="D2097" t="str">
            <v>FOTOGRAFIA E VÍDEO</v>
          </cell>
          <cell r="E2097" t="str">
            <v>UN</v>
          </cell>
        </row>
        <row r="2098">
          <cell r="C2098">
            <v>3002077</v>
          </cell>
          <cell r="D2098" t="str">
            <v>FOTOGRAFIA, CINEMATOGRAFIA E SIMILARES</v>
          </cell>
          <cell r="E2098" t="str">
            <v>DIA</v>
          </cell>
        </row>
        <row r="2099">
          <cell r="C2099">
            <v>3002078</v>
          </cell>
          <cell r="D2099" t="str">
            <v>FOTOGRAFIA, CINEMATOGRAFIA E SIMILARES</v>
          </cell>
          <cell r="E2099" t="str">
            <v>H</v>
          </cell>
        </row>
        <row r="2100">
          <cell r="C2100">
            <v>3002079</v>
          </cell>
          <cell r="D2100" t="str">
            <v>FOTOGRAFIA, CINEMATOGRAFIA E SIMILARES</v>
          </cell>
          <cell r="E2100" t="str">
            <v>KMS</v>
          </cell>
        </row>
        <row r="2101">
          <cell r="C2101">
            <v>3002080</v>
          </cell>
          <cell r="D2101" t="str">
            <v>FOTOGRAFIA, CINEMATOGRAFIA E SIMILARES</v>
          </cell>
          <cell r="E2101" t="str">
            <v>MES</v>
          </cell>
        </row>
        <row r="2102">
          <cell r="C2102">
            <v>3002081</v>
          </cell>
          <cell r="D2102" t="str">
            <v>FOTOGRAFIA E CINEMATOGRAFIA</v>
          </cell>
          <cell r="E2102" t="str">
            <v>SV</v>
          </cell>
        </row>
        <row r="2103">
          <cell r="C2103">
            <v>3002082</v>
          </cell>
          <cell r="D2103" t="str">
            <v>FOTOGRAFIA, CINEMATOGRAFIA E SIMILARES</v>
          </cell>
          <cell r="E2103" t="str">
            <v>UN</v>
          </cell>
        </row>
        <row r="2104">
          <cell r="C2104">
            <v>3002083</v>
          </cell>
          <cell r="D2104" t="str">
            <v>FRETAMENTO DE ÔNIBUS DE TURISMO</v>
          </cell>
          <cell r="E2104" t="str">
            <v>H</v>
          </cell>
        </row>
        <row r="2105">
          <cell r="C2105">
            <v>3002084</v>
          </cell>
          <cell r="D2105" t="str">
            <v>FRETAMENTO DE ÔNIBUS DE TURISMO</v>
          </cell>
          <cell r="E2105" t="str">
            <v>KMS</v>
          </cell>
        </row>
        <row r="2106">
          <cell r="C2106">
            <v>3002085</v>
          </cell>
          <cell r="D2106" t="str">
            <v>FRETAMENTO DE ÔNIBUS DE TURISMO</v>
          </cell>
          <cell r="E2106" t="str">
            <v>UN</v>
          </cell>
        </row>
        <row r="2107">
          <cell r="C2107">
            <v>3002086</v>
          </cell>
          <cell r="D2107" t="str">
            <v>FRETAMENTO DE VEÍCULOS COM OPERAÇÃO.</v>
          </cell>
          <cell r="E2107" t="str">
            <v>UN</v>
          </cell>
        </row>
        <row r="2108">
          <cell r="C2108">
            <v>3002087</v>
          </cell>
          <cell r="D2108" t="str">
            <v>FUNDIÇÃO</v>
          </cell>
          <cell r="E2108" t="str">
            <v>UN</v>
          </cell>
        </row>
        <row r="2109">
          <cell r="C2109">
            <v>3002088</v>
          </cell>
          <cell r="D2109" t="str">
            <v>FUNILARIA E LANTERNAGEM</v>
          </cell>
          <cell r="E2109" t="str">
            <v>UN</v>
          </cell>
        </row>
        <row r="2110">
          <cell r="C2110">
            <v>3002089</v>
          </cell>
          <cell r="D2110" t="str">
            <v>RESTAUR,PINT,CROMAG,BENEF,TING,GALV</v>
          </cell>
          <cell r="E2110" t="str">
            <v>SV</v>
          </cell>
        </row>
        <row r="2111">
          <cell r="C2111">
            <v>3002090</v>
          </cell>
          <cell r="D2111" t="str">
            <v>GEODÉSICOS E GEOLÓGICOS E CONGÊNERES</v>
          </cell>
          <cell r="E2111" t="str">
            <v>HA</v>
          </cell>
        </row>
        <row r="2112">
          <cell r="C2112">
            <v>3002091</v>
          </cell>
          <cell r="D2112" t="str">
            <v>GEODÉSICOS E GEOLÓGICOS E CONGÊNERES</v>
          </cell>
          <cell r="E2112" t="str">
            <v>UN</v>
          </cell>
        </row>
        <row r="2113">
          <cell r="C2113">
            <v>3002092</v>
          </cell>
          <cell r="D2113" t="str">
            <v>GEOFÍS E IMAG VIA SAT C INTERPR E CONG</v>
          </cell>
          <cell r="E2113" t="str">
            <v>HA</v>
          </cell>
        </row>
        <row r="2114">
          <cell r="C2114">
            <v>3002093</v>
          </cell>
          <cell r="D2114" t="str">
            <v>GEOFÍS E IMAG VIA SAT C INTERPR E CONG</v>
          </cell>
          <cell r="E2114" t="str">
            <v>KM2</v>
          </cell>
        </row>
        <row r="2115">
          <cell r="C2115">
            <v>3002094</v>
          </cell>
          <cell r="D2115" t="str">
            <v>GEOFÍS E IMAG VIA SAT C INTERPR E CONG</v>
          </cell>
          <cell r="E2115" t="str">
            <v>UN</v>
          </cell>
        </row>
        <row r="2116">
          <cell r="C2116">
            <v>3002095</v>
          </cell>
          <cell r="D2116" t="str">
            <v>GEOFÍSICA</v>
          </cell>
          <cell r="E2116" t="str">
            <v>DIA</v>
          </cell>
        </row>
        <row r="2117">
          <cell r="C2117">
            <v>3002096</v>
          </cell>
          <cell r="D2117" t="str">
            <v>GEOFÍSICA</v>
          </cell>
          <cell r="E2117" t="str">
            <v>KG</v>
          </cell>
        </row>
        <row r="2118">
          <cell r="C2118">
            <v>3002097</v>
          </cell>
          <cell r="D2118" t="str">
            <v>GEOFÍSICA</v>
          </cell>
          <cell r="E2118" t="str">
            <v>KMS</v>
          </cell>
        </row>
        <row r="2119">
          <cell r="C2119">
            <v>3002098</v>
          </cell>
          <cell r="D2119" t="str">
            <v>GEOFÍSICA</v>
          </cell>
          <cell r="E2119" t="str">
            <v>M</v>
          </cell>
        </row>
        <row r="2120">
          <cell r="C2120">
            <v>3002099</v>
          </cell>
          <cell r="D2120" t="str">
            <v>GEOFÍSICA</v>
          </cell>
          <cell r="E2120" t="str">
            <v>SV</v>
          </cell>
        </row>
        <row r="2121">
          <cell r="C2121">
            <v>3002100</v>
          </cell>
          <cell r="D2121" t="str">
            <v>GEOFÍSICA</v>
          </cell>
          <cell r="E2121" t="str">
            <v>UN</v>
          </cell>
        </row>
        <row r="2122">
          <cell r="C2122">
            <v>3002101</v>
          </cell>
          <cell r="D2122" t="str">
            <v>GEOLOGIA</v>
          </cell>
          <cell r="E2122" t="str">
            <v>DIA</v>
          </cell>
        </row>
        <row r="2123">
          <cell r="C2123">
            <v>3002102</v>
          </cell>
          <cell r="D2123" t="str">
            <v>GEOLOGIA</v>
          </cell>
          <cell r="E2123" t="str">
            <v>H</v>
          </cell>
        </row>
        <row r="2124">
          <cell r="C2124">
            <v>3002103</v>
          </cell>
          <cell r="D2124" t="str">
            <v>GEOLOGIA</v>
          </cell>
          <cell r="E2124" t="str">
            <v>JG</v>
          </cell>
        </row>
        <row r="2125">
          <cell r="C2125">
            <v>3002104</v>
          </cell>
          <cell r="D2125" t="str">
            <v>GEOLOGIA</v>
          </cell>
          <cell r="E2125" t="str">
            <v>KMS</v>
          </cell>
        </row>
        <row r="2126">
          <cell r="C2126">
            <v>3002105</v>
          </cell>
          <cell r="D2126" t="str">
            <v>GEOLOGIA</v>
          </cell>
          <cell r="E2126" t="str">
            <v>M</v>
          </cell>
        </row>
        <row r="2127">
          <cell r="C2127">
            <v>3002106</v>
          </cell>
          <cell r="D2127" t="str">
            <v>GEOLOGIA</v>
          </cell>
          <cell r="E2127" t="str">
            <v>M2</v>
          </cell>
        </row>
        <row r="2128">
          <cell r="C2128">
            <v>3002107</v>
          </cell>
          <cell r="D2128" t="str">
            <v>GEOLOGIA</v>
          </cell>
          <cell r="E2128" t="str">
            <v>M3</v>
          </cell>
        </row>
        <row r="2129">
          <cell r="C2129">
            <v>3002108</v>
          </cell>
          <cell r="D2129" t="str">
            <v>GEOLOGIA</v>
          </cell>
          <cell r="E2129" t="str">
            <v>MES</v>
          </cell>
        </row>
        <row r="2130">
          <cell r="C2130">
            <v>3002109</v>
          </cell>
          <cell r="D2130" t="str">
            <v>GEOLOGIA</v>
          </cell>
          <cell r="E2130" t="str">
            <v>PC</v>
          </cell>
        </row>
        <row r="2131">
          <cell r="C2131">
            <v>3002110</v>
          </cell>
          <cell r="D2131" t="str">
            <v>GEOLOGIA</v>
          </cell>
          <cell r="E2131" t="str">
            <v>SV</v>
          </cell>
        </row>
        <row r="2132">
          <cell r="C2132">
            <v>3002111</v>
          </cell>
          <cell r="D2132" t="str">
            <v>GEOLOGIA</v>
          </cell>
          <cell r="E2132" t="str">
            <v>TO</v>
          </cell>
        </row>
        <row r="2133">
          <cell r="C2133">
            <v>3002112</v>
          </cell>
          <cell r="D2133" t="str">
            <v>GEOLOGIA</v>
          </cell>
          <cell r="E2133" t="str">
            <v>UN</v>
          </cell>
        </row>
        <row r="2134">
          <cell r="C2134">
            <v>3002113</v>
          </cell>
          <cell r="D2134" t="str">
            <v>GERENCIAMENTO DE AERONAVE</v>
          </cell>
          <cell r="E2134" t="str">
            <v>H</v>
          </cell>
        </row>
        <row r="2135">
          <cell r="C2135">
            <v>3002114</v>
          </cell>
          <cell r="D2135" t="str">
            <v>GERENCIAMENTO DE AERONAVE</v>
          </cell>
          <cell r="E2135" t="str">
            <v>MES</v>
          </cell>
        </row>
        <row r="2136">
          <cell r="C2136">
            <v>3002115</v>
          </cell>
          <cell r="D2136" t="str">
            <v>GERENCIAMENTO DE AERONAVE</v>
          </cell>
          <cell r="E2136" t="str">
            <v>SV</v>
          </cell>
        </row>
        <row r="2137">
          <cell r="C2137">
            <v>3002116</v>
          </cell>
          <cell r="D2137" t="str">
            <v>GERENCIAMENTO DE AERONAVE</v>
          </cell>
          <cell r="E2137" t="str">
            <v>UN</v>
          </cell>
        </row>
        <row r="2138">
          <cell r="C2138">
            <v>3002117</v>
          </cell>
          <cell r="D2138" t="str">
            <v>GERENCIAMENTO DE ENGENHARIA EM PROJETOS</v>
          </cell>
          <cell r="E2138" t="str">
            <v>H</v>
          </cell>
        </row>
        <row r="2139">
          <cell r="C2139">
            <v>3002118</v>
          </cell>
          <cell r="D2139" t="str">
            <v>GERENCIAMENTO DE ENGENHARIA EM PROJETOS</v>
          </cell>
          <cell r="E2139" t="str">
            <v>M</v>
          </cell>
        </row>
        <row r="2140">
          <cell r="C2140">
            <v>3002119</v>
          </cell>
          <cell r="D2140" t="str">
            <v>GERENCIAMENTO DE ENGENHARIA EM PROJETOS</v>
          </cell>
          <cell r="E2140" t="str">
            <v>MES</v>
          </cell>
        </row>
        <row r="2141">
          <cell r="C2141">
            <v>3002120</v>
          </cell>
          <cell r="D2141" t="str">
            <v>GERENCIAMENTO DE ENGENHARIA EM PROJETOS</v>
          </cell>
          <cell r="E2141" t="str">
            <v>SV</v>
          </cell>
        </row>
        <row r="2142">
          <cell r="C2142">
            <v>3002121</v>
          </cell>
          <cell r="D2142" t="str">
            <v>GERENCIAMENTO DE ENGENHARIA EM PROJETOS</v>
          </cell>
          <cell r="E2142" t="str">
            <v>SV</v>
          </cell>
        </row>
        <row r="2143">
          <cell r="C2143">
            <v>3002122</v>
          </cell>
          <cell r="D2143" t="str">
            <v>GERENCIAMENTO DE ENGENHARIA EM PROJETOS</v>
          </cell>
          <cell r="E2143" t="str">
            <v>UN</v>
          </cell>
        </row>
        <row r="2144">
          <cell r="C2144">
            <v>3002123</v>
          </cell>
          <cell r="D2144" t="str">
            <v>GERENCIAMENTO OBRAS/EMPREENDIMENTOS</v>
          </cell>
          <cell r="E2144" t="str">
            <v>H</v>
          </cell>
        </row>
        <row r="2145">
          <cell r="C2145">
            <v>3002124</v>
          </cell>
          <cell r="D2145" t="str">
            <v>GERENCIAMENTO OBRAS/EMPREENDIMENTOS</v>
          </cell>
          <cell r="E2145" t="str">
            <v>KG</v>
          </cell>
        </row>
        <row r="2146">
          <cell r="C2146">
            <v>3002125</v>
          </cell>
          <cell r="D2146" t="str">
            <v>GERENCIAMENTO OBRAS/EMPREENDIMENTOS</v>
          </cell>
          <cell r="E2146" t="str">
            <v>KMS</v>
          </cell>
        </row>
        <row r="2147">
          <cell r="C2147">
            <v>3002126</v>
          </cell>
          <cell r="D2147" t="str">
            <v>GERENCIAMENTO OBRAS/EMPREENDIMENTOS</v>
          </cell>
          <cell r="E2147" t="str">
            <v>MES</v>
          </cell>
        </row>
        <row r="2148">
          <cell r="C2148">
            <v>3002127</v>
          </cell>
          <cell r="D2148" t="str">
            <v>GERENCIAMENTO OBRAS/EMPREENDIMENTOS</v>
          </cell>
          <cell r="E2148" t="str">
            <v>SV</v>
          </cell>
        </row>
        <row r="2149">
          <cell r="C2149">
            <v>3002128</v>
          </cell>
          <cell r="D2149" t="str">
            <v>GERENCIAMENTO OBRAS/EMPREENDIMENTOS</v>
          </cell>
          <cell r="E2149" t="str">
            <v>UN</v>
          </cell>
        </row>
        <row r="2150">
          <cell r="C2150">
            <v>3002129</v>
          </cell>
          <cell r="D2150" t="str">
            <v>GERENCIAMENTO;FISCALIZAÇÃO;ACOMP</v>
          </cell>
          <cell r="E2150" t="str">
            <v>DIA</v>
          </cell>
        </row>
        <row r="2151">
          <cell r="C2151">
            <v>3002130</v>
          </cell>
          <cell r="D2151" t="str">
            <v>GERENCIAMENTO;FISCALIZAÇÃO;ACOMP</v>
          </cell>
          <cell r="E2151" t="str">
            <v>H</v>
          </cell>
        </row>
        <row r="2152">
          <cell r="C2152">
            <v>3002131</v>
          </cell>
          <cell r="D2152" t="str">
            <v>GERENCIAMENTO;FISCALIZAÇÃO;ACOMP</v>
          </cell>
          <cell r="E2152" t="str">
            <v>KMS</v>
          </cell>
        </row>
        <row r="2153">
          <cell r="C2153">
            <v>3002132</v>
          </cell>
          <cell r="D2153" t="str">
            <v>GERENCIAMENTO;FISCALIZAÇÃO;ACOMP</v>
          </cell>
          <cell r="E2153" t="str">
            <v>M</v>
          </cell>
        </row>
        <row r="2154">
          <cell r="C2154">
            <v>3002133</v>
          </cell>
          <cell r="D2154" t="str">
            <v>GERENCIAMENTO;FISCALIZAÇÃO;ACOMP</v>
          </cell>
          <cell r="E2154" t="str">
            <v>MES</v>
          </cell>
        </row>
        <row r="2155">
          <cell r="C2155">
            <v>3002134</v>
          </cell>
          <cell r="D2155" t="str">
            <v>ACOMP E FISCALIZACAO DA EXECUCAO D OBRAS</v>
          </cell>
          <cell r="E2155" t="str">
            <v>SV</v>
          </cell>
        </row>
        <row r="2156">
          <cell r="C2156">
            <v>3002135</v>
          </cell>
          <cell r="D2156" t="str">
            <v>GERENCIAMENTO;FISCALIZAÇÃO;ACOMP</v>
          </cell>
          <cell r="E2156" t="str">
            <v>UN</v>
          </cell>
        </row>
        <row r="2157">
          <cell r="C2157">
            <v>3002136</v>
          </cell>
          <cell r="D2157" t="str">
            <v>GESTÃO DE ARQUIVO DE DOCUMENTOS</v>
          </cell>
          <cell r="E2157" t="str">
            <v>CX</v>
          </cell>
        </row>
        <row r="2158">
          <cell r="C2158">
            <v>3002137</v>
          </cell>
          <cell r="D2158" t="str">
            <v>GESTÃO DE ARQUIVO DE DOCUMENTOS</v>
          </cell>
          <cell r="E2158" t="str">
            <v>DIA</v>
          </cell>
        </row>
        <row r="2159">
          <cell r="C2159">
            <v>3002138</v>
          </cell>
          <cell r="D2159" t="str">
            <v>GESTÃO DE ARQUIVO DE DOCUNENTOS</v>
          </cell>
          <cell r="E2159" t="str">
            <v>KG</v>
          </cell>
        </row>
        <row r="2160">
          <cell r="C2160">
            <v>3002139</v>
          </cell>
          <cell r="D2160" t="str">
            <v>GESTÃO DE ARQUIVO DE DOCUNENTOS</v>
          </cell>
          <cell r="E2160" t="str">
            <v>KMS</v>
          </cell>
        </row>
        <row r="2161">
          <cell r="C2161">
            <v>3002140</v>
          </cell>
          <cell r="D2161" t="str">
            <v>GESTÃO DE ARQUIVO DE DOCUMENTOS</v>
          </cell>
          <cell r="E2161" t="str">
            <v>MES</v>
          </cell>
        </row>
        <row r="2162">
          <cell r="C2162">
            <v>3002141</v>
          </cell>
          <cell r="D2162" t="str">
            <v>GESTÃO DE ARQUIVO DE DOCUMENTOS.</v>
          </cell>
          <cell r="E2162" t="str">
            <v>SV</v>
          </cell>
        </row>
        <row r="2163">
          <cell r="C2163">
            <v>3002142</v>
          </cell>
          <cell r="D2163" t="str">
            <v>GESTÃO DE ARQUIVO DE DOCUMENTOS</v>
          </cell>
          <cell r="E2163" t="str">
            <v>UN</v>
          </cell>
        </row>
        <row r="2164">
          <cell r="C2164">
            <v>3002143</v>
          </cell>
          <cell r="D2164" t="str">
            <v>GESTÃO DE MARCA</v>
          </cell>
          <cell r="E2164" t="str">
            <v>DIA</v>
          </cell>
        </row>
        <row r="2165">
          <cell r="C2165">
            <v>3002144</v>
          </cell>
          <cell r="D2165" t="str">
            <v>PROPAGANDA E PUBLICIDADE</v>
          </cell>
          <cell r="E2165" t="str">
            <v>SV</v>
          </cell>
        </row>
        <row r="2166">
          <cell r="C2166">
            <v>3002145</v>
          </cell>
          <cell r="D2166" t="str">
            <v>GESTÃO DE MARCA</v>
          </cell>
          <cell r="E2166" t="str">
            <v>MES</v>
          </cell>
        </row>
        <row r="2167">
          <cell r="C2167">
            <v>3002146</v>
          </cell>
          <cell r="D2167" t="str">
            <v>GESTÃO DE MARCA</v>
          </cell>
          <cell r="E2167" t="str">
            <v>UN</v>
          </cell>
        </row>
        <row r="2168">
          <cell r="C2168">
            <v>3002147</v>
          </cell>
          <cell r="D2168" t="str">
            <v>GESTÃO DE PNEUS</v>
          </cell>
          <cell r="E2168" t="str">
            <v>H</v>
          </cell>
        </row>
        <row r="2169">
          <cell r="C2169">
            <v>3002148</v>
          </cell>
          <cell r="D2169" t="str">
            <v>GESTÃO DE PNEUS</v>
          </cell>
          <cell r="E2169" t="str">
            <v>MES</v>
          </cell>
        </row>
        <row r="2170">
          <cell r="C2170">
            <v>3002149</v>
          </cell>
          <cell r="D2170" t="str">
            <v>GESTÃO DE PNEUS</v>
          </cell>
          <cell r="E2170" t="str">
            <v>UN</v>
          </cell>
        </row>
        <row r="2171">
          <cell r="C2171">
            <v>3002150</v>
          </cell>
          <cell r="D2171" t="str">
            <v>GESTÃƒO EVENTOS</v>
          </cell>
          <cell r="E2171" t="str">
            <v>CT</v>
          </cell>
        </row>
        <row r="2172">
          <cell r="C2172">
            <v>3002151</v>
          </cell>
          <cell r="D2172" t="str">
            <v>GESTÃƒO EVENTOS</v>
          </cell>
          <cell r="E2172" t="str">
            <v>DIA</v>
          </cell>
        </row>
        <row r="2173">
          <cell r="C2173">
            <v>3002152</v>
          </cell>
          <cell r="D2173" t="str">
            <v>GESTÃƒO EVENTOS</v>
          </cell>
          <cell r="E2173" t="str">
            <v>H</v>
          </cell>
        </row>
        <row r="2174">
          <cell r="C2174">
            <v>3002153</v>
          </cell>
          <cell r="D2174" t="str">
            <v>GESTÃƒO EVENTOS</v>
          </cell>
          <cell r="E2174" t="str">
            <v>JG</v>
          </cell>
        </row>
        <row r="2175">
          <cell r="C2175">
            <v>3002154</v>
          </cell>
          <cell r="D2175" t="str">
            <v>GESTÃƒO EVENTOS</v>
          </cell>
          <cell r="E2175" t="str">
            <v>M2</v>
          </cell>
        </row>
        <row r="2176">
          <cell r="C2176">
            <v>3002155</v>
          </cell>
          <cell r="D2176" t="str">
            <v>GESTÃƒO EVENTOS</v>
          </cell>
          <cell r="E2176" t="str">
            <v>MES</v>
          </cell>
        </row>
        <row r="2177">
          <cell r="C2177">
            <v>3002156</v>
          </cell>
          <cell r="D2177" t="str">
            <v>GESTÃO EVENTOS</v>
          </cell>
          <cell r="E2177" t="str">
            <v>SEM</v>
          </cell>
        </row>
        <row r="2178">
          <cell r="C2178">
            <v>3002157</v>
          </cell>
          <cell r="D2178" t="str">
            <v>GESTÃƒO EVENTOS</v>
          </cell>
          <cell r="E2178" t="str">
            <v>SV</v>
          </cell>
        </row>
        <row r="2179">
          <cell r="C2179">
            <v>3002158</v>
          </cell>
          <cell r="D2179" t="str">
            <v>GESTÃƒO EVENTOS</v>
          </cell>
          <cell r="E2179" t="str">
            <v>UN</v>
          </cell>
        </row>
        <row r="2180">
          <cell r="C2180">
            <v>3002159</v>
          </cell>
          <cell r="D2180" t="str">
            <v>GESTAO DE MARKET PLACE,SOURC,SINC DE CAD</v>
          </cell>
          <cell r="E2180" t="str">
            <v>SV</v>
          </cell>
        </row>
        <row r="2181">
          <cell r="C2181">
            <v>3002160</v>
          </cell>
          <cell r="D2181" t="str">
            <v>GESTÃO MKT PLACE;SOURCING;SINC CADASTRO</v>
          </cell>
          <cell r="E2181" t="str">
            <v>UN</v>
          </cell>
        </row>
        <row r="2182">
          <cell r="C2182">
            <v>3002161</v>
          </cell>
          <cell r="D2182" t="str">
            <v>GINÁSTICA, DANÇA, ESPORTES E SIMILARES</v>
          </cell>
          <cell r="E2182" t="str">
            <v>MES</v>
          </cell>
        </row>
        <row r="2183">
          <cell r="C2183">
            <v>3002162</v>
          </cell>
          <cell r="D2183" t="str">
            <v>GINÁSTICA, DANÇA, ESPORTES E SIMILARES</v>
          </cell>
          <cell r="E2183" t="str">
            <v>PC</v>
          </cell>
        </row>
        <row r="2184">
          <cell r="C2184">
            <v>3002163</v>
          </cell>
          <cell r="D2184" t="str">
            <v>GINÁSTICA, DANÇA, ESPORTES E SIMILARES</v>
          </cell>
          <cell r="E2184" t="str">
            <v>SV</v>
          </cell>
        </row>
        <row r="2185">
          <cell r="C2185">
            <v>3002164</v>
          </cell>
          <cell r="D2185" t="str">
            <v>GINÁSTICA, DANÇA, ESPORTES E SIMILARES</v>
          </cell>
          <cell r="E2185" t="str">
            <v>UN</v>
          </cell>
        </row>
        <row r="2186">
          <cell r="C2186">
            <v>3002165</v>
          </cell>
          <cell r="D2186" t="str">
            <v>GRAV E DOURAÇÃO DE LIVR, REVIST E CONG</v>
          </cell>
          <cell r="E2186" t="str">
            <v>UN</v>
          </cell>
        </row>
        <row r="2187">
          <cell r="C2187">
            <v>3002166</v>
          </cell>
          <cell r="D2187" t="str">
            <v>GUARDA;TRAT;ADEST;ALOJ;SIMILAR P ANIMAL</v>
          </cell>
          <cell r="E2187" t="str">
            <v>UN</v>
          </cell>
        </row>
        <row r="2188">
          <cell r="C2188">
            <v>3002167</v>
          </cell>
          <cell r="D2188" t="str">
            <v>GUIAS DE TURISMO</v>
          </cell>
          <cell r="E2188" t="str">
            <v>UN</v>
          </cell>
        </row>
        <row r="2189">
          <cell r="C2189">
            <v>3002168</v>
          </cell>
          <cell r="D2189" t="str">
            <v>HIDROGRAFIA E HIDROGEOLOGIA</v>
          </cell>
          <cell r="E2189" t="str">
            <v>DIA</v>
          </cell>
        </row>
        <row r="2190">
          <cell r="C2190">
            <v>3002169</v>
          </cell>
          <cell r="D2190" t="str">
            <v>HIDROGRAFIA E HIDROGEOLOGIA</v>
          </cell>
          <cell r="E2190" t="str">
            <v>HA</v>
          </cell>
        </row>
        <row r="2191">
          <cell r="C2191">
            <v>3002170</v>
          </cell>
          <cell r="D2191" t="str">
            <v>HIDROGRAFIA E HIDROGEOLOGIA</v>
          </cell>
          <cell r="E2191" t="str">
            <v>KMS</v>
          </cell>
        </row>
        <row r="2192">
          <cell r="C2192">
            <v>3002171</v>
          </cell>
          <cell r="D2192" t="str">
            <v>HIDROGRAFIA E HIDROGEOLOGIA</v>
          </cell>
          <cell r="E2192" t="str">
            <v>M</v>
          </cell>
        </row>
        <row r="2193">
          <cell r="C2193">
            <v>3002172</v>
          </cell>
          <cell r="D2193" t="str">
            <v>HIDROGRAFIA E HIDROGEOLOGIA</v>
          </cell>
          <cell r="E2193" t="str">
            <v>MES</v>
          </cell>
        </row>
        <row r="2194">
          <cell r="C2194">
            <v>3002173</v>
          </cell>
          <cell r="D2194" t="str">
            <v>HIDROLOG,HIDROGRAF,HIDROGEOLO,OCEANOGRAF</v>
          </cell>
          <cell r="E2194" t="str">
            <v>SV</v>
          </cell>
        </row>
        <row r="2195">
          <cell r="C2195">
            <v>3002174</v>
          </cell>
          <cell r="D2195" t="str">
            <v>HIDROGRAFIA E HIDROGEOLOGIA</v>
          </cell>
          <cell r="E2195" t="str">
            <v>UN</v>
          </cell>
        </row>
        <row r="2196">
          <cell r="C2196">
            <v>3002175</v>
          </cell>
          <cell r="D2196" t="str">
            <v>HIDROLOGIA E OCEANOGRAFIA</v>
          </cell>
          <cell r="E2196" t="str">
            <v>DIA</v>
          </cell>
        </row>
        <row r="2197">
          <cell r="C2197">
            <v>3002176</v>
          </cell>
          <cell r="D2197" t="str">
            <v>HIDROLOGIA E OCEANOGRAFIA</v>
          </cell>
          <cell r="E2197" t="str">
            <v>H</v>
          </cell>
        </row>
        <row r="2198">
          <cell r="C2198">
            <v>3002177</v>
          </cell>
          <cell r="D2198" t="str">
            <v>HIDROLOGIA E OCEANOGRAFIA</v>
          </cell>
          <cell r="E2198" t="str">
            <v>MES</v>
          </cell>
        </row>
        <row r="2199">
          <cell r="C2199">
            <v>3002178</v>
          </cell>
          <cell r="D2199" t="str">
            <v>HIDROLOG,HIDROGRAF,HIDROGEOLO,OCEANOGRAF</v>
          </cell>
          <cell r="E2199" t="str">
            <v>SV</v>
          </cell>
        </row>
        <row r="2200">
          <cell r="C2200">
            <v>3002179</v>
          </cell>
          <cell r="D2200" t="str">
            <v>HIDROLOGIA E OCEANOGRAFIA</v>
          </cell>
          <cell r="E2200" t="str">
            <v>UN</v>
          </cell>
        </row>
        <row r="2201">
          <cell r="C2201">
            <v>3002180</v>
          </cell>
          <cell r="D2201" t="str">
            <v>HOSP, AMBUL E SIMILARES PARA ANIMAIS</v>
          </cell>
          <cell r="E2201" t="str">
            <v>H</v>
          </cell>
        </row>
        <row r="2202">
          <cell r="C2202">
            <v>3002181</v>
          </cell>
          <cell r="D2202" t="str">
            <v>HOSP, AMBUL E SIMILARES PARA ANIMAIS</v>
          </cell>
          <cell r="E2202" t="str">
            <v>MES</v>
          </cell>
        </row>
        <row r="2203">
          <cell r="C2203">
            <v>3002182</v>
          </cell>
          <cell r="D2203" t="str">
            <v>HOSP, AMBUL E SIMILARES PARA ANIMAIS</v>
          </cell>
          <cell r="E2203" t="str">
            <v>SV</v>
          </cell>
        </row>
        <row r="2204">
          <cell r="C2204">
            <v>3002183</v>
          </cell>
          <cell r="D2204" t="str">
            <v>HOSPEDAGEM EM HOTÉIS E SIMIL - FATURADO</v>
          </cell>
          <cell r="E2204" t="str">
            <v>DIA</v>
          </cell>
        </row>
        <row r="2205">
          <cell r="C2205">
            <v>3002184</v>
          </cell>
          <cell r="D2205" t="str">
            <v>HOSPEDAGEM EM HOTÉIS E SIMIL - FATURADO</v>
          </cell>
          <cell r="E2205" t="str">
            <v>M2</v>
          </cell>
        </row>
        <row r="2206">
          <cell r="C2206">
            <v>3002185</v>
          </cell>
          <cell r="D2206" t="str">
            <v>HOSPEDAGEM DE QUALQUER NATUREZA</v>
          </cell>
          <cell r="E2206" t="str">
            <v>SV</v>
          </cell>
        </row>
        <row r="2207">
          <cell r="C2207">
            <v>3002186</v>
          </cell>
          <cell r="D2207" t="str">
            <v>HOSPEDAGEM EM HOTÉIS E SIMIL - FATURADO</v>
          </cell>
          <cell r="E2207" t="str">
            <v>UN</v>
          </cell>
        </row>
        <row r="2208">
          <cell r="C2208">
            <v>3002187</v>
          </cell>
          <cell r="D2208" t="str">
            <v>HOSPITAIS, LABS, RECUP E SIMILARES</v>
          </cell>
          <cell r="E2208" t="str">
            <v>DIA</v>
          </cell>
        </row>
        <row r="2209">
          <cell r="C2209">
            <v>3002188</v>
          </cell>
          <cell r="D2209" t="str">
            <v>HOSPITAIS, LABS, RECUP E SIMILARES</v>
          </cell>
          <cell r="E2209" t="str">
            <v>H</v>
          </cell>
        </row>
        <row r="2210">
          <cell r="C2210">
            <v>3002189</v>
          </cell>
          <cell r="D2210" t="str">
            <v>HOSPITAIS, LABS, RECUP E SIMILARES</v>
          </cell>
          <cell r="E2210" t="str">
            <v>MES</v>
          </cell>
        </row>
        <row r="2211">
          <cell r="C2211">
            <v>3002190</v>
          </cell>
          <cell r="D2211" t="str">
            <v>HOSPITAIS, LABS, RECUP E SIMILARES</v>
          </cell>
          <cell r="E2211" t="str">
            <v>SV</v>
          </cell>
        </row>
        <row r="2212">
          <cell r="C2212">
            <v>3002191</v>
          </cell>
          <cell r="D2212" t="str">
            <v>HOSPITAIS, LABS, RECUP E SIMILARES</v>
          </cell>
          <cell r="E2212" t="str">
            <v>UN</v>
          </cell>
        </row>
        <row r="2213">
          <cell r="C2213">
            <v>3002192</v>
          </cell>
          <cell r="D2213" t="str">
            <v>IMPRESSÃO DE LIVROS, REVISTAS E CONG</v>
          </cell>
          <cell r="E2213" t="str">
            <v>ANO</v>
          </cell>
        </row>
        <row r="2214">
          <cell r="C2214">
            <v>3002193</v>
          </cell>
          <cell r="D2214" t="str">
            <v>IMPRESSÃO DE LIVROS, REVISTAS E CONG</v>
          </cell>
          <cell r="E2214" t="str">
            <v>CT</v>
          </cell>
        </row>
        <row r="2215">
          <cell r="C2215">
            <v>3002194</v>
          </cell>
          <cell r="D2215" t="str">
            <v>IMPRESSÃO DE LIVROS, REVISTAS E CONG</v>
          </cell>
          <cell r="E2215" t="str">
            <v>M2</v>
          </cell>
        </row>
        <row r="2216">
          <cell r="C2216">
            <v>3002195</v>
          </cell>
          <cell r="D2216" t="str">
            <v>IMPRESSÃO DE LIVROS, REVISTAS E CONG</v>
          </cell>
          <cell r="E2216" t="str">
            <v>MES</v>
          </cell>
        </row>
        <row r="2217">
          <cell r="C2217">
            <v>3002196</v>
          </cell>
          <cell r="D2217" t="str">
            <v>IMPRESSÃO DE LIVROS, REVISTAS E CONG</v>
          </cell>
          <cell r="E2217" t="str">
            <v>PC</v>
          </cell>
        </row>
        <row r="2218">
          <cell r="C2218">
            <v>3002197</v>
          </cell>
          <cell r="D2218" t="str">
            <v>IMPRESSÃO DE LIVROS, REVISTAS E CONG</v>
          </cell>
          <cell r="E2218" t="str">
            <v>UN</v>
          </cell>
        </row>
        <row r="2219">
          <cell r="C2219">
            <v>3002198</v>
          </cell>
          <cell r="D2219" t="str">
            <v>IMPRESSÃO GRÁFICA</v>
          </cell>
          <cell r="E2219" t="str">
            <v>M2</v>
          </cell>
        </row>
        <row r="2220">
          <cell r="C2220">
            <v>3002199</v>
          </cell>
          <cell r="D2220" t="str">
            <v>IMPRESSÃO GRÁFICA</v>
          </cell>
          <cell r="E2220" t="str">
            <v>MES</v>
          </cell>
        </row>
        <row r="2221">
          <cell r="C2221">
            <v>3002200</v>
          </cell>
          <cell r="D2221" t="str">
            <v>IMPRESSÃO GRÁFICA</v>
          </cell>
          <cell r="E2221" t="str">
            <v>SV</v>
          </cell>
        </row>
        <row r="2222">
          <cell r="C2222">
            <v>3002201</v>
          </cell>
          <cell r="D2222" t="str">
            <v>IMPRESSÃO GRÁFICA</v>
          </cell>
          <cell r="E2222" t="str">
            <v>UN</v>
          </cell>
        </row>
        <row r="2223">
          <cell r="C2223">
            <v>3002202</v>
          </cell>
          <cell r="D2223" t="str">
            <v>INSEMINAÇÃO ARTIF, FERT IN VITRO E CONG</v>
          </cell>
          <cell r="E2223" t="str">
            <v>SV</v>
          </cell>
        </row>
        <row r="2224">
          <cell r="C2224">
            <v>3002203</v>
          </cell>
          <cell r="D2224" t="str">
            <v>INSP E DILIGENCIAMENTO EM GERENC DE PRJ</v>
          </cell>
          <cell r="E2224" t="str">
            <v>H</v>
          </cell>
        </row>
        <row r="2225">
          <cell r="C2225">
            <v>3002204</v>
          </cell>
          <cell r="D2225" t="str">
            <v>INSP E DILIGENCIAMENTO EM GERENC DE PRJ</v>
          </cell>
          <cell r="E2225" t="str">
            <v>MES</v>
          </cell>
        </row>
        <row r="2226">
          <cell r="C2226">
            <v>3002205</v>
          </cell>
          <cell r="D2226" t="str">
            <v>ELAB PLANOS DIRETORES,ESTUDOS OBRAS,ENG</v>
          </cell>
          <cell r="E2226" t="str">
            <v>SV</v>
          </cell>
        </row>
        <row r="2227">
          <cell r="C2227">
            <v>3002206</v>
          </cell>
          <cell r="D2227" t="str">
            <v>INSP E DILIGENCIAMENTO EM GERENC DE PRJ</v>
          </cell>
          <cell r="E2227" t="str">
            <v>UN</v>
          </cell>
        </row>
        <row r="2228">
          <cell r="C2228">
            <v>3002207</v>
          </cell>
          <cell r="D2228" t="str">
            <v>INSP VISUAL SRV PORT E ELAB RELATÓRIOS</v>
          </cell>
          <cell r="E2228" t="str">
            <v>DIA</v>
          </cell>
        </row>
        <row r="2229">
          <cell r="C2229">
            <v>3002208</v>
          </cell>
          <cell r="D2229" t="str">
            <v>INSP VISUAL SRV PORT E ELAB RELATÓRIOS</v>
          </cell>
          <cell r="E2229" t="str">
            <v>H</v>
          </cell>
        </row>
        <row r="2230">
          <cell r="C2230">
            <v>3002209</v>
          </cell>
          <cell r="D2230" t="str">
            <v>INSP VISUAL SRV PORT E ELAB RELATÓRIOS</v>
          </cell>
          <cell r="E2230" t="str">
            <v>MES</v>
          </cell>
        </row>
        <row r="2231">
          <cell r="C2231">
            <v>3002210</v>
          </cell>
          <cell r="D2231" t="str">
            <v>PERICIA;LAUDO;EXAMES;ANALISE TECNICA</v>
          </cell>
          <cell r="E2231" t="str">
            <v>SV</v>
          </cell>
        </row>
        <row r="2232">
          <cell r="C2232">
            <v>3002211</v>
          </cell>
          <cell r="D2232" t="str">
            <v>INSP VISUAL SRV PORT E ELAB RELATÓRIOS</v>
          </cell>
          <cell r="E2232" t="str">
            <v>UN</v>
          </cell>
        </row>
        <row r="2233">
          <cell r="C2233">
            <v>3002212</v>
          </cell>
          <cell r="D2233" t="str">
            <v>INSP, CALIB E BALANC MÁQ, EQUIP E PNEUS</v>
          </cell>
          <cell r="E2233" t="str">
            <v>DIA</v>
          </cell>
        </row>
        <row r="2234">
          <cell r="C2234">
            <v>3002213</v>
          </cell>
          <cell r="D2234" t="str">
            <v>INSP, CALIB E BALANC MÁQ, EQUIP E PNEUS</v>
          </cell>
          <cell r="E2234" t="str">
            <v>H</v>
          </cell>
        </row>
        <row r="2235">
          <cell r="C2235">
            <v>3002214</v>
          </cell>
          <cell r="D2235" t="str">
            <v>INSP, CALIB E BALANC MÁQ, EQUIP E PNEUS</v>
          </cell>
          <cell r="E2235" t="str">
            <v>MES</v>
          </cell>
        </row>
        <row r="2236">
          <cell r="C2236">
            <v>3002215</v>
          </cell>
          <cell r="D2236" t="str">
            <v>INSP, CALIB E BALANC MÁQ, EQUIP E PNEUS</v>
          </cell>
          <cell r="E2236" t="str">
            <v>PC</v>
          </cell>
        </row>
        <row r="2237">
          <cell r="C2237">
            <v>3002216</v>
          </cell>
          <cell r="D2237" t="str">
            <v>INSP,CALIB,BALANC D MAQS,EQUIP,PNEUS</v>
          </cell>
          <cell r="E2237" t="str">
            <v>SV</v>
          </cell>
        </row>
        <row r="2238">
          <cell r="C2238">
            <v>3002217</v>
          </cell>
          <cell r="D2238" t="str">
            <v>INSP, CALIB E BALANC MÁQ, EQUIP E PNEUS</v>
          </cell>
          <cell r="E2238" t="str">
            <v>UN</v>
          </cell>
        </row>
        <row r="2239">
          <cell r="C2239">
            <v>3002218</v>
          </cell>
          <cell r="D2239" t="str">
            <v>INSPEÇÃO E AVALIAÇÃO RISCOS</v>
          </cell>
          <cell r="E2239" t="str">
            <v>DIA</v>
          </cell>
        </row>
        <row r="2240">
          <cell r="C2240">
            <v>3002219</v>
          </cell>
          <cell r="D2240" t="str">
            <v>INSPEÇÃO E AVALIAÇÃO RISCOS</v>
          </cell>
          <cell r="E2240" t="str">
            <v>M</v>
          </cell>
        </row>
        <row r="2241">
          <cell r="C2241">
            <v>3002220</v>
          </cell>
          <cell r="D2241" t="str">
            <v>SERVICO DE REGULACAO DE SINISTROS</v>
          </cell>
          <cell r="E2241" t="str">
            <v>SV</v>
          </cell>
        </row>
        <row r="2242">
          <cell r="C2242">
            <v>3002221</v>
          </cell>
          <cell r="D2242" t="str">
            <v>INSPEÇÃO E AVALIAÇÃO RISCOS</v>
          </cell>
          <cell r="E2242" t="str">
            <v>UN</v>
          </cell>
        </row>
        <row r="2243">
          <cell r="C2243">
            <v>3002222</v>
          </cell>
          <cell r="D2243" t="str">
            <v>INSTAL DIVIS;VIDRO;GESSO;SIMILAR</v>
          </cell>
          <cell r="E2243" t="str">
            <v>KG</v>
          </cell>
        </row>
        <row r="2244">
          <cell r="C2244">
            <v>3002223</v>
          </cell>
          <cell r="D2244" t="str">
            <v>INSTAL DIVIS;VIDRO;GESSO;SIMILAR</v>
          </cell>
          <cell r="E2244" t="str">
            <v>M</v>
          </cell>
        </row>
        <row r="2245">
          <cell r="C2245">
            <v>3002224</v>
          </cell>
          <cell r="D2245" t="str">
            <v>INSTAL DIVIS;VIDRO;GESSO;SIMILAR</v>
          </cell>
          <cell r="E2245" t="str">
            <v>M/S</v>
          </cell>
        </row>
        <row r="2246">
          <cell r="C2246">
            <v>3002225</v>
          </cell>
          <cell r="D2246" t="str">
            <v>INSTAL DIVIS;VIDRO;GESSO;SIMILAR</v>
          </cell>
          <cell r="E2246" t="str">
            <v>M2</v>
          </cell>
        </row>
        <row r="2247">
          <cell r="C2247">
            <v>3002226</v>
          </cell>
          <cell r="D2247" t="str">
            <v>INSTAL DIVIS;VIDRO;GESSO;SIMILAR</v>
          </cell>
          <cell r="E2247" t="str">
            <v>M3</v>
          </cell>
        </row>
        <row r="2248">
          <cell r="C2248">
            <v>3002227</v>
          </cell>
          <cell r="D2248" t="str">
            <v>INSTAL DIVIS;VIDRO;GESSO;SIMILAR</v>
          </cell>
          <cell r="E2248" t="str">
            <v>PC</v>
          </cell>
        </row>
        <row r="2249">
          <cell r="C2249">
            <v>3002228</v>
          </cell>
          <cell r="D2249" t="str">
            <v>COLOC,INSTAL TAPETE E CONG,MANUT PREDIAL</v>
          </cell>
          <cell r="E2249" t="str">
            <v>SV</v>
          </cell>
        </row>
        <row r="2250">
          <cell r="C2250">
            <v>3002229</v>
          </cell>
          <cell r="D2250" t="str">
            <v>INSTAL DIVIS;VIDRO;GESSO;SIMILAR</v>
          </cell>
          <cell r="E2250" t="str">
            <v>UN</v>
          </cell>
        </row>
        <row r="2251">
          <cell r="C2251">
            <v>3002230</v>
          </cell>
          <cell r="D2251" t="str">
            <v>INSTAL E MONT DE EQUIP E CONG VINC OBRAS</v>
          </cell>
          <cell r="E2251" t="str">
            <v>DIA</v>
          </cell>
        </row>
        <row r="2252">
          <cell r="C2252">
            <v>3002231</v>
          </cell>
          <cell r="D2252" t="str">
            <v>INSTAL E MONT DE EQUIP E CONG VINC OBRAS</v>
          </cell>
          <cell r="E2252" t="str">
            <v>dm3</v>
          </cell>
        </row>
        <row r="2253">
          <cell r="C2253">
            <v>3002232</v>
          </cell>
          <cell r="D2253" t="str">
            <v>INSTAL E MONT DE EQUIP E CONG VINC OBRAS</v>
          </cell>
          <cell r="E2253" t="str">
            <v>H</v>
          </cell>
        </row>
        <row r="2254">
          <cell r="C2254">
            <v>3002233</v>
          </cell>
          <cell r="D2254" t="str">
            <v>INSTAL E MONT DE EQUIP E CONG VINC OBRAS</v>
          </cell>
          <cell r="E2254" t="str">
            <v>JG</v>
          </cell>
        </row>
        <row r="2255">
          <cell r="C2255">
            <v>3002234</v>
          </cell>
          <cell r="D2255" t="str">
            <v>INSTAL E MONT DE EQUIP E CONG VINC OBRAS</v>
          </cell>
          <cell r="E2255" t="str">
            <v>KG</v>
          </cell>
        </row>
        <row r="2256">
          <cell r="C2256">
            <v>3002235</v>
          </cell>
          <cell r="D2256" t="str">
            <v>INSTAL E MONT DE EQUIP E CONG VINC OBRAS</v>
          </cell>
          <cell r="E2256" t="str">
            <v>M</v>
          </cell>
        </row>
        <row r="2257">
          <cell r="C2257">
            <v>3002236</v>
          </cell>
          <cell r="D2257" t="str">
            <v>INSTAL E MONT DE EQUIP E CONG VINC OBRAS</v>
          </cell>
          <cell r="E2257" t="str">
            <v>M2</v>
          </cell>
        </row>
        <row r="2258">
          <cell r="C2258">
            <v>3002237</v>
          </cell>
          <cell r="D2258" t="str">
            <v>INSTAL E MONT DE EQUIP E CONG VINC OBRAS</v>
          </cell>
          <cell r="E2258" t="str">
            <v>M3</v>
          </cell>
        </row>
        <row r="2259">
          <cell r="C2259">
            <v>3002238</v>
          </cell>
          <cell r="D2259" t="str">
            <v>INSTAL E MONT DE EQUIP E CONG VINC OBRAS</v>
          </cell>
          <cell r="E2259" t="str">
            <v>MES</v>
          </cell>
        </row>
        <row r="2260">
          <cell r="C2260">
            <v>3002239</v>
          </cell>
          <cell r="D2260" t="str">
            <v>INSTAL E MONT DE EQUIP E CONG VINC OBRAS</v>
          </cell>
          <cell r="E2260" t="str">
            <v>PC</v>
          </cell>
        </row>
        <row r="2261">
          <cell r="C2261">
            <v>3002240</v>
          </cell>
          <cell r="D2261" t="str">
            <v>INSTAL,MONT DE PROD,PC,EQUIPS DE OBRAS</v>
          </cell>
          <cell r="E2261" t="str">
            <v>SV</v>
          </cell>
        </row>
        <row r="2262">
          <cell r="C2262">
            <v>3002241</v>
          </cell>
          <cell r="D2262" t="str">
            <v>INSTAL E MONT DE EQUIP E CONG VINC OBRAS</v>
          </cell>
          <cell r="E2262" t="str">
            <v>UN</v>
          </cell>
        </row>
        <row r="2263">
          <cell r="C2263">
            <v>3002242</v>
          </cell>
          <cell r="D2263" t="str">
            <v>INSTAL TAPETE;CORTINA;REVEST;SIMILAR</v>
          </cell>
          <cell r="E2263" t="str">
            <v>H</v>
          </cell>
        </row>
        <row r="2264">
          <cell r="C2264">
            <v>3002243</v>
          </cell>
          <cell r="D2264" t="str">
            <v>INSTAL TAPETE;CORTINA;REVEST;SIMILAR</v>
          </cell>
          <cell r="E2264" t="str">
            <v>M</v>
          </cell>
        </row>
        <row r="2265">
          <cell r="C2265">
            <v>3002244</v>
          </cell>
          <cell r="D2265" t="str">
            <v>INSTAL TAPETE;CORTINA;REVEST;SIMILAR</v>
          </cell>
          <cell r="E2265" t="str">
            <v>M2</v>
          </cell>
        </row>
        <row r="2266">
          <cell r="C2266">
            <v>3002245</v>
          </cell>
          <cell r="D2266" t="str">
            <v>INSTAL TAPETE;CORTINA;REVEST;SIMILAR</v>
          </cell>
          <cell r="E2266" t="str">
            <v>UN</v>
          </cell>
        </row>
        <row r="2267">
          <cell r="C2267">
            <v>3002246</v>
          </cell>
          <cell r="D2267" t="str">
            <v>INSTALAÇÃO E CONFIGURAÇÃO DE SOFTWARE.</v>
          </cell>
          <cell r="E2267" t="str">
            <v>H</v>
          </cell>
        </row>
        <row r="2268">
          <cell r="C2268">
            <v>3002247</v>
          </cell>
          <cell r="D2268" t="str">
            <v>INSTALAÇÃO E CONFIGURAÇÃO DE SOFTWARE.</v>
          </cell>
          <cell r="E2268" t="str">
            <v>PC</v>
          </cell>
        </row>
        <row r="2269">
          <cell r="C2269">
            <v>3002248</v>
          </cell>
          <cell r="D2269" t="str">
            <v>SUPORTE TECNICO EM INFORMATICA</v>
          </cell>
          <cell r="E2269" t="str">
            <v>SV</v>
          </cell>
        </row>
        <row r="2270">
          <cell r="C2270">
            <v>3002249</v>
          </cell>
          <cell r="D2270" t="str">
            <v>INSTALAÇÃO E CONFIGURAÇÃO DE SOFTWARE.</v>
          </cell>
          <cell r="E2270" t="str">
            <v>UN</v>
          </cell>
        </row>
        <row r="2271">
          <cell r="C2271">
            <v>3002250</v>
          </cell>
          <cell r="D2271" t="str">
            <v>MANUTENCAO E INSTALACAO DE HARDWARE</v>
          </cell>
          <cell r="E2271" t="str">
            <v>SV</v>
          </cell>
        </row>
        <row r="2272">
          <cell r="C2272">
            <v>3002251</v>
          </cell>
          <cell r="D2272" t="str">
            <v>INSTALAÇÃO HARDWARE</v>
          </cell>
          <cell r="E2272" t="str">
            <v>UN</v>
          </cell>
        </row>
        <row r="2273">
          <cell r="C2273">
            <v>3002252</v>
          </cell>
          <cell r="D2273" t="str">
            <v>INSTRUMENTAÇÃO CIRÚRGICA.</v>
          </cell>
          <cell r="E2273" t="str">
            <v>SV</v>
          </cell>
        </row>
        <row r="2274">
          <cell r="C2274">
            <v>3002253</v>
          </cell>
          <cell r="D2274" t="str">
            <v>SUPORTE TECNICO USUARIO - DESKTOP-LAPTOP</v>
          </cell>
          <cell r="E2274" t="str">
            <v>MES</v>
          </cell>
        </row>
        <row r="2275">
          <cell r="C2275">
            <v>3002254</v>
          </cell>
          <cell r="D2275" t="str">
            <v>SUPORTE TECNICO EM INFORMATICA</v>
          </cell>
          <cell r="E2275" t="str">
            <v>SV</v>
          </cell>
        </row>
        <row r="2276">
          <cell r="C2276">
            <v>3002255</v>
          </cell>
          <cell r="D2276" t="str">
            <v>SUPORTE TECNICO USUARIO - DESKTOP-LAPTOP</v>
          </cell>
          <cell r="E2276" t="str">
            <v>UN</v>
          </cell>
        </row>
        <row r="2277">
          <cell r="C2277">
            <v>3002256</v>
          </cell>
          <cell r="D2277" t="str">
            <v>SUPORTE TECNICO EM INFORMATICA</v>
          </cell>
          <cell r="E2277" t="str">
            <v>SV</v>
          </cell>
        </row>
        <row r="2278">
          <cell r="C2278">
            <v>3002257</v>
          </cell>
          <cell r="D2278" t="str">
            <v>SUPORTE TECNICO EM INFORMATICA</v>
          </cell>
          <cell r="E2278" t="str">
            <v>SV</v>
          </cell>
        </row>
        <row r="2279">
          <cell r="C2279">
            <v>3002258</v>
          </cell>
          <cell r="D2279" t="str">
            <v>IT - FIELD SERVICES</v>
          </cell>
          <cell r="E2279" t="str">
            <v>H</v>
          </cell>
        </row>
        <row r="2280">
          <cell r="C2280">
            <v>3002259</v>
          </cell>
          <cell r="D2280" t="str">
            <v>IT - FIELD SERVICES</v>
          </cell>
          <cell r="E2280" t="str">
            <v>KMS</v>
          </cell>
        </row>
        <row r="2281">
          <cell r="C2281">
            <v>3002260</v>
          </cell>
          <cell r="D2281" t="str">
            <v>IT - FIELD SERVICES</v>
          </cell>
          <cell r="E2281" t="str">
            <v>SV</v>
          </cell>
        </row>
        <row r="2282">
          <cell r="C2282">
            <v>3002261</v>
          </cell>
          <cell r="D2282" t="str">
            <v>IT - FIELD SERVICES</v>
          </cell>
          <cell r="E2282" t="str">
            <v>SV</v>
          </cell>
        </row>
        <row r="2283">
          <cell r="C2283">
            <v>3002262</v>
          </cell>
          <cell r="D2283" t="str">
            <v>SEGURANCA INFORMACAO - CONSCIENTIZACAO</v>
          </cell>
          <cell r="E2283" t="str">
            <v>SV</v>
          </cell>
        </row>
        <row r="2284">
          <cell r="C2284">
            <v>3002263</v>
          </cell>
          <cell r="D2284" t="str">
            <v>SEGURANCA INFORMACAO - GESTAO IDENTIDADE</v>
          </cell>
          <cell r="E2284" t="str">
            <v>UN</v>
          </cell>
        </row>
        <row r="2285">
          <cell r="C2285">
            <v>3002264</v>
          </cell>
          <cell r="D2285" t="str">
            <v>IT - INFORMATION SECURITY - ARCHITECTURE</v>
          </cell>
          <cell r="E2285" t="str">
            <v>DIA</v>
          </cell>
        </row>
        <row r="2286">
          <cell r="C2286">
            <v>3002265</v>
          </cell>
          <cell r="D2286" t="str">
            <v>IT - INFORMATION SECURITY - ARCHITECTURE</v>
          </cell>
          <cell r="E2286" t="str">
            <v>H</v>
          </cell>
        </row>
        <row r="2287">
          <cell r="C2287">
            <v>3002266</v>
          </cell>
          <cell r="D2287" t="str">
            <v>IT - INFORMATION SECURITY - ARCHITECTURE</v>
          </cell>
          <cell r="E2287" t="str">
            <v>M</v>
          </cell>
        </row>
        <row r="2288">
          <cell r="C2288">
            <v>3002267</v>
          </cell>
          <cell r="D2288" t="str">
            <v>IT - INFORMATION SECURITY - ARCHITECTURE</v>
          </cell>
          <cell r="E2288" t="str">
            <v>PC</v>
          </cell>
        </row>
        <row r="2289">
          <cell r="C2289">
            <v>3002268</v>
          </cell>
          <cell r="D2289" t="str">
            <v>SUPORTE TECNICO EM INFORMATICA</v>
          </cell>
          <cell r="E2289" t="str">
            <v>SV</v>
          </cell>
        </row>
        <row r="2290">
          <cell r="C2290">
            <v>3002269</v>
          </cell>
          <cell r="D2290" t="str">
            <v>IT - INFORMATION SECURITY - ARCHITECTURE</v>
          </cell>
          <cell r="E2290" t="str">
            <v>UN</v>
          </cell>
        </row>
        <row r="2291">
          <cell r="C2291">
            <v>3002270</v>
          </cell>
          <cell r="D2291" t="str">
            <v>TI - GERENCIAMENTO OPERACAO - EXPLORACAO</v>
          </cell>
          <cell r="E2291" t="str">
            <v>H</v>
          </cell>
        </row>
        <row r="2292">
          <cell r="C2292">
            <v>3002271</v>
          </cell>
          <cell r="D2292" t="str">
            <v>TI - GERENCIAMENTO OPERACAO - EXPLORACAO</v>
          </cell>
          <cell r="E2292" t="str">
            <v>MES</v>
          </cell>
        </row>
        <row r="2293">
          <cell r="C2293">
            <v>3002272</v>
          </cell>
          <cell r="D2293" t="str">
            <v>ASSESSORIA E CONSULTORIA EM INFORMATICA</v>
          </cell>
          <cell r="E2293" t="str">
            <v>SV</v>
          </cell>
        </row>
        <row r="2294">
          <cell r="C2294">
            <v>3002273</v>
          </cell>
          <cell r="D2294" t="str">
            <v>TI - GERENCIAMENTO OPERACAO - EXPLORACAO</v>
          </cell>
          <cell r="E2294" t="str">
            <v>UN</v>
          </cell>
        </row>
        <row r="2295">
          <cell r="C2295">
            <v>3002274</v>
          </cell>
          <cell r="D2295" t="str">
            <v>TI - GERENCIAMENTO OPERACAO -LABORATORIO</v>
          </cell>
          <cell r="E2295" t="str">
            <v>H</v>
          </cell>
        </row>
        <row r="2296">
          <cell r="C2296">
            <v>3002275</v>
          </cell>
          <cell r="D2296" t="str">
            <v>TI - GERENCIAMENTO OPERACAO -LABORATORIO</v>
          </cell>
          <cell r="E2296" t="str">
            <v>UN</v>
          </cell>
        </row>
        <row r="2297">
          <cell r="C2297">
            <v>3002276</v>
          </cell>
          <cell r="D2297" t="str">
            <v>TI - GERENCIAMENTO OPERACAO - MINERACAO</v>
          </cell>
          <cell r="E2297" t="str">
            <v>H</v>
          </cell>
        </row>
        <row r="2298">
          <cell r="C2298">
            <v>3002277</v>
          </cell>
          <cell r="D2298" t="str">
            <v>TI - GERENCIAMENTO OPERACAO - MINERACAO</v>
          </cell>
          <cell r="E2298" t="str">
            <v>MES</v>
          </cell>
        </row>
        <row r="2299">
          <cell r="C2299">
            <v>3002278</v>
          </cell>
          <cell r="D2299" t="str">
            <v>ASSESSORIA E CONSULTORIA EM INFORMATICA</v>
          </cell>
          <cell r="E2299" t="str">
            <v>SV</v>
          </cell>
        </row>
        <row r="2300">
          <cell r="C2300">
            <v>3002279</v>
          </cell>
          <cell r="D2300" t="str">
            <v>TI - GERENCIAMENTO OPERACAO - MINERACAO</v>
          </cell>
          <cell r="E2300" t="str">
            <v>UN</v>
          </cell>
        </row>
        <row r="2301">
          <cell r="C2301">
            <v>3002280</v>
          </cell>
          <cell r="D2301" t="str">
            <v>TI - GERENCIAMENTO OPERACAO - OUTROS</v>
          </cell>
          <cell r="E2301" t="str">
            <v>DIA</v>
          </cell>
        </row>
        <row r="2302">
          <cell r="C2302">
            <v>3002281</v>
          </cell>
          <cell r="D2302" t="str">
            <v>TI - GERENCIAMENTO OPERACAO - OUTROS</v>
          </cell>
          <cell r="E2302" t="str">
            <v>H</v>
          </cell>
        </row>
        <row r="2303">
          <cell r="C2303">
            <v>3002282</v>
          </cell>
          <cell r="D2303" t="str">
            <v>TI - GERENCIAMENTO OPERACAO - OUTROS</v>
          </cell>
          <cell r="E2303" t="str">
            <v>MES</v>
          </cell>
        </row>
        <row r="2304">
          <cell r="C2304">
            <v>3002283</v>
          </cell>
          <cell r="D2304" t="str">
            <v>ASSESSORIA E CONSULTORIA EM INFORMATICA</v>
          </cell>
          <cell r="E2304" t="str">
            <v>SV</v>
          </cell>
        </row>
        <row r="2305">
          <cell r="C2305">
            <v>3002284</v>
          </cell>
          <cell r="D2305" t="str">
            <v>TI - GERENCIAMENTO OPERACAO - OUTROS</v>
          </cell>
          <cell r="E2305" t="str">
            <v>UN</v>
          </cell>
        </row>
        <row r="2306">
          <cell r="C2306">
            <v>3002285</v>
          </cell>
          <cell r="D2306" t="str">
            <v>TI - GERENCIAMENTO OPERACAO - FERROVIA</v>
          </cell>
          <cell r="E2306" t="str">
            <v>ANO</v>
          </cell>
        </row>
        <row r="2307">
          <cell r="C2307">
            <v>3002286</v>
          </cell>
          <cell r="D2307" t="str">
            <v>TI - GERENCIAMENTO OPERACAO - FERROVIA</v>
          </cell>
          <cell r="E2307" t="str">
            <v>H</v>
          </cell>
        </row>
        <row r="2308">
          <cell r="C2308">
            <v>3002287</v>
          </cell>
          <cell r="D2308" t="str">
            <v>TI - GERENCIAMENTO OPERACAO - FERROVIA</v>
          </cell>
          <cell r="E2308" t="str">
            <v>UN</v>
          </cell>
        </row>
        <row r="2309">
          <cell r="C2309">
            <v>3002288</v>
          </cell>
          <cell r="D2309" t="str">
            <v>TI - GERENCIAMENTO OPERACAO -PELOTIZACAO</v>
          </cell>
          <cell r="E2309" t="str">
            <v>UN</v>
          </cell>
        </row>
        <row r="2310">
          <cell r="C2310">
            <v>3002289</v>
          </cell>
          <cell r="D2310" t="str">
            <v>TI - GERENCIAMENTO OPERACAO - PORTOS</v>
          </cell>
          <cell r="E2310" t="str">
            <v>H</v>
          </cell>
        </row>
        <row r="2311">
          <cell r="C2311">
            <v>3002290</v>
          </cell>
          <cell r="D2311" t="str">
            <v>TI - GERENCIAMENTO OPERACAO - PORTOS</v>
          </cell>
          <cell r="E2311" t="str">
            <v>UN</v>
          </cell>
        </row>
        <row r="2312">
          <cell r="C2312">
            <v>3002291</v>
          </cell>
          <cell r="D2312" t="str">
            <v>IT - TECHNICAL SUPPORT - SUPPORT LEVEL I</v>
          </cell>
          <cell r="E2312" t="str">
            <v>ANO</v>
          </cell>
        </row>
        <row r="2313">
          <cell r="C2313">
            <v>3002292</v>
          </cell>
          <cell r="D2313" t="str">
            <v>IT - TECHNICAL SUPPORT - SUPPORT LEVEL I</v>
          </cell>
          <cell r="E2313" t="str">
            <v>H</v>
          </cell>
        </row>
        <row r="2314">
          <cell r="C2314">
            <v>3002293</v>
          </cell>
          <cell r="D2314" t="str">
            <v>IT - TECHNICAL SUPPORT - SUPPORT LEVEL I</v>
          </cell>
          <cell r="E2314" t="str">
            <v>MES</v>
          </cell>
        </row>
        <row r="2315">
          <cell r="C2315">
            <v>3002294</v>
          </cell>
          <cell r="D2315" t="str">
            <v>IT - TECHNICAL SUPPORT - SUPPORT LEVEL I</v>
          </cell>
          <cell r="E2315" t="str">
            <v>SV</v>
          </cell>
        </row>
        <row r="2316">
          <cell r="C2316">
            <v>3002295</v>
          </cell>
          <cell r="D2316" t="str">
            <v>IT - TECHNICAL SUPPORT - SUPPORT LEVEL I</v>
          </cell>
          <cell r="E2316" t="str">
            <v>UN</v>
          </cell>
        </row>
        <row r="2317">
          <cell r="C2317">
            <v>3002296</v>
          </cell>
          <cell r="D2317" t="str">
            <v>TI - CAPEX - IMPLEMENTACAO PROJ CAPITAL</v>
          </cell>
          <cell r="E2317" t="str">
            <v>H</v>
          </cell>
        </row>
        <row r="2318">
          <cell r="C2318">
            <v>3002297</v>
          </cell>
          <cell r="D2318" t="str">
            <v>TI - CAPEX - IMPLEMENTACAO PROJ CAPITAL</v>
          </cell>
          <cell r="E2318" t="str">
            <v>MES</v>
          </cell>
        </row>
        <row r="2319">
          <cell r="C2319">
            <v>3002298</v>
          </cell>
          <cell r="D2319" t="str">
            <v>TI - CAPEX - IMPLEMENTACAO PROJ CAPITAL</v>
          </cell>
          <cell r="E2319" t="str">
            <v>UN</v>
          </cell>
        </row>
        <row r="2320">
          <cell r="C2320">
            <v>3002299</v>
          </cell>
          <cell r="D2320" t="str">
            <v>SEGURANCA INFORMACAO - GESTAO SEGURANCA</v>
          </cell>
          <cell r="E2320" t="str">
            <v>ANO</v>
          </cell>
        </row>
        <row r="2321">
          <cell r="C2321">
            <v>3002300</v>
          </cell>
          <cell r="D2321" t="str">
            <v>SEGURANCA INFORMACAO - GESTAO SEGURANCA</v>
          </cell>
          <cell r="E2321" t="str">
            <v>H</v>
          </cell>
        </row>
        <row r="2322">
          <cell r="C2322">
            <v>3002301</v>
          </cell>
          <cell r="D2322" t="str">
            <v>SEGURANCA INFORMACAO - GESTAO SEGURANCA</v>
          </cell>
          <cell r="E2322" t="str">
            <v>PC</v>
          </cell>
        </row>
        <row r="2323">
          <cell r="C2323">
            <v>3002302</v>
          </cell>
          <cell r="D2323" t="str">
            <v>SEGURANCA INFORMACAO - GESTAO SEGURANCA</v>
          </cell>
          <cell r="E2323" t="str">
            <v>SV</v>
          </cell>
        </row>
        <row r="2324">
          <cell r="C2324">
            <v>3002303</v>
          </cell>
          <cell r="D2324" t="str">
            <v>SEGURANCA INFORMACAO - GESTAO SEGURANCA</v>
          </cell>
          <cell r="E2324" t="str">
            <v>UN</v>
          </cell>
        </row>
        <row r="2325">
          <cell r="C2325">
            <v>3002304</v>
          </cell>
          <cell r="D2325" t="str">
            <v>TI - TECNOLOGIA E PLATAFORMA - SOLUCOES</v>
          </cell>
          <cell r="E2325" t="str">
            <v>H</v>
          </cell>
        </row>
        <row r="2326">
          <cell r="C2326">
            <v>3002305</v>
          </cell>
          <cell r="D2326" t="str">
            <v>TI - TECNOLOGIA E PLATAFORMA - SOLUCOES</v>
          </cell>
          <cell r="E2326" t="str">
            <v>MES</v>
          </cell>
        </row>
        <row r="2327">
          <cell r="C2327">
            <v>3002306</v>
          </cell>
          <cell r="D2327" t="str">
            <v>ANALISE E DESENVOLVIMENTO DE SISTEMAS</v>
          </cell>
          <cell r="E2327" t="str">
            <v>SV</v>
          </cell>
        </row>
        <row r="2328">
          <cell r="C2328">
            <v>3002307</v>
          </cell>
          <cell r="D2328" t="str">
            <v>TI - TECNOLOGIA E PLATAFORMA - SOLUCOES</v>
          </cell>
          <cell r="E2328" t="str">
            <v>UN</v>
          </cell>
        </row>
        <row r="2329">
          <cell r="C2329">
            <v>3002308</v>
          </cell>
          <cell r="D2329" t="str">
            <v>SUPORTE TECNICO - APLICACAO NIVEL II</v>
          </cell>
          <cell r="E2329" t="str">
            <v>ANO</v>
          </cell>
        </row>
        <row r="2330">
          <cell r="C2330">
            <v>3002309</v>
          </cell>
          <cell r="D2330" t="str">
            <v>SUPORTE TECNICO - APLICACAO NIVEL II</v>
          </cell>
          <cell r="E2330" t="str">
            <v>DIA</v>
          </cell>
        </row>
        <row r="2331">
          <cell r="C2331">
            <v>3002310</v>
          </cell>
          <cell r="D2331" t="str">
            <v>SUPORTE TECNICO - APLICACAO NIVEL II</v>
          </cell>
          <cell r="E2331" t="str">
            <v>H</v>
          </cell>
        </row>
        <row r="2332">
          <cell r="C2332">
            <v>3002311</v>
          </cell>
          <cell r="D2332" t="str">
            <v>SUPORTE TECNICO - APLICACAO NIVEL II</v>
          </cell>
          <cell r="E2332" t="str">
            <v>MES</v>
          </cell>
        </row>
        <row r="2333">
          <cell r="C2333">
            <v>3002312</v>
          </cell>
          <cell r="D2333" t="str">
            <v>SUPORTE TECNICO - APLICACAO NIVEL II</v>
          </cell>
          <cell r="E2333" t="str">
            <v>SV</v>
          </cell>
        </row>
        <row r="2334">
          <cell r="C2334">
            <v>3002313</v>
          </cell>
          <cell r="D2334" t="str">
            <v>SUPORTE TECNICO - APLICACAO NIVEL II</v>
          </cell>
          <cell r="E2334" t="str">
            <v>UN</v>
          </cell>
        </row>
        <row r="2335">
          <cell r="C2335">
            <v>3002314</v>
          </cell>
          <cell r="D2335" t="str">
            <v>TI - SOL BACK OFFICE CORP - SUPRIMENTOS</v>
          </cell>
          <cell r="E2335" t="str">
            <v>DIA</v>
          </cell>
        </row>
        <row r="2336">
          <cell r="C2336">
            <v>3002315</v>
          </cell>
          <cell r="D2336" t="str">
            <v>TI - SOL BACK OFFICE CORP - SUPRIMENTOS</v>
          </cell>
          <cell r="E2336" t="str">
            <v>H</v>
          </cell>
        </row>
        <row r="2337">
          <cell r="C2337">
            <v>3002316</v>
          </cell>
          <cell r="D2337" t="str">
            <v>TI - SOL BACK OFFICE CORP - SUPRIMENTOS</v>
          </cell>
          <cell r="E2337" t="str">
            <v>MES</v>
          </cell>
        </row>
        <row r="2338">
          <cell r="C2338">
            <v>3002317</v>
          </cell>
          <cell r="D2338" t="str">
            <v>TI - SOL BACK OFFICE CORP - SUPRIMENTOS</v>
          </cell>
          <cell r="E2338" t="str">
            <v>UN</v>
          </cell>
        </row>
        <row r="2339">
          <cell r="C2339">
            <v>3002318</v>
          </cell>
          <cell r="D2339" t="str">
            <v>TI - SOL BACK OFFICE CORP - JURIDICO</v>
          </cell>
          <cell r="E2339" t="str">
            <v>H</v>
          </cell>
        </row>
        <row r="2340">
          <cell r="C2340">
            <v>3002319</v>
          </cell>
          <cell r="D2340" t="str">
            <v>TI - SOL BACK OFFICE CORP - JURIDICO</v>
          </cell>
          <cell r="E2340" t="str">
            <v>MES</v>
          </cell>
        </row>
        <row r="2341">
          <cell r="C2341">
            <v>3002320</v>
          </cell>
          <cell r="D2341" t="str">
            <v>TI - SOL BACK OFFICE CORP - JURIDICO</v>
          </cell>
          <cell r="E2341" t="str">
            <v>UN</v>
          </cell>
        </row>
        <row r="2342">
          <cell r="C2342">
            <v>3002321</v>
          </cell>
          <cell r="D2342" t="str">
            <v>TI - SOL BACKOFFICE CORP-FINANCA-IMPOST</v>
          </cell>
          <cell r="E2342" t="str">
            <v>H</v>
          </cell>
        </row>
        <row r="2343">
          <cell r="C2343">
            <v>3002322</v>
          </cell>
          <cell r="D2343" t="str">
            <v>TI - SOL BACKOFFICE CORP-FINANCA-IMPOST</v>
          </cell>
          <cell r="E2343" t="str">
            <v>UN</v>
          </cell>
        </row>
        <row r="2344">
          <cell r="C2344">
            <v>3002323</v>
          </cell>
          <cell r="D2344" t="str">
            <v>TI - SOL BACK OFFICE CORP - RH</v>
          </cell>
          <cell r="E2344" t="str">
            <v>ANO</v>
          </cell>
        </row>
        <row r="2345">
          <cell r="C2345">
            <v>3002324</v>
          </cell>
          <cell r="D2345" t="str">
            <v>TI - SOL BACK OFFICE CORP - RH</v>
          </cell>
          <cell r="E2345" t="str">
            <v>H</v>
          </cell>
        </row>
        <row r="2346">
          <cell r="C2346">
            <v>3002325</v>
          </cell>
          <cell r="D2346" t="str">
            <v>TI - SOL BACK OFFICE CORP - RH</v>
          </cell>
          <cell r="E2346" t="str">
            <v>MES</v>
          </cell>
        </row>
        <row r="2347">
          <cell r="C2347">
            <v>3002326</v>
          </cell>
          <cell r="D2347" t="str">
            <v>TI - SOL BACK OFFICE CORP - RH</v>
          </cell>
          <cell r="E2347" t="str">
            <v>UN</v>
          </cell>
        </row>
        <row r="2348">
          <cell r="C2348">
            <v>3002327</v>
          </cell>
          <cell r="D2348" t="str">
            <v>TI - SOL BACK OFFICE E CORP - S&amp;S</v>
          </cell>
          <cell r="E2348" t="str">
            <v>H</v>
          </cell>
        </row>
        <row r="2349">
          <cell r="C2349">
            <v>3002328</v>
          </cell>
          <cell r="D2349" t="str">
            <v>TI - SOL BACK OFFICE E CORP - S&amp;S</v>
          </cell>
          <cell r="E2349" t="str">
            <v>MES</v>
          </cell>
        </row>
        <row r="2350">
          <cell r="C2350">
            <v>3002329</v>
          </cell>
          <cell r="D2350" t="str">
            <v>TI - SOL BACK OFFICE E CORP - S&amp;S</v>
          </cell>
          <cell r="E2350" t="str">
            <v>UN</v>
          </cell>
        </row>
        <row r="2351">
          <cell r="C2351">
            <v>3002330</v>
          </cell>
          <cell r="D2351" t="str">
            <v>SEGURANCA INFO - ANALISE VULNERABILIDADE</v>
          </cell>
          <cell r="E2351" t="str">
            <v>UN</v>
          </cell>
        </row>
        <row r="2352">
          <cell r="C2352">
            <v>3002331</v>
          </cell>
          <cell r="D2352" t="str">
            <v>SEGURANCA INFO - CONFORMIDADE_REGULACAO</v>
          </cell>
          <cell r="E2352" t="str">
            <v>H</v>
          </cell>
        </row>
        <row r="2353">
          <cell r="C2353">
            <v>3002332</v>
          </cell>
          <cell r="D2353" t="str">
            <v>SEGURANCA INFO - CONFORMIDADE_REGULACAO</v>
          </cell>
          <cell r="E2353" t="str">
            <v>UN</v>
          </cell>
        </row>
        <row r="2354">
          <cell r="C2354">
            <v>3002333</v>
          </cell>
          <cell r="D2354" t="str">
            <v>SUPORTE TECNICO - APLICACAO NIVEL III</v>
          </cell>
          <cell r="E2354" t="str">
            <v>ANO</v>
          </cell>
        </row>
        <row r="2355">
          <cell r="C2355">
            <v>3002334</v>
          </cell>
          <cell r="D2355" t="str">
            <v>SUPORTE TECNICO - APLICACAO NIVEL III</v>
          </cell>
          <cell r="E2355" t="str">
            <v>DIA</v>
          </cell>
        </row>
        <row r="2356">
          <cell r="C2356">
            <v>3002335</v>
          </cell>
          <cell r="D2356" t="str">
            <v>SUPORTE TECNICO - APLICACAO NIVEL III</v>
          </cell>
          <cell r="E2356" t="str">
            <v>H</v>
          </cell>
        </row>
        <row r="2357">
          <cell r="C2357">
            <v>3002336</v>
          </cell>
          <cell r="D2357" t="str">
            <v>SUPORTE TECNICO - APLICACAO NIVEL III</v>
          </cell>
          <cell r="E2357" t="str">
            <v>MES</v>
          </cell>
        </row>
        <row r="2358">
          <cell r="C2358">
            <v>3002337</v>
          </cell>
          <cell r="D2358" t="str">
            <v>SUPORTE TECNICO - APLICACAO NIVEL III</v>
          </cell>
          <cell r="E2358" t="str">
            <v>UN</v>
          </cell>
        </row>
        <row r="2359">
          <cell r="C2359">
            <v>3002338</v>
          </cell>
          <cell r="D2359" t="str">
            <v>JATEAMENTO E HIDROJATEAMENTO</v>
          </cell>
          <cell r="E2359" t="str">
            <v>H</v>
          </cell>
        </row>
        <row r="2360">
          <cell r="C2360">
            <v>3002339</v>
          </cell>
          <cell r="D2360" t="str">
            <v>JATEAMENTO E HIDROJATEAMENTO</v>
          </cell>
          <cell r="E2360" t="str">
            <v>M2</v>
          </cell>
        </row>
        <row r="2361">
          <cell r="C2361">
            <v>3002340</v>
          </cell>
          <cell r="D2361" t="str">
            <v>LAB DE ANÁLISE NA ÁREA VETERINÁRIA.</v>
          </cell>
          <cell r="E2361" t="str">
            <v>SV</v>
          </cell>
        </row>
        <row r="2362">
          <cell r="C2362">
            <v>3002341</v>
          </cell>
          <cell r="D2362" t="str">
            <v>REP MAQ,VEIC,APAR,CALDEIRAR,SOLD,VULCAN</v>
          </cell>
          <cell r="E2362" t="str">
            <v>SV</v>
          </cell>
        </row>
        <row r="2363">
          <cell r="C2363">
            <v>3002342</v>
          </cell>
          <cell r="D2363" t="str">
            <v>LAVAGEM - REPARO DE CONTÊINER</v>
          </cell>
          <cell r="E2363" t="str">
            <v>SV</v>
          </cell>
        </row>
        <row r="2364">
          <cell r="C2364">
            <v>3002343</v>
          </cell>
          <cell r="D2364" t="str">
            <v>REP MAQ,VEIC,APAR,CALDEIRAR,SOLD,VULCAN</v>
          </cell>
          <cell r="E2364" t="str">
            <v>SV</v>
          </cell>
        </row>
        <row r="2365">
          <cell r="C2365">
            <v>3002344</v>
          </cell>
          <cell r="D2365" t="str">
            <v>LAVAGEM E SECAG OBJ QLQ, INCLUS PC-METRO</v>
          </cell>
          <cell r="E2365" t="str">
            <v>M</v>
          </cell>
        </row>
        <row r="2366">
          <cell r="C2366">
            <v>3002345</v>
          </cell>
          <cell r="D2366" t="str">
            <v>LAVAG SECAG OBJ QLQ INCLUS PC-METR QUADR</v>
          </cell>
          <cell r="E2366" t="str">
            <v>M2</v>
          </cell>
        </row>
        <row r="2367">
          <cell r="C2367">
            <v>3002346</v>
          </cell>
          <cell r="D2367" t="str">
            <v>LAVAGEM E SECAGEM OBJ QLQ, INCLUS PÃ‡</v>
          </cell>
          <cell r="E2367" t="str">
            <v>MES</v>
          </cell>
        </row>
        <row r="2368">
          <cell r="C2368">
            <v>3002347</v>
          </cell>
          <cell r="D2368" t="str">
            <v>RESTAUR,PINT,CROMAG,BENEF,TING,GALV</v>
          </cell>
          <cell r="E2368" t="str">
            <v>SV</v>
          </cell>
        </row>
        <row r="2369">
          <cell r="C2369">
            <v>3002348</v>
          </cell>
          <cell r="D2369" t="str">
            <v>LAVAGEM E SECAGEM OBJ QLQ, INCLUS PÃ‡</v>
          </cell>
          <cell r="E2369" t="str">
            <v>UN</v>
          </cell>
        </row>
        <row r="2370">
          <cell r="C2370">
            <v>3002349</v>
          </cell>
          <cell r="D2370" t="str">
            <v>LEILAO E CONGENERES</v>
          </cell>
          <cell r="E2370" t="str">
            <v>SV</v>
          </cell>
        </row>
        <row r="2371">
          <cell r="C2371">
            <v>3002350</v>
          </cell>
          <cell r="D2371" t="str">
            <v>LEILÕES E CONGÊNERES</v>
          </cell>
          <cell r="E2371" t="str">
            <v>UN</v>
          </cell>
        </row>
        <row r="2372">
          <cell r="C2372">
            <v>3002351</v>
          </cell>
          <cell r="D2372" t="str">
            <v>LEITURA DE MEDIDOR; VELOC,ÁGUA; SIMILAR</v>
          </cell>
          <cell r="E2372" t="str">
            <v>UN</v>
          </cell>
        </row>
        <row r="2373">
          <cell r="C2373">
            <v>3002352</v>
          </cell>
          <cell r="D2373" t="str">
            <v>LEITURA ÓTICA, COLETA INFORMAÇÕES E CONG</v>
          </cell>
          <cell r="E2373" t="str">
            <v>UN</v>
          </cell>
        </row>
        <row r="2374">
          <cell r="C2374">
            <v>3002353</v>
          </cell>
          <cell r="D2374" t="str">
            <v>LEVANTAMENTO DE FAUNA E FLORA</v>
          </cell>
          <cell r="E2374" t="str">
            <v>DIA</v>
          </cell>
        </row>
        <row r="2375">
          <cell r="C2375">
            <v>3002354</v>
          </cell>
          <cell r="D2375" t="str">
            <v>LEVANTAMENTO DE FAUNA E FLORA</v>
          </cell>
          <cell r="E2375" t="str">
            <v>H</v>
          </cell>
        </row>
        <row r="2376">
          <cell r="C2376">
            <v>3002355</v>
          </cell>
          <cell r="D2376" t="str">
            <v>LEVANTAMENTO DE FAUNA E FLORA</v>
          </cell>
          <cell r="E2376" t="str">
            <v>HA</v>
          </cell>
        </row>
        <row r="2377">
          <cell r="C2377">
            <v>3002356</v>
          </cell>
          <cell r="D2377" t="str">
            <v>LEVANTAMENTO DE FAUNA E FLORA</v>
          </cell>
          <cell r="E2377" t="str">
            <v>KMS</v>
          </cell>
        </row>
        <row r="2378">
          <cell r="C2378">
            <v>3002357</v>
          </cell>
          <cell r="D2378" t="str">
            <v>LEVANTAMENTO DE FAUNA E FLORA</v>
          </cell>
          <cell r="E2378" t="str">
            <v>M</v>
          </cell>
        </row>
        <row r="2379">
          <cell r="C2379">
            <v>3002358</v>
          </cell>
          <cell r="D2379" t="str">
            <v>LEVANTAMENTO DE FAUNA E FLORA</v>
          </cell>
          <cell r="E2379" t="str">
            <v>M2</v>
          </cell>
        </row>
        <row r="2380">
          <cell r="C2380">
            <v>3002359</v>
          </cell>
          <cell r="D2380" t="str">
            <v>LEVANTAMENTO DE FAUNA E FLORA</v>
          </cell>
          <cell r="E2380" t="str">
            <v>M3</v>
          </cell>
        </row>
        <row r="2381">
          <cell r="C2381">
            <v>3002360</v>
          </cell>
          <cell r="D2381" t="str">
            <v>LEVANTAMENTO DE FAUNA E FLORA</v>
          </cell>
          <cell r="E2381" t="str">
            <v>MES</v>
          </cell>
        </row>
        <row r="2382">
          <cell r="C2382">
            <v>3002361</v>
          </cell>
          <cell r="D2382" t="str">
            <v>LEVANTAMENTO DE FAUNA E FLORA</v>
          </cell>
          <cell r="E2382" t="str">
            <v>SV</v>
          </cell>
        </row>
        <row r="2383">
          <cell r="C2383">
            <v>3002362</v>
          </cell>
          <cell r="D2383" t="str">
            <v>LEVANTAMENTO DE FAUNA E FLORA</v>
          </cell>
          <cell r="E2383" t="str">
            <v>TO</v>
          </cell>
        </row>
        <row r="2384">
          <cell r="C2384">
            <v>3002363</v>
          </cell>
          <cell r="D2384" t="str">
            <v>LEVANTAMENTO DE FAUNA E FLORA</v>
          </cell>
          <cell r="E2384" t="str">
            <v>UN</v>
          </cell>
        </row>
        <row r="2385">
          <cell r="C2385">
            <v>3002364</v>
          </cell>
          <cell r="D2385" t="str">
            <v>LICENC ELETRÔNICO E TRANSF VEÍCULOS</v>
          </cell>
          <cell r="E2385" t="str">
            <v>H</v>
          </cell>
        </row>
        <row r="2386">
          <cell r="C2386">
            <v>3002365</v>
          </cell>
          <cell r="D2386" t="str">
            <v>LICENC ELETRÔNICO E TRANSF VEÍCULOS</v>
          </cell>
          <cell r="E2386" t="str">
            <v>KMS</v>
          </cell>
        </row>
        <row r="2387">
          <cell r="C2387">
            <v>3002366</v>
          </cell>
          <cell r="D2387" t="str">
            <v>LICENC ELETRÔNICO E TRANSF VEÍCULOS</v>
          </cell>
          <cell r="E2387" t="str">
            <v>SV</v>
          </cell>
        </row>
        <row r="2388">
          <cell r="C2388">
            <v>3002367</v>
          </cell>
          <cell r="D2388" t="str">
            <v>LICENC ELETRÔNICO E TRANSF VEÍCULOS</v>
          </cell>
          <cell r="E2388" t="str">
            <v>UN</v>
          </cell>
        </row>
        <row r="2389">
          <cell r="C2389">
            <v>3002368</v>
          </cell>
          <cell r="D2389" t="str">
            <v>LICENCA DE USO DE SOFTWARE</v>
          </cell>
          <cell r="E2389" t="str">
            <v>ANO</v>
          </cell>
        </row>
        <row r="2390">
          <cell r="C2390">
            <v>3002369</v>
          </cell>
          <cell r="D2390" t="str">
            <v>LICENCA DE USO DE SOFTWARE</v>
          </cell>
          <cell r="E2390" t="str">
            <v>H</v>
          </cell>
        </row>
        <row r="2391">
          <cell r="C2391">
            <v>3002370</v>
          </cell>
          <cell r="D2391" t="str">
            <v>LICENCA DE USO DE SOFTWARE</v>
          </cell>
          <cell r="E2391" t="str">
            <v>JG</v>
          </cell>
        </row>
        <row r="2392">
          <cell r="C2392">
            <v>3002371</v>
          </cell>
          <cell r="D2392" t="str">
            <v>LICENCA DE USO DE SOFTWARE</v>
          </cell>
          <cell r="E2392" t="str">
            <v>MES</v>
          </cell>
        </row>
        <row r="2393">
          <cell r="C2393">
            <v>3002372</v>
          </cell>
          <cell r="D2393" t="str">
            <v>LICENCA DE USO DE SOFTWARE</v>
          </cell>
          <cell r="E2393" t="str">
            <v>PC</v>
          </cell>
        </row>
        <row r="2394">
          <cell r="C2394">
            <v>3002373</v>
          </cell>
          <cell r="D2394" t="str">
            <v>LICENCIAMENTO USO D PROGR D COMPUTACAO</v>
          </cell>
          <cell r="E2394" t="str">
            <v>SV</v>
          </cell>
        </row>
        <row r="2395">
          <cell r="C2395">
            <v>3002374</v>
          </cell>
          <cell r="D2395" t="str">
            <v>LICENCA DE USO DE SOFTWARE</v>
          </cell>
          <cell r="E2395" t="str">
            <v>UN</v>
          </cell>
        </row>
        <row r="2396">
          <cell r="C2396">
            <v>3002375</v>
          </cell>
          <cell r="D2396" t="str">
            <v>LIGACAO DE MEDIDORES</v>
          </cell>
          <cell r="E2396" t="str">
            <v>SV</v>
          </cell>
        </row>
        <row r="2397">
          <cell r="C2397">
            <v>3002376</v>
          </cell>
          <cell r="D2397" t="str">
            <v>LIMPEZA MÁQ, VEÍCULOS, EQUIP E SIMILARES</v>
          </cell>
          <cell r="E2397" t="str">
            <v>H</v>
          </cell>
        </row>
        <row r="2398">
          <cell r="C2398">
            <v>3002377</v>
          </cell>
          <cell r="D2398" t="str">
            <v>LIMPEZA MÁQ, VEÍCULOS, EQUIP E SIMILARES</v>
          </cell>
          <cell r="E2398" t="str">
            <v>L</v>
          </cell>
        </row>
        <row r="2399">
          <cell r="C2399">
            <v>3002378</v>
          </cell>
          <cell r="D2399" t="str">
            <v>LIMPEZA MÁQ, VEÍCULOS, EQUIP E SIMILARES</v>
          </cell>
          <cell r="E2399" t="str">
            <v>M</v>
          </cell>
        </row>
        <row r="2400">
          <cell r="C2400">
            <v>3002379</v>
          </cell>
          <cell r="D2400" t="str">
            <v>LIMPEZA MÁQ, VEÍCULOS, EQUIP E SIMILARES</v>
          </cell>
          <cell r="E2400" t="str">
            <v>M2</v>
          </cell>
        </row>
        <row r="2401">
          <cell r="C2401">
            <v>3002380</v>
          </cell>
          <cell r="D2401" t="str">
            <v>LIMPEZA MÁQ, VEÍCULOS, EQUIP E SIMILARES</v>
          </cell>
          <cell r="E2401" t="str">
            <v>M3</v>
          </cell>
        </row>
        <row r="2402">
          <cell r="C2402">
            <v>3002381</v>
          </cell>
          <cell r="D2402" t="str">
            <v>LIMPEZA MÁQ, VEÍCULOS, EQUIP E SIMILARES</v>
          </cell>
          <cell r="E2402" t="str">
            <v>MES</v>
          </cell>
        </row>
        <row r="2403">
          <cell r="C2403">
            <v>3002382</v>
          </cell>
          <cell r="D2403" t="str">
            <v>LIMPEZA MÁQ, VEÍCULOS, EQUIP E SIMILARES</v>
          </cell>
          <cell r="E2403" t="str">
            <v>SV</v>
          </cell>
        </row>
        <row r="2404">
          <cell r="C2404">
            <v>3002383</v>
          </cell>
          <cell r="D2404" t="str">
            <v>LIMPEZA MÁQ, VEÍCULOS, EQUIP E SIMILARES</v>
          </cell>
          <cell r="E2404" t="str">
            <v>UN</v>
          </cell>
        </row>
        <row r="2405">
          <cell r="C2405">
            <v>3002384</v>
          </cell>
          <cell r="D2405" t="str">
            <v>LOC, SUBLOC, ARRENDAM POSTE, DUTO E CONG</v>
          </cell>
          <cell r="E2405" t="str">
            <v>DIA</v>
          </cell>
        </row>
        <row r="2406">
          <cell r="C2406">
            <v>3002385</v>
          </cell>
          <cell r="D2406" t="str">
            <v>LOC, SUBLOC, ARRENDAM POSTE, DUTO E CONG</v>
          </cell>
          <cell r="E2406" t="str">
            <v>H</v>
          </cell>
        </row>
        <row r="2407">
          <cell r="C2407">
            <v>3002386</v>
          </cell>
          <cell r="D2407" t="str">
            <v>LOC, SUBLOC, ARRENDAM POSTE, DUTO E CONG</v>
          </cell>
          <cell r="E2407" t="str">
            <v>KMS</v>
          </cell>
        </row>
        <row r="2408">
          <cell r="C2408">
            <v>3002387</v>
          </cell>
          <cell r="D2408" t="str">
            <v>LOC, SUBLOC, ARRENDAM POSTE, DUTO E CONG</v>
          </cell>
          <cell r="E2408" t="str">
            <v>M</v>
          </cell>
        </row>
        <row r="2409">
          <cell r="C2409">
            <v>3002388</v>
          </cell>
          <cell r="D2409" t="str">
            <v>LOC, SUBLOC, ARRENDAM POSTE, DUTO E CONG</v>
          </cell>
          <cell r="E2409" t="str">
            <v>MES</v>
          </cell>
        </row>
        <row r="2410">
          <cell r="C2410">
            <v>3002389</v>
          </cell>
          <cell r="D2410" t="str">
            <v>LOC, SUBLOC, ARRENDAM POSTE, DUTO E CONG</v>
          </cell>
          <cell r="E2410" t="str">
            <v>SEM</v>
          </cell>
        </row>
        <row r="2411">
          <cell r="C2411">
            <v>3002390</v>
          </cell>
          <cell r="D2411" t="str">
            <v>LOC,SUBLOC,ARRENDAM,DIREITO D PASSAGEM</v>
          </cell>
          <cell r="E2411" t="str">
            <v>SV</v>
          </cell>
        </row>
        <row r="2412">
          <cell r="C2412">
            <v>3002391</v>
          </cell>
          <cell r="D2412" t="str">
            <v>LOC, SUBLOC, ARRENDAM POSTE, DUTO E CONG</v>
          </cell>
          <cell r="E2412" t="str">
            <v>UN</v>
          </cell>
        </row>
        <row r="2413">
          <cell r="C2413">
            <v>3002392</v>
          </cell>
          <cell r="D2413" t="str">
            <v>LOCAÃ‡ÃƒO ANDAIME, COBERTURA E SIMILARES</v>
          </cell>
          <cell r="E2413" t="str">
            <v>DIA</v>
          </cell>
        </row>
        <row r="2414">
          <cell r="C2414">
            <v>3002393</v>
          </cell>
          <cell r="D2414" t="str">
            <v>LOCAÃ‡ÃƒO ANDAIME, COBERTURA E SIMILARES</v>
          </cell>
          <cell r="E2414" t="str">
            <v>H</v>
          </cell>
        </row>
        <row r="2415">
          <cell r="C2415">
            <v>3002394</v>
          </cell>
          <cell r="D2415" t="str">
            <v>LOCAÃ‡ÃƒO ANDAIME, COBERTURA E SIMILARES</v>
          </cell>
          <cell r="E2415" t="str">
            <v>KMS</v>
          </cell>
        </row>
        <row r="2416">
          <cell r="C2416">
            <v>3002395</v>
          </cell>
          <cell r="D2416" t="str">
            <v>LOCAÇÃO ANDAIME, COBERTURA E SIMILARES</v>
          </cell>
          <cell r="E2416" t="str">
            <v>M</v>
          </cell>
        </row>
        <row r="2417">
          <cell r="C2417">
            <v>3002396</v>
          </cell>
          <cell r="D2417" t="str">
            <v>LOCAÃ‡ÃƒO ANDAIME, COBERTURA E SIMILARES</v>
          </cell>
          <cell r="E2417" t="str">
            <v>M2</v>
          </cell>
        </row>
        <row r="2418">
          <cell r="C2418">
            <v>3002397</v>
          </cell>
          <cell r="D2418" t="str">
            <v>LOCAÃ‡ÃƒO ANDAIME, COBERTURA E SIMILARES</v>
          </cell>
          <cell r="E2418" t="str">
            <v>M3</v>
          </cell>
        </row>
        <row r="2419">
          <cell r="C2419">
            <v>3002398</v>
          </cell>
          <cell r="D2419" t="str">
            <v>LOCAÃ‡ÃƒO ANDAIME, COBERTURA E SIMILARES</v>
          </cell>
          <cell r="E2419" t="str">
            <v>MES</v>
          </cell>
        </row>
        <row r="2420">
          <cell r="C2420">
            <v>3002399</v>
          </cell>
          <cell r="D2420" t="str">
            <v>LOC ANDAIME,PALCO,ESTRUT USO TEMPORARIO</v>
          </cell>
          <cell r="E2420" t="str">
            <v>SV</v>
          </cell>
        </row>
        <row r="2421">
          <cell r="C2421">
            <v>3002400</v>
          </cell>
          <cell r="D2421" t="str">
            <v>LOCAÃ‡ÃƒO ANDAIME, COBERTURA E SIMILARES</v>
          </cell>
          <cell r="E2421" t="str">
            <v>UN</v>
          </cell>
        </row>
        <row r="2422">
          <cell r="C2422">
            <v>3002401</v>
          </cell>
          <cell r="D2422" t="str">
            <v>LOCACAO DE MOVEIS</v>
          </cell>
          <cell r="E2422" t="str">
            <v>UN</v>
          </cell>
        </row>
        <row r="2423">
          <cell r="C2423">
            <v>3002402</v>
          </cell>
          <cell r="D2423" t="str">
            <v>LOC ANDAIME,PALCO,ESTRUT USO TEMPORARIO</v>
          </cell>
          <cell r="E2423" t="str">
            <v>SV</v>
          </cell>
        </row>
        <row r="2424">
          <cell r="C2424">
            <v>3002403</v>
          </cell>
          <cell r="D2424" t="str">
            <v>LOC ANDAIME,PALCO,ESTRUT USO TEMPORARIO</v>
          </cell>
          <cell r="E2424" t="str">
            <v>SV</v>
          </cell>
        </row>
        <row r="2425">
          <cell r="C2425">
            <v>3002404</v>
          </cell>
          <cell r="D2425" t="str">
            <v>LOCACAO EQUIP ICAMENTO CARGA; DIAS</v>
          </cell>
          <cell r="E2425" t="str">
            <v>DIA</v>
          </cell>
        </row>
        <row r="2426">
          <cell r="C2426">
            <v>3002405</v>
          </cell>
          <cell r="D2426" t="str">
            <v>LOCACAO EQUIP ICAMENTO CARGA; HR</v>
          </cell>
          <cell r="E2426" t="str">
            <v>H</v>
          </cell>
        </row>
        <row r="2427">
          <cell r="C2427">
            <v>3002406</v>
          </cell>
          <cell r="D2427" t="str">
            <v>LOCACAO EQUIP ICAMENTO CARGA; KELV/SEG</v>
          </cell>
          <cell r="E2427" t="str">
            <v>KMS</v>
          </cell>
        </row>
        <row r="2428">
          <cell r="C2428">
            <v>3002407</v>
          </cell>
          <cell r="D2428" t="str">
            <v>LOCACAO EQUIP ICAMENTO CARGA; MESES</v>
          </cell>
          <cell r="E2428" t="str">
            <v>MES</v>
          </cell>
        </row>
        <row r="2429">
          <cell r="C2429">
            <v>3002408</v>
          </cell>
          <cell r="D2429" t="str">
            <v>LOCACAO EQUIP ICAMENTO CARGA; SEMAN</v>
          </cell>
          <cell r="E2429" t="str">
            <v>SEM</v>
          </cell>
        </row>
        <row r="2430">
          <cell r="C2430">
            <v>3002409</v>
          </cell>
          <cell r="D2430" t="str">
            <v>LOC D VEICULOS,BENS MOVEIS S CESSAO MDO</v>
          </cell>
          <cell r="E2430" t="str">
            <v>SV</v>
          </cell>
        </row>
        <row r="2431">
          <cell r="C2431">
            <v>3002410</v>
          </cell>
          <cell r="D2431" t="str">
            <v>LOCACAO EQUIP ICAMENTO CARGA; UN</v>
          </cell>
          <cell r="E2431" t="str">
            <v>UN</v>
          </cell>
        </row>
        <row r="2432">
          <cell r="C2432">
            <v>3002411</v>
          </cell>
          <cell r="D2432" t="str">
            <v>LOCAÇÃO EQUIP LIMPEZA INDUSTRIAL</v>
          </cell>
          <cell r="E2432" t="str">
            <v>DIA</v>
          </cell>
        </row>
        <row r="2433">
          <cell r="C2433">
            <v>3002412</v>
          </cell>
          <cell r="D2433" t="str">
            <v>LOCAÇÃO EQUIP LIMPEZA INDUSTRIAL</v>
          </cell>
          <cell r="E2433" t="str">
            <v>H</v>
          </cell>
        </row>
        <row r="2434">
          <cell r="C2434">
            <v>3002413</v>
          </cell>
          <cell r="D2434" t="str">
            <v>LOCAÇÃO EQUIP LIMPEZA INDUSTRIAL</v>
          </cell>
          <cell r="E2434" t="str">
            <v>KG</v>
          </cell>
        </row>
        <row r="2435">
          <cell r="C2435">
            <v>3002414</v>
          </cell>
          <cell r="D2435" t="str">
            <v>LOCAÇÃO EQUIP LIMPEZA INDUSTRIAL</v>
          </cell>
          <cell r="E2435" t="str">
            <v>MES</v>
          </cell>
        </row>
        <row r="2436">
          <cell r="C2436">
            <v>3002415</v>
          </cell>
          <cell r="D2436" t="str">
            <v>LOC D VEICULOS,BENS MOVEIS S CESSAO MDO</v>
          </cell>
          <cell r="E2436" t="str">
            <v>SV</v>
          </cell>
        </row>
        <row r="2437">
          <cell r="C2437">
            <v>3002416</v>
          </cell>
          <cell r="D2437" t="str">
            <v>LOCAÇÃO EQUIP LIMPEZA INDUSTRIAL</v>
          </cell>
          <cell r="E2437" t="str">
            <v>TO</v>
          </cell>
        </row>
        <row r="2438">
          <cell r="C2438">
            <v>3002417</v>
          </cell>
          <cell r="D2438" t="str">
            <v>LOCAÇÃO EQUIP LIMPEZA INDUSTRIAL</v>
          </cell>
          <cell r="E2438" t="str">
            <v>UN</v>
          </cell>
        </row>
        <row r="2439">
          <cell r="C2439">
            <v>3002418</v>
          </cell>
          <cell r="D2439" t="str">
            <v>LOCAÇÃO EQUIP MOV INTERNA - FORA ESTRADA</v>
          </cell>
          <cell r="E2439" t="str">
            <v>DIA</v>
          </cell>
        </row>
        <row r="2440">
          <cell r="C2440">
            <v>3002419</v>
          </cell>
          <cell r="D2440" t="str">
            <v>LOCAÇÃO EQUIP MOV INTERNA - FORA ESTRADA</v>
          </cell>
          <cell r="E2440" t="str">
            <v>H</v>
          </cell>
        </row>
        <row r="2441">
          <cell r="C2441">
            <v>3002420</v>
          </cell>
          <cell r="D2441" t="str">
            <v>LOCAÇÃO EQUIP MOV INTERNA - FORA ESTRADA</v>
          </cell>
          <cell r="E2441" t="str">
            <v>M</v>
          </cell>
        </row>
        <row r="2442">
          <cell r="C2442">
            <v>3002421</v>
          </cell>
          <cell r="D2442" t="str">
            <v>LOCAÇÃO EQUIP MOV INTERNA - FORA ESTRADA</v>
          </cell>
          <cell r="E2442" t="str">
            <v>SEM</v>
          </cell>
        </row>
        <row r="2443">
          <cell r="C2443">
            <v>3002422</v>
          </cell>
          <cell r="D2443" t="str">
            <v>LOCAÇÃO EQUIP MOV INTERNA - FORA ESTRADA</v>
          </cell>
          <cell r="E2443" t="str">
            <v>UN</v>
          </cell>
        </row>
        <row r="2444">
          <cell r="C2444">
            <v>3002423</v>
          </cell>
          <cell r="D2444" t="str">
            <v>LOC D VEICULOS,BENS MOVEIS S CESSAO MDO</v>
          </cell>
          <cell r="E2444" t="str">
            <v>SV</v>
          </cell>
        </row>
        <row r="2445">
          <cell r="C2445">
            <v>3002424</v>
          </cell>
          <cell r="D2445" t="str">
            <v>LOCAÇÃO EQUIPAMENTO MOVIMENTAÇÃO INTERNA</v>
          </cell>
          <cell r="E2445" t="str">
            <v>DIA</v>
          </cell>
        </row>
        <row r="2446">
          <cell r="C2446">
            <v>3002425</v>
          </cell>
          <cell r="D2446" t="str">
            <v>LOCAÇÃO EQUIPAMENTO MOVIMENTAÇÃO INTERNA</v>
          </cell>
          <cell r="E2446" t="str">
            <v>H</v>
          </cell>
        </row>
        <row r="2447">
          <cell r="C2447">
            <v>3002426</v>
          </cell>
          <cell r="D2447" t="str">
            <v>LOCAÇÃO EQUIPAMENTO MOVIMENTAÇÃO INTERNA</v>
          </cell>
          <cell r="E2447" t="str">
            <v>KMS</v>
          </cell>
        </row>
        <row r="2448">
          <cell r="C2448">
            <v>3002427</v>
          </cell>
          <cell r="D2448" t="str">
            <v>LOCAÇÃO EQUIPAMENTO MOVIMENTAÇÃO INTERNA</v>
          </cell>
          <cell r="E2448" t="str">
            <v>M</v>
          </cell>
        </row>
        <row r="2449">
          <cell r="C2449">
            <v>3002428</v>
          </cell>
          <cell r="D2449" t="str">
            <v>LOCAÇÃO EQUIPAMENTO MOVIMENTAÇÃO INTERNA</v>
          </cell>
          <cell r="E2449" t="str">
            <v>M2</v>
          </cell>
        </row>
        <row r="2450">
          <cell r="C2450">
            <v>3002429</v>
          </cell>
          <cell r="D2450" t="str">
            <v>LOCAÇÃO EQUIPAMENTO MOVIMENTAÇÃO INTERNA</v>
          </cell>
          <cell r="E2450" t="str">
            <v>MES</v>
          </cell>
        </row>
        <row r="2451">
          <cell r="C2451">
            <v>3002430</v>
          </cell>
          <cell r="D2451" t="str">
            <v>LOCAÇÃO EQUIPAMENTO MOVIMENTAÇÃO INTERNA</v>
          </cell>
          <cell r="E2451" t="str">
            <v>SV</v>
          </cell>
        </row>
        <row r="2452">
          <cell r="C2452">
            <v>3002431</v>
          </cell>
          <cell r="D2452" t="str">
            <v>LOCAÇÃO EQUIPAMENTO MOVIMENTAÇÃO INTERNA</v>
          </cell>
          <cell r="E2452" t="str">
            <v>TO</v>
          </cell>
        </row>
        <row r="2453">
          <cell r="C2453">
            <v>3002432</v>
          </cell>
          <cell r="D2453" t="str">
            <v>LOCAÇÃO EQUIPAMENTO MOVIMENTAÇÃO INTERNA</v>
          </cell>
          <cell r="E2453" t="str">
            <v>UN</v>
          </cell>
        </row>
        <row r="2454">
          <cell r="C2454">
            <v>3002433</v>
          </cell>
          <cell r="D2454" t="str">
            <v>LOCAÇÃO MANUT TERMINAIS ELETRÔNICOS</v>
          </cell>
          <cell r="E2454" t="str">
            <v>DIA</v>
          </cell>
        </row>
        <row r="2455">
          <cell r="C2455">
            <v>3002434</v>
          </cell>
          <cell r="D2455" t="str">
            <v>LOCAÇÃO MANUT TERMINAIS ELETRÔNICOS</v>
          </cell>
          <cell r="E2455" t="str">
            <v>H</v>
          </cell>
        </row>
        <row r="2456">
          <cell r="C2456">
            <v>3002435</v>
          </cell>
          <cell r="D2456" t="str">
            <v>LOCAÇÃO MANUT TERMINAIS ELETRÔNICOS</v>
          </cell>
          <cell r="E2456" t="str">
            <v>L</v>
          </cell>
        </row>
        <row r="2457">
          <cell r="C2457">
            <v>3002436</v>
          </cell>
          <cell r="D2457" t="str">
            <v>LOCAÇÃO MANUT TERMINAIS ELETRÔNICOS</v>
          </cell>
          <cell r="E2457" t="str">
            <v>MES</v>
          </cell>
        </row>
        <row r="2458">
          <cell r="C2458">
            <v>3002437</v>
          </cell>
          <cell r="D2458" t="str">
            <v>LOC E MANUT DE BENS E EQUIPS EM GERAL</v>
          </cell>
          <cell r="E2458" t="str">
            <v>SV</v>
          </cell>
        </row>
        <row r="2459">
          <cell r="C2459">
            <v>3002438</v>
          </cell>
          <cell r="D2459" t="str">
            <v>LOCAÇÃO MANUT TERMINAIS ELETRÔNICOS</v>
          </cell>
          <cell r="E2459" t="str">
            <v>UN</v>
          </cell>
        </row>
        <row r="2460">
          <cell r="C2460">
            <v>3002439</v>
          </cell>
          <cell r="D2460" t="str">
            <v>LOCAÇÃO MÁQ E EQUIP C CESSÃO MÃO OBRA</v>
          </cell>
          <cell r="E2460" t="str">
            <v>DIA</v>
          </cell>
        </row>
        <row r="2461">
          <cell r="C2461">
            <v>3002440</v>
          </cell>
          <cell r="D2461" t="str">
            <v>LOCAÇÃO MÁQ E EQUIP C CESSÃO MÃO OBRA</v>
          </cell>
          <cell r="E2461" t="str">
            <v>H</v>
          </cell>
        </row>
        <row r="2462">
          <cell r="C2462">
            <v>3002441</v>
          </cell>
          <cell r="D2462" t="str">
            <v>LOC EQUIPS COM CESSAO MDO</v>
          </cell>
          <cell r="E2462" t="str">
            <v>SV</v>
          </cell>
        </row>
        <row r="2463">
          <cell r="C2463">
            <v>3002442</v>
          </cell>
          <cell r="D2463" t="str">
            <v>LOCAÇÃO MÁQ E EQUIP C CESSÃO MÃO OBRA</v>
          </cell>
          <cell r="E2463" t="str">
            <v>MES</v>
          </cell>
        </row>
        <row r="2464">
          <cell r="C2464">
            <v>3002443</v>
          </cell>
          <cell r="D2464" t="str">
            <v>LOCAÇÃO MÁQ E EQUIP C CESSÃO MÃO OBRA</v>
          </cell>
          <cell r="E2464" t="str">
            <v>PC</v>
          </cell>
        </row>
        <row r="2465">
          <cell r="C2465">
            <v>3002444</v>
          </cell>
          <cell r="D2465" t="str">
            <v>LOCAÇÃO MÁQ E EQUIP C CESSÃO MÃO OBRA</v>
          </cell>
          <cell r="E2465" t="str">
            <v>SEM</v>
          </cell>
        </row>
        <row r="2466">
          <cell r="C2466">
            <v>3002445</v>
          </cell>
          <cell r="D2466" t="str">
            <v>LOC EQUIPS COM CESSAO MDO</v>
          </cell>
          <cell r="E2466" t="str">
            <v>SV</v>
          </cell>
        </row>
        <row r="2467">
          <cell r="C2467">
            <v>3002446</v>
          </cell>
          <cell r="D2467" t="str">
            <v>LOCAÇÃO MÁQ E EQUIP C CESSÃO MÃO OBRA</v>
          </cell>
          <cell r="E2467" t="str">
            <v>UN</v>
          </cell>
        </row>
        <row r="2468">
          <cell r="C2468">
            <v>3002447</v>
          </cell>
          <cell r="D2468" t="str">
            <v>LOCACAO/ARRENDAMENTO DE IMOVEIS</v>
          </cell>
          <cell r="E2468" t="str">
            <v>ANO</v>
          </cell>
        </row>
        <row r="2469">
          <cell r="C2469">
            <v>3002448</v>
          </cell>
          <cell r="D2469" t="str">
            <v>LOCACAO/ARRENDAMENTO DE IMOVEIS/HECTARE</v>
          </cell>
          <cell r="E2469" t="str">
            <v>HA</v>
          </cell>
        </row>
        <row r="2470">
          <cell r="C2470">
            <v>3002449</v>
          </cell>
          <cell r="D2470" t="str">
            <v>LOCACAO OU ARRENDAMENTO DE IMOVEIS/MES</v>
          </cell>
          <cell r="E2470" t="str">
            <v>MES</v>
          </cell>
        </row>
        <row r="2471">
          <cell r="C2471">
            <v>3002450</v>
          </cell>
          <cell r="D2471" t="str">
            <v>LOCAÇÃO/ARRENDAMENTO DE IMÓVEIS.</v>
          </cell>
          <cell r="E2471" t="str">
            <v>SV</v>
          </cell>
        </row>
        <row r="2472">
          <cell r="C2472">
            <v>3002451</v>
          </cell>
          <cell r="D2472" t="str">
            <v>LOCACAO/ARRENDAMENTO DE IMOVEIS</v>
          </cell>
          <cell r="E2472" t="str">
            <v>TO</v>
          </cell>
        </row>
        <row r="2473">
          <cell r="C2473">
            <v>3002452</v>
          </cell>
          <cell r="D2473" t="str">
            <v>LOCACAO/ARRENDAMENTO DE IMOVEIS</v>
          </cell>
          <cell r="E2473" t="str">
            <v>UN</v>
          </cell>
        </row>
        <row r="2474">
          <cell r="C2474">
            <v>3002453</v>
          </cell>
          <cell r="D2474" t="str">
            <v>LOCAÇÃO VEÍCULOS C CESSÃO MÃO OBRA</v>
          </cell>
          <cell r="E2474" t="str">
            <v>DIA</v>
          </cell>
        </row>
        <row r="2475">
          <cell r="C2475">
            <v>3002454</v>
          </cell>
          <cell r="D2475" t="str">
            <v>LOCAÇÃO VEÍCULOS C CESSÃO MÃO OBRA</v>
          </cell>
          <cell r="E2475" t="str">
            <v>H</v>
          </cell>
        </row>
        <row r="2476">
          <cell r="C2476">
            <v>3002455</v>
          </cell>
          <cell r="D2476" t="str">
            <v>LOCAÇÃO VEÍCULOS C CESSÃO MÃO OBRA</v>
          </cell>
          <cell r="E2476" t="str">
            <v>KMS</v>
          </cell>
        </row>
        <row r="2477">
          <cell r="C2477">
            <v>3002456</v>
          </cell>
          <cell r="D2477" t="str">
            <v>LOCAÇÃO VEÍCULOS C CESSÃO MÃO OBRA</v>
          </cell>
          <cell r="E2477" t="str">
            <v>M3</v>
          </cell>
        </row>
        <row r="2478">
          <cell r="C2478">
            <v>3002457</v>
          </cell>
          <cell r="D2478" t="str">
            <v>LOCAÇÃO VEÍCULOS C CESSÃO MÃO OBRA</v>
          </cell>
          <cell r="E2478" t="str">
            <v>MES</v>
          </cell>
        </row>
        <row r="2479">
          <cell r="C2479">
            <v>3002458</v>
          </cell>
          <cell r="D2479" t="str">
            <v>LOCAÇÃO VEÍCULOS C CESSÃO MÃO OBRA</v>
          </cell>
          <cell r="E2479" t="str">
            <v>SV</v>
          </cell>
        </row>
        <row r="2480">
          <cell r="C2480">
            <v>3002459</v>
          </cell>
          <cell r="D2480" t="str">
            <v>LOCAÇÃO VEÍCULOS C CESSÃO MÃO OBRA</v>
          </cell>
          <cell r="E2480" t="str">
            <v>UN</v>
          </cell>
        </row>
        <row r="2481">
          <cell r="C2481">
            <v>3002460</v>
          </cell>
          <cell r="D2481" t="str">
            <v>LOCAÇÃO, SUBLOC, ARRENDAMENTO DE RODOVIA</v>
          </cell>
          <cell r="E2481" t="str">
            <v>UN</v>
          </cell>
        </row>
        <row r="2482">
          <cell r="C2482">
            <v>3002461</v>
          </cell>
          <cell r="D2482" t="str">
            <v>LOCAÇÃO, SUBLOC, ARRENDAMENTO FERROVIA</v>
          </cell>
          <cell r="E2482" t="str">
            <v>MES</v>
          </cell>
        </row>
        <row r="2483">
          <cell r="C2483">
            <v>3002462</v>
          </cell>
          <cell r="D2483" t="str">
            <v>LOCAÇÃO, SUBLOC, ARRENDAMENTO FERROVIA</v>
          </cell>
          <cell r="E2483" t="str">
            <v>UN</v>
          </cell>
        </row>
        <row r="2484">
          <cell r="C2484">
            <v>3002463</v>
          </cell>
          <cell r="D2484" t="str">
            <v>LUBRIF E LUSTR MAQ;EQUIP MÓV E SIMILAR</v>
          </cell>
          <cell r="E2484" t="str">
            <v>H</v>
          </cell>
        </row>
        <row r="2485">
          <cell r="C2485">
            <v>3002464</v>
          </cell>
          <cell r="D2485" t="str">
            <v>LUBRIF E LUSTR MAQ;EQUIP MÓV E SIMILAR</v>
          </cell>
          <cell r="E2485" t="str">
            <v>KG</v>
          </cell>
        </row>
        <row r="2486">
          <cell r="C2486">
            <v>3002465</v>
          </cell>
          <cell r="D2486" t="str">
            <v>LUBRIF E LUSTR MAQ;EQUIP MÓV E SIMILAR</v>
          </cell>
          <cell r="E2486" t="str">
            <v>MES</v>
          </cell>
        </row>
        <row r="2487">
          <cell r="C2487">
            <v>3002466</v>
          </cell>
          <cell r="D2487" t="str">
            <v>LUBRIF,LUSTRACAO,REVISAO,CARGA,RECARGA</v>
          </cell>
          <cell r="E2487" t="str">
            <v>SV</v>
          </cell>
        </row>
        <row r="2488">
          <cell r="C2488">
            <v>3002467</v>
          </cell>
          <cell r="D2488" t="str">
            <v>LUBRIF E LUSTR MAQ;EQUIP MÓV E SIMILAR</v>
          </cell>
          <cell r="E2488" t="str">
            <v>UN</v>
          </cell>
        </row>
        <row r="2489">
          <cell r="C2489">
            <v>3002468</v>
          </cell>
          <cell r="D2489" t="str">
            <v>MANUT BASCULAS CAMINHOES E FORA DE EST</v>
          </cell>
          <cell r="E2489" t="str">
            <v>H</v>
          </cell>
        </row>
        <row r="2490">
          <cell r="C2490">
            <v>3002469</v>
          </cell>
          <cell r="D2490" t="str">
            <v>MANUT BASCULAS CAMINHOES E FORA DE EST</v>
          </cell>
          <cell r="E2490" t="str">
            <v>KG</v>
          </cell>
        </row>
        <row r="2491">
          <cell r="C2491">
            <v>3002470</v>
          </cell>
          <cell r="D2491" t="str">
            <v>CONSERT, REP, RESTAUR, REFOR E BLIND</v>
          </cell>
          <cell r="E2491" t="str">
            <v>SV</v>
          </cell>
        </row>
        <row r="2492">
          <cell r="C2492">
            <v>3002471</v>
          </cell>
          <cell r="D2492" t="str">
            <v>CONSERT, REP, RESTAUR, REFOR E BLIND</v>
          </cell>
          <cell r="E2492" t="str">
            <v>SV</v>
          </cell>
        </row>
        <row r="2493">
          <cell r="C2493">
            <v>3002472</v>
          </cell>
          <cell r="D2493" t="str">
            <v>MANUT BASCULAS CAMINHOES E FORA DE EST</v>
          </cell>
          <cell r="E2493" t="str">
            <v>M</v>
          </cell>
        </row>
        <row r="2494">
          <cell r="C2494">
            <v>3002473</v>
          </cell>
          <cell r="D2494" t="str">
            <v>MANUT BASCULAS CAMINHOES E FORA DE EST</v>
          </cell>
          <cell r="E2494" t="str">
            <v>M2</v>
          </cell>
        </row>
        <row r="2495">
          <cell r="C2495">
            <v>3002474</v>
          </cell>
          <cell r="D2495" t="str">
            <v>CONSERT, REP, RESTAUR, REFOR E BLIND</v>
          </cell>
          <cell r="E2495" t="str">
            <v>SV</v>
          </cell>
        </row>
        <row r="2496">
          <cell r="C2496">
            <v>3002475</v>
          </cell>
          <cell r="D2496" t="str">
            <v>CONSERT, REP, RESTAUR, REFOR E BLIND</v>
          </cell>
          <cell r="E2496" t="str">
            <v>SV</v>
          </cell>
        </row>
        <row r="2497">
          <cell r="C2497">
            <v>3002476</v>
          </cell>
          <cell r="D2497" t="str">
            <v>MANUT BASCULAS CAMINHOES E FORA DE EST</v>
          </cell>
          <cell r="E2497" t="str">
            <v>UN</v>
          </cell>
        </row>
        <row r="2498">
          <cell r="C2498">
            <v>3002477</v>
          </cell>
          <cell r="D2498" t="str">
            <v>MANUT BOMBAS CENTR HORIZ;VERT POLPA;AGUA</v>
          </cell>
          <cell r="E2498" t="str">
            <v>DIA</v>
          </cell>
        </row>
        <row r="2499">
          <cell r="C2499">
            <v>3002478</v>
          </cell>
          <cell r="D2499" t="str">
            <v>MANUT BOMBAS CENTR HORIZ;VERT POLPA;AGUA</v>
          </cell>
          <cell r="E2499" t="str">
            <v>H</v>
          </cell>
        </row>
        <row r="2500">
          <cell r="C2500">
            <v>3002479</v>
          </cell>
          <cell r="D2500" t="str">
            <v>MANUT BOMBAS CENTR HORIZ;VERT POLPA;AGUA</v>
          </cell>
          <cell r="E2500" t="str">
            <v>UN</v>
          </cell>
        </row>
        <row r="2501">
          <cell r="C2501">
            <v>3002480</v>
          </cell>
          <cell r="D2501" t="str">
            <v>MANUT CAPOTARIA E ESTOFAMENTO EM GERAL</v>
          </cell>
          <cell r="E2501" t="str">
            <v>KMS</v>
          </cell>
        </row>
        <row r="2502">
          <cell r="C2502">
            <v>3002481</v>
          </cell>
          <cell r="D2502" t="str">
            <v>MANUT CAPOTARIA E ESTOFAMENTO EM GERAL</v>
          </cell>
          <cell r="E2502" t="str">
            <v>M2</v>
          </cell>
        </row>
        <row r="2503">
          <cell r="C2503">
            <v>3002482</v>
          </cell>
          <cell r="D2503" t="str">
            <v>MANUT CAPOTARIA E ESTOFAMENTO EM GERAL</v>
          </cell>
          <cell r="E2503" t="str">
            <v>UN</v>
          </cell>
        </row>
        <row r="2504">
          <cell r="C2504">
            <v>3002483</v>
          </cell>
          <cell r="D2504" t="str">
            <v>MANUT COMPO ELETR -CART;PLACA;MODULOS</v>
          </cell>
          <cell r="E2504" t="str">
            <v>H</v>
          </cell>
        </row>
        <row r="2505">
          <cell r="C2505">
            <v>3002484</v>
          </cell>
          <cell r="D2505" t="str">
            <v>MANUT COMPO ELETR -CART;PLACA;MODULOS</v>
          </cell>
          <cell r="E2505" t="str">
            <v>MES</v>
          </cell>
        </row>
        <row r="2506">
          <cell r="C2506">
            <v>3002485</v>
          </cell>
          <cell r="D2506" t="str">
            <v>MANUT COMPO ELETR -CART;PLACA;MODULOS</v>
          </cell>
          <cell r="E2506" t="str">
            <v>PC</v>
          </cell>
        </row>
        <row r="2507">
          <cell r="C2507">
            <v>3002486</v>
          </cell>
          <cell r="D2507" t="str">
            <v>CONSERT, REP, RESTAUR, REFOR E BLIND</v>
          </cell>
          <cell r="E2507" t="str">
            <v>SV</v>
          </cell>
        </row>
        <row r="2508">
          <cell r="C2508">
            <v>3002487</v>
          </cell>
          <cell r="D2508" t="str">
            <v>MANUT COMPO ELETR -CART;PLACA;MODULOS</v>
          </cell>
          <cell r="E2508" t="str">
            <v>UN</v>
          </cell>
        </row>
        <row r="2509">
          <cell r="C2509">
            <v>3002488</v>
          </cell>
          <cell r="D2509" t="str">
            <v>MANUT E CONSERV MAQ;EQUIP MÓV E SIMILAR</v>
          </cell>
          <cell r="E2509" t="str">
            <v>CX</v>
          </cell>
        </row>
        <row r="2510">
          <cell r="C2510">
            <v>3002489</v>
          </cell>
          <cell r="D2510" t="str">
            <v>MANUT E CONSERV MAQ;EQUIP MÓV E SIMILAR</v>
          </cell>
          <cell r="E2510" t="str">
            <v>DIA</v>
          </cell>
        </row>
        <row r="2511">
          <cell r="C2511">
            <v>3002490</v>
          </cell>
          <cell r="D2511" t="str">
            <v>MANUT E CONSERV MAQ;EQUIP MÓV E SIMILAR</v>
          </cell>
          <cell r="E2511" t="str">
            <v>H</v>
          </cell>
        </row>
        <row r="2512">
          <cell r="C2512">
            <v>3002491</v>
          </cell>
          <cell r="D2512" t="str">
            <v>MANUT CONSERV MAQS,EQUIPS MOV,PC,MOTORES</v>
          </cell>
          <cell r="E2512" t="str">
            <v>SV</v>
          </cell>
        </row>
        <row r="2513">
          <cell r="C2513">
            <v>3002492</v>
          </cell>
          <cell r="D2513" t="str">
            <v>MANUT E CONSERV MAQ;EQUIP MÓV E SIMILAR</v>
          </cell>
          <cell r="E2513" t="str">
            <v>JG</v>
          </cell>
        </row>
        <row r="2514">
          <cell r="C2514">
            <v>3002493</v>
          </cell>
          <cell r="D2514" t="str">
            <v>MANUT E CONSERV MAQ;EQUIP MÓV E SIMILAR</v>
          </cell>
          <cell r="E2514" t="str">
            <v>KG</v>
          </cell>
        </row>
        <row r="2515">
          <cell r="C2515">
            <v>3002494</v>
          </cell>
          <cell r="D2515" t="str">
            <v>MANUT E CONSERV MAQ;EQUIP MÓV E SIMILAR</v>
          </cell>
          <cell r="E2515" t="str">
            <v>KMS</v>
          </cell>
        </row>
        <row r="2516">
          <cell r="C2516">
            <v>3002495</v>
          </cell>
          <cell r="D2516" t="str">
            <v>MANUT E CONSERV MAQ;EQUIP MÓV E SIMILAR</v>
          </cell>
          <cell r="E2516" t="str">
            <v>L</v>
          </cell>
        </row>
        <row r="2517">
          <cell r="C2517">
            <v>3002496</v>
          </cell>
          <cell r="D2517" t="str">
            <v>MANUT E CONSERV MAQ;EQUIP MÓV E SIMILAR</v>
          </cell>
          <cell r="E2517" t="str">
            <v>M</v>
          </cell>
        </row>
        <row r="2518">
          <cell r="C2518">
            <v>3002497</v>
          </cell>
          <cell r="D2518" t="str">
            <v>MANUT E CONSERV MAQ;EQUIP MÓV E SIMILAR</v>
          </cell>
          <cell r="E2518" t="str">
            <v>M2</v>
          </cell>
        </row>
        <row r="2519">
          <cell r="C2519">
            <v>3002498</v>
          </cell>
          <cell r="D2519" t="str">
            <v>MANUT E CONSERV MAQ;EQUIP MÓV E SIMILAR</v>
          </cell>
          <cell r="E2519" t="str">
            <v>M3</v>
          </cell>
        </row>
        <row r="2520">
          <cell r="C2520">
            <v>3002499</v>
          </cell>
          <cell r="D2520" t="str">
            <v>MANUT E CONSERV MAQ;EQUIP MÓV E SIMILAR</v>
          </cell>
          <cell r="E2520" t="str">
            <v>MES</v>
          </cell>
        </row>
        <row r="2521">
          <cell r="C2521">
            <v>3002500</v>
          </cell>
          <cell r="D2521" t="str">
            <v>MANUT E CONSERV MAQ;EQUIP MÓV E SIMILAR</v>
          </cell>
          <cell r="E2521" t="str">
            <v>PAR</v>
          </cell>
        </row>
        <row r="2522">
          <cell r="C2522">
            <v>3002501</v>
          </cell>
          <cell r="D2522" t="str">
            <v>MANUT E CONSERV MAQ;EQUIP MÓV E SIMILAR</v>
          </cell>
          <cell r="E2522" t="str">
            <v>PC</v>
          </cell>
        </row>
        <row r="2523">
          <cell r="C2523">
            <v>3002502</v>
          </cell>
          <cell r="D2523" t="str">
            <v>MANUT E CONSERV MAQ;EQUIP MÓV E SIMILAR</v>
          </cell>
          <cell r="E2523" t="str">
            <v>SV</v>
          </cell>
        </row>
        <row r="2524">
          <cell r="C2524">
            <v>3002503</v>
          </cell>
          <cell r="D2524" t="str">
            <v>MANUT E CONSERV MAQ;EQUIP MÓV E SIMILAR</v>
          </cell>
          <cell r="E2524" t="str">
            <v>UN</v>
          </cell>
        </row>
        <row r="2525">
          <cell r="C2525">
            <v>3002504</v>
          </cell>
          <cell r="D2525" t="str">
            <v>MANUT E MONTAGEM DE ESTRUTURAS METÁLICAS</v>
          </cell>
          <cell r="E2525" t="str">
            <v>H</v>
          </cell>
        </row>
        <row r="2526">
          <cell r="C2526">
            <v>3002505</v>
          </cell>
          <cell r="D2526" t="str">
            <v>MANUT E MONTAGEM DE ESTRUTURAS METÁLICAS</v>
          </cell>
          <cell r="E2526" t="str">
            <v>JG</v>
          </cell>
        </row>
        <row r="2527">
          <cell r="C2527">
            <v>3002506</v>
          </cell>
          <cell r="D2527" t="str">
            <v>MANUT E MONTAGEM DE ESTRUTURAS METÁLICAS</v>
          </cell>
          <cell r="E2527" t="str">
            <v>KG</v>
          </cell>
        </row>
        <row r="2528">
          <cell r="C2528">
            <v>3002507</v>
          </cell>
          <cell r="D2528" t="str">
            <v>MANUT E MONTAGEM DE ESTRUTURAS METÁLICAS</v>
          </cell>
          <cell r="E2528" t="str">
            <v>M</v>
          </cell>
        </row>
        <row r="2529">
          <cell r="C2529">
            <v>3002508</v>
          </cell>
          <cell r="D2529" t="str">
            <v>MANUT E MONTAGEM DE ESTRUTURAS METÁLICAS</v>
          </cell>
          <cell r="E2529" t="str">
            <v>M2</v>
          </cell>
        </row>
        <row r="2530">
          <cell r="C2530">
            <v>3002509</v>
          </cell>
          <cell r="D2530" t="str">
            <v>MANUT E MONTAGEM DE ESTRUTURAS METÁLICAS</v>
          </cell>
          <cell r="E2530" t="str">
            <v>M3</v>
          </cell>
        </row>
        <row r="2531">
          <cell r="C2531">
            <v>3002510</v>
          </cell>
          <cell r="D2531" t="str">
            <v>MANUT E MONTAGEM DE ESTRUTURAS METÁLICAS</v>
          </cell>
          <cell r="E2531" t="str">
            <v>PC</v>
          </cell>
        </row>
        <row r="2532">
          <cell r="C2532">
            <v>3002511</v>
          </cell>
          <cell r="D2532" t="str">
            <v>INSTAL,MONT DE PROD,PC,EQUIPS DE OBRAS</v>
          </cell>
          <cell r="E2532" t="str">
            <v>SV</v>
          </cell>
        </row>
        <row r="2533">
          <cell r="C2533">
            <v>3002512</v>
          </cell>
          <cell r="D2533" t="str">
            <v>MANUT E MONTAGEM DE ESTRUTURAS METÁLICAS</v>
          </cell>
          <cell r="E2533" t="str">
            <v>UN</v>
          </cell>
        </row>
        <row r="2534">
          <cell r="C2534">
            <v>3002513</v>
          </cell>
          <cell r="D2534" t="str">
            <v>MANUT E REPARO BOMBAS DAGUA SUBMERSAS</v>
          </cell>
          <cell r="E2534" t="str">
            <v>JG</v>
          </cell>
        </row>
        <row r="2535">
          <cell r="C2535">
            <v>3002514</v>
          </cell>
          <cell r="D2535" t="str">
            <v>MANUT E REPARO BOMBAS DAGUA SUBMERSAS</v>
          </cell>
          <cell r="E2535" t="str">
            <v>M</v>
          </cell>
        </row>
        <row r="2536">
          <cell r="C2536">
            <v>3002515</v>
          </cell>
          <cell r="D2536" t="str">
            <v>MANUT E REPARO BOMBAS DAGUA SUBMERSAS</v>
          </cell>
          <cell r="E2536" t="str">
            <v>PC</v>
          </cell>
        </row>
        <row r="2537">
          <cell r="C2537">
            <v>3002516</v>
          </cell>
          <cell r="D2537" t="str">
            <v>CONSERT, REP, RESTAUR, REFOR E BLIND</v>
          </cell>
          <cell r="E2537" t="str">
            <v>SV</v>
          </cell>
        </row>
        <row r="2538">
          <cell r="C2538">
            <v>3002517</v>
          </cell>
          <cell r="D2538" t="str">
            <v>MANUT E REPARO BOMBAS DAGUA SUBMERSAS</v>
          </cell>
          <cell r="E2538" t="str">
            <v>UN</v>
          </cell>
        </row>
        <row r="2539">
          <cell r="C2539">
            <v>3002518</v>
          </cell>
          <cell r="D2539" t="str">
            <v>MANUT E REPARO DE TAMBORES DE CORREIA</v>
          </cell>
          <cell r="E2539" t="str">
            <v>dm3</v>
          </cell>
        </row>
        <row r="2540">
          <cell r="C2540">
            <v>3002519</v>
          </cell>
          <cell r="D2540" t="str">
            <v>CONSERT, REP, RESTAUR, REFOR E BLIND</v>
          </cell>
          <cell r="E2540" t="str">
            <v>SV</v>
          </cell>
        </row>
        <row r="2541">
          <cell r="C2541">
            <v>3002520</v>
          </cell>
          <cell r="D2541" t="str">
            <v>MANUT E REPARO DE TAMBORES DE CORREIA</v>
          </cell>
          <cell r="E2541" t="str">
            <v>KG</v>
          </cell>
        </row>
        <row r="2542">
          <cell r="C2542">
            <v>3002521</v>
          </cell>
          <cell r="D2542" t="str">
            <v>CONSERT, REP, RESTAUR, REFOR E BLIND</v>
          </cell>
          <cell r="E2542" t="str">
            <v>KMS</v>
          </cell>
        </row>
        <row r="2543">
          <cell r="C2543">
            <v>3002522</v>
          </cell>
          <cell r="D2543" t="str">
            <v>CONSERT, REP, RESTAUR, REFOR E BLIND</v>
          </cell>
          <cell r="E2543" t="str">
            <v>L</v>
          </cell>
        </row>
        <row r="2544">
          <cell r="C2544">
            <v>3002523</v>
          </cell>
          <cell r="D2544" t="str">
            <v>MANUT E REPARO DE TAMBORES DE CORREIA</v>
          </cell>
          <cell r="E2544" t="str">
            <v>M2</v>
          </cell>
        </row>
        <row r="2545">
          <cell r="C2545">
            <v>3002524</v>
          </cell>
          <cell r="D2545" t="str">
            <v>MANUT E REPARO DE TAMBORES DE CORREIA</v>
          </cell>
          <cell r="E2545" t="str">
            <v>PC</v>
          </cell>
        </row>
        <row r="2546">
          <cell r="C2546">
            <v>3002525</v>
          </cell>
          <cell r="D2546" t="str">
            <v>CONSERT, REP, RESTAUR, REFOR E BLIND</v>
          </cell>
          <cell r="E2546" t="str">
            <v>SV</v>
          </cell>
        </row>
        <row r="2547">
          <cell r="C2547">
            <v>3002526</v>
          </cell>
          <cell r="D2547" t="str">
            <v>MANUT E REPARO DE TAMBORES DE CORREIA</v>
          </cell>
          <cell r="E2547" t="str">
            <v>UN</v>
          </cell>
        </row>
        <row r="2548">
          <cell r="C2548">
            <v>3002527</v>
          </cell>
          <cell r="D2548" t="str">
            <v>MANUT E REPARO MOTORES ELÃ‰TR -MÃ‰DIA;AL</v>
          </cell>
          <cell r="E2548" t="str">
            <v>H</v>
          </cell>
        </row>
        <row r="2549">
          <cell r="C2549">
            <v>3002528</v>
          </cell>
          <cell r="D2549" t="str">
            <v>CONSERT, REP, RESTAUR, REFOR E BLIND</v>
          </cell>
          <cell r="E2549" t="str">
            <v>KG</v>
          </cell>
        </row>
        <row r="2550">
          <cell r="C2550">
            <v>3002529</v>
          </cell>
          <cell r="D2550" t="str">
            <v>CONSERT, REP, RESTAUR, REFOR E BLIND</v>
          </cell>
          <cell r="E2550" t="str">
            <v>L</v>
          </cell>
        </row>
        <row r="2551">
          <cell r="C2551">
            <v>3002530</v>
          </cell>
          <cell r="D2551" t="str">
            <v>MANUT E REPARO MOTORES ELÃ‰TR -MÃ‰DIA;AL</v>
          </cell>
          <cell r="E2551" t="str">
            <v>M</v>
          </cell>
        </row>
        <row r="2552">
          <cell r="C2552">
            <v>3002531</v>
          </cell>
          <cell r="D2552" t="str">
            <v>CONSERT, REP, RESTAUR, REFOR E BLIND</v>
          </cell>
          <cell r="E2552" t="str">
            <v>M2</v>
          </cell>
        </row>
        <row r="2553">
          <cell r="C2553">
            <v>3002532</v>
          </cell>
          <cell r="D2553" t="str">
            <v>MANUT E REPARO MOTORES ELÃ‰TR -MÃ‰DIA;AL</v>
          </cell>
          <cell r="E2553" t="str">
            <v>MES</v>
          </cell>
        </row>
        <row r="2554">
          <cell r="C2554">
            <v>3002533</v>
          </cell>
          <cell r="D2554" t="str">
            <v>MANUT E REPARO MOTORES ELÃ‰TR -MÃ‰DIA;AL</v>
          </cell>
          <cell r="E2554" t="str">
            <v>PC</v>
          </cell>
        </row>
        <row r="2555">
          <cell r="C2555">
            <v>3002534</v>
          </cell>
          <cell r="D2555" t="str">
            <v>CONSERT, REP, RESTAUR, REFOR E BLIND</v>
          </cell>
          <cell r="E2555" t="str">
            <v>SV</v>
          </cell>
        </row>
        <row r="2556">
          <cell r="C2556">
            <v>3002535</v>
          </cell>
          <cell r="D2556" t="str">
            <v>MANUT E REPARO MOTORES ELÃ‰TR -MÃ‰DIA;AL</v>
          </cell>
          <cell r="E2556" t="str">
            <v>UN</v>
          </cell>
        </row>
        <row r="2557">
          <cell r="C2557">
            <v>3002536</v>
          </cell>
          <cell r="D2557" t="str">
            <v>MANUT E REPARO MOTORES ELÃ‰TRICOS - BAIX</v>
          </cell>
          <cell r="E2557" t="str">
            <v>DIA</v>
          </cell>
        </row>
        <row r="2558">
          <cell r="C2558">
            <v>3002537</v>
          </cell>
          <cell r="D2558" t="str">
            <v>CONSERT, REP, RESTAUR, REFOR E BLIND</v>
          </cell>
          <cell r="E2558" t="str">
            <v>H</v>
          </cell>
        </row>
        <row r="2559">
          <cell r="C2559">
            <v>3002538</v>
          </cell>
          <cell r="D2559" t="str">
            <v>MANUT E REPARO MOTORES ELÉTRICOS - BAIXA</v>
          </cell>
          <cell r="E2559" t="str">
            <v>JG</v>
          </cell>
        </row>
        <row r="2560">
          <cell r="C2560">
            <v>3002539</v>
          </cell>
          <cell r="D2560" t="str">
            <v>MANUT E REPARO MOTORES ELÃ‰TRICOS - BAIX</v>
          </cell>
          <cell r="E2560" t="str">
            <v>KG</v>
          </cell>
        </row>
        <row r="2561">
          <cell r="C2561">
            <v>3002540</v>
          </cell>
          <cell r="D2561" t="str">
            <v>MANUT E REPARO MOTORES ELÉTRICOS - BAIXA</v>
          </cell>
          <cell r="E2561" t="str">
            <v>M</v>
          </cell>
        </row>
        <row r="2562">
          <cell r="C2562">
            <v>3002541</v>
          </cell>
          <cell r="D2562" t="str">
            <v>MANUT E REPARO MOTORES ELÉTRICOS - BAIXA</v>
          </cell>
          <cell r="E2562" t="str">
            <v>M2</v>
          </cell>
        </row>
        <row r="2563">
          <cell r="C2563">
            <v>3002542</v>
          </cell>
          <cell r="D2563" t="str">
            <v>MANUT E REPARO MOTORES ELÃ‰TRICOS - BAIX</v>
          </cell>
          <cell r="E2563" t="str">
            <v>M3</v>
          </cell>
        </row>
        <row r="2564">
          <cell r="C2564">
            <v>3002543</v>
          </cell>
          <cell r="D2564" t="str">
            <v>MANUT E REPARO MOTORES ELÉTRICOS - BAIXA</v>
          </cell>
          <cell r="E2564" t="str">
            <v>MES</v>
          </cell>
        </row>
        <row r="2565">
          <cell r="C2565">
            <v>3002544</v>
          </cell>
          <cell r="D2565" t="str">
            <v>MANUT E REPARO MOTORES ELÃ‰TRICOS - BAIX</v>
          </cell>
          <cell r="E2565" t="str">
            <v>PC</v>
          </cell>
        </row>
        <row r="2566">
          <cell r="C2566">
            <v>3002545</v>
          </cell>
          <cell r="D2566" t="str">
            <v>CONSERT, REP, RESTAUR, REFOR E BLIND</v>
          </cell>
          <cell r="E2566" t="str">
            <v>SV</v>
          </cell>
        </row>
        <row r="2567">
          <cell r="C2567">
            <v>3002546</v>
          </cell>
          <cell r="D2567" t="str">
            <v>MANUT E REPARO MOTORES ELÃ‰TRICOS - BAIX</v>
          </cell>
          <cell r="E2567" t="str">
            <v>UN</v>
          </cell>
        </row>
        <row r="2568">
          <cell r="C2568">
            <v>3002547</v>
          </cell>
          <cell r="D2568" t="str">
            <v>MANUT E REPARO REDES;LINHAS - MEDIA;ALTA</v>
          </cell>
          <cell r="E2568" t="str">
            <v>H</v>
          </cell>
        </row>
        <row r="2569">
          <cell r="C2569">
            <v>3002548</v>
          </cell>
          <cell r="D2569" t="str">
            <v>MANUT E REPARO REDES;LINHAS - MEDIA;ALTA</v>
          </cell>
          <cell r="E2569" t="str">
            <v>KG</v>
          </cell>
        </row>
        <row r="2570">
          <cell r="C2570">
            <v>3002549</v>
          </cell>
          <cell r="D2570" t="str">
            <v>MANUT E REPARO REDES;LINHAS - MEDIA;ALTA</v>
          </cell>
          <cell r="E2570" t="str">
            <v>KMS</v>
          </cell>
        </row>
        <row r="2571">
          <cell r="C2571">
            <v>3002550</v>
          </cell>
          <cell r="D2571" t="str">
            <v>MANUT E REPARO REDES;LINHAS - MEDIA;ALTA</v>
          </cell>
          <cell r="E2571" t="str">
            <v>L</v>
          </cell>
        </row>
        <row r="2572">
          <cell r="C2572">
            <v>3002551</v>
          </cell>
          <cell r="D2572" t="str">
            <v>MANUT E REPARO REDES;LINHAS - MEDIA;ALTA</v>
          </cell>
          <cell r="E2572" t="str">
            <v>M</v>
          </cell>
        </row>
        <row r="2573">
          <cell r="C2573">
            <v>3002552</v>
          </cell>
          <cell r="D2573" t="str">
            <v>MANUT E REPARO REDES;LINHAS - MEDIA;ALTA</v>
          </cell>
          <cell r="E2573" t="str">
            <v>M2</v>
          </cell>
        </row>
        <row r="2574">
          <cell r="C2574">
            <v>3002553</v>
          </cell>
          <cell r="D2574" t="str">
            <v>MANUT E REPARO REDES;LINHAS - MEDIA;ALTA</v>
          </cell>
          <cell r="E2574" t="str">
            <v>M3</v>
          </cell>
        </row>
        <row r="2575">
          <cell r="C2575">
            <v>3002554</v>
          </cell>
          <cell r="D2575" t="str">
            <v>MANUT E REPARO REDES;LINHAS - MEDIA;ALTA</v>
          </cell>
          <cell r="E2575" t="str">
            <v>MES</v>
          </cell>
        </row>
        <row r="2576">
          <cell r="C2576">
            <v>3002555</v>
          </cell>
          <cell r="D2576" t="str">
            <v>MANUT E REPARO REDES;LINHAS - MEDIA;ALTA</v>
          </cell>
          <cell r="E2576" t="str">
            <v>PC</v>
          </cell>
        </row>
        <row r="2577">
          <cell r="C2577">
            <v>3002556</v>
          </cell>
          <cell r="D2577" t="str">
            <v>CONSERT, REP, RESTAUR, REFOR E BLIND</v>
          </cell>
          <cell r="E2577" t="str">
            <v>SV</v>
          </cell>
        </row>
        <row r="2578">
          <cell r="C2578">
            <v>3002557</v>
          </cell>
          <cell r="D2578" t="str">
            <v>MANUT E REPARO REDES;LINHAS - MEDIA;ALTA</v>
          </cell>
          <cell r="E2578" t="str">
            <v>UN</v>
          </cell>
        </row>
        <row r="2579">
          <cell r="C2579">
            <v>3002558</v>
          </cell>
          <cell r="D2579" t="str">
            <v>MANUT E REPARO REDUTORES VELOC CONVENC</v>
          </cell>
          <cell r="E2579" t="str">
            <v>DIA</v>
          </cell>
        </row>
        <row r="2580">
          <cell r="C2580">
            <v>3002559</v>
          </cell>
          <cell r="D2580" t="str">
            <v>MANUT E REPARO REDUTORES VELOC CONVENC</v>
          </cell>
          <cell r="E2580" t="str">
            <v>H</v>
          </cell>
        </row>
        <row r="2581">
          <cell r="C2581">
            <v>3002560</v>
          </cell>
          <cell r="D2581" t="str">
            <v>MANUT E REPARO REDUTORES VELOC CONVENC</v>
          </cell>
          <cell r="E2581" t="str">
            <v>JG</v>
          </cell>
        </row>
        <row r="2582">
          <cell r="C2582">
            <v>3002561</v>
          </cell>
          <cell r="D2582" t="str">
            <v>MANUT E REPARO REDUTORES VELOC CONVENC</v>
          </cell>
          <cell r="E2582" t="str">
            <v>KG</v>
          </cell>
        </row>
        <row r="2583">
          <cell r="C2583">
            <v>3002562</v>
          </cell>
          <cell r="D2583" t="str">
            <v>MANUT E REPARO REDUTORES VELOC CONVENC</v>
          </cell>
          <cell r="E2583" t="str">
            <v>M</v>
          </cell>
        </row>
        <row r="2584">
          <cell r="C2584">
            <v>3002563</v>
          </cell>
          <cell r="D2584" t="str">
            <v>MANUT E REPARO REDUTORES VELOC CONVENC</v>
          </cell>
          <cell r="E2584" t="str">
            <v>M2</v>
          </cell>
        </row>
        <row r="2585">
          <cell r="C2585">
            <v>3002564</v>
          </cell>
          <cell r="D2585" t="str">
            <v>MANUT E REPARO REDUTORES VELOC CONVENC</v>
          </cell>
          <cell r="E2585" t="str">
            <v>M3</v>
          </cell>
        </row>
        <row r="2586">
          <cell r="C2586">
            <v>3002565</v>
          </cell>
          <cell r="D2586" t="str">
            <v>MANUT E REPARO REDUTORES VELOC CONVENC</v>
          </cell>
          <cell r="E2586" t="str">
            <v>MM</v>
          </cell>
        </row>
        <row r="2587">
          <cell r="C2587">
            <v>3002566</v>
          </cell>
          <cell r="D2587" t="str">
            <v>MANUT E REPARO REDUTORES VELOC CONVENC</v>
          </cell>
          <cell r="E2587" t="str">
            <v>PC</v>
          </cell>
        </row>
        <row r="2588">
          <cell r="C2588">
            <v>3002567</v>
          </cell>
          <cell r="D2588" t="str">
            <v>MANUT E REPARO REDUTORES VELOC CONVENC</v>
          </cell>
          <cell r="E2588" t="str">
            <v>SV</v>
          </cell>
        </row>
        <row r="2589">
          <cell r="C2589">
            <v>3002568</v>
          </cell>
          <cell r="D2589" t="str">
            <v>MANUT E REPARO REDUTORES VELOC CONVENC</v>
          </cell>
          <cell r="E2589" t="str">
            <v>UN</v>
          </cell>
        </row>
        <row r="2590">
          <cell r="C2590">
            <v>3002569</v>
          </cell>
          <cell r="D2590" t="str">
            <v>CONSERT, REP, RESTAUR, REFOR E BLIND</v>
          </cell>
          <cell r="E2590" t="str">
            <v>JG</v>
          </cell>
        </row>
        <row r="2591">
          <cell r="C2591">
            <v>3002570</v>
          </cell>
          <cell r="D2591" t="str">
            <v>CONSERT, REP, RESTAUR, REFOR E BLIND</v>
          </cell>
          <cell r="E2591" t="str">
            <v>SV</v>
          </cell>
        </row>
        <row r="2592">
          <cell r="C2592">
            <v>3002571</v>
          </cell>
          <cell r="D2592" t="str">
            <v>CONSERT, REP, RESTAUR, REFOR E BLIND</v>
          </cell>
          <cell r="E2592" t="str">
            <v>SV</v>
          </cell>
        </row>
        <row r="2593">
          <cell r="C2593">
            <v>3002572</v>
          </cell>
          <cell r="D2593" t="str">
            <v>CONSERT, REP, RESTAUR, REFOR E BLIND</v>
          </cell>
          <cell r="E2593" t="str">
            <v>SV</v>
          </cell>
        </row>
        <row r="2594">
          <cell r="C2594">
            <v>3002573</v>
          </cell>
          <cell r="D2594" t="str">
            <v>CONSERT, REP, RESTAUR, REFOR E BLIND</v>
          </cell>
          <cell r="E2594" t="str">
            <v>SV</v>
          </cell>
        </row>
        <row r="2595">
          <cell r="C2595">
            <v>3002574</v>
          </cell>
          <cell r="D2595" t="str">
            <v>CONSERT, REP, RESTAUR, REFOR E BLIND</v>
          </cell>
          <cell r="E2595" t="str">
            <v>SV</v>
          </cell>
        </row>
        <row r="2596">
          <cell r="C2596">
            <v>3002575</v>
          </cell>
          <cell r="D2596" t="str">
            <v>MANUT E REPARO REVESTIMENTOS REFRATÁRIOS</v>
          </cell>
          <cell r="E2596" t="str">
            <v>UN</v>
          </cell>
        </row>
        <row r="2597">
          <cell r="C2597">
            <v>3002576</v>
          </cell>
          <cell r="D2597" t="str">
            <v>MANUT ELETROMECÃ‚NICA GRANDES PARADAS</v>
          </cell>
          <cell r="E2597" t="str">
            <v>DIA</v>
          </cell>
        </row>
        <row r="2598">
          <cell r="C2598">
            <v>3002577</v>
          </cell>
          <cell r="D2598" t="str">
            <v>MANUT ELETROMECÃ‚NICA GRANDES PARADAS</v>
          </cell>
          <cell r="E2598" t="str">
            <v>H</v>
          </cell>
        </row>
        <row r="2599">
          <cell r="C2599">
            <v>3002578</v>
          </cell>
          <cell r="D2599" t="str">
            <v>MANUT ELETROMECÃ‚NICA GRANDES PARADAS</v>
          </cell>
          <cell r="E2599" t="str">
            <v>JG</v>
          </cell>
        </row>
        <row r="2600">
          <cell r="C2600">
            <v>3002579</v>
          </cell>
          <cell r="D2600" t="str">
            <v>MANUT ELETROMECÃ‚NICA GRANDES PARADAS</v>
          </cell>
          <cell r="E2600" t="str">
            <v>KG</v>
          </cell>
        </row>
        <row r="2601">
          <cell r="C2601">
            <v>3002580</v>
          </cell>
          <cell r="D2601" t="str">
            <v>CONSERT, REP, RESTAUR, REFOR E BLIND</v>
          </cell>
          <cell r="E2601" t="str">
            <v>SV</v>
          </cell>
        </row>
        <row r="2602">
          <cell r="C2602">
            <v>3002581</v>
          </cell>
          <cell r="D2602" t="str">
            <v>CONSERT, REP, RESTAUR, REFOR E BLIND</v>
          </cell>
          <cell r="E2602" t="str">
            <v>SV</v>
          </cell>
        </row>
        <row r="2603">
          <cell r="C2603">
            <v>3002582</v>
          </cell>
          <cell r="D2603" t="str">
            <v>MANUT ELETROMECÃ‚NICA GRANDES PARADAS</v>
          </cell>
          <cell r="E2603" t="str">
            <v>M</v>
          </cell>
        </row>
        <row r="2604">
          <cell r="C2604">
            <v>3002583</v>
          </cell>
          <cell r="D2604" t="str">
            <v>MANUT ELETROMECÃ‚NICA GRANDES PARADAS</v>
          </cell>
          <cell r="E2604" t="str">
            <v>M2</v>
          </cell>
        </row>
        <row r="2605">
          <cell r="C2605">
            <v>3002584</v>
          </cell>
          <cell r="D2605" t="str">
            <v>MANUT ELETROMECÃ‚NICA GRANDES PARADAS</v>
          </cell>
          <cell r="E2605" t="str">
            <v>M3</v>
          </cell>
        </row>
        <row r="2606">
          <cell r="C2606">
            <v>3002585</v>
          </cell>
          <cell r="D2606" t="str">
            <v>MANUT ELETROMECÃ‚NICA GRANDES PARADAS</v>
          </cell>
          <cell r="E2606" t="str">
            <v>MES</v>
          </cell>
        </row>
        <row r="2607">
          <cell r="C2607">
            <v>3002586</v>
          </cell>
          <cell r="D2607" t="str">
            <v>MANUT ELETROMECÃ‚NICA GRANDES PARADAS</v>
          </cell>
          <cell r="E2607" t="str">
            <v>PC</v>
          </cell>
        </row>
        <row r="2608">
          <cell r="C2608">
            <v>3002587</v>
          </cell>
          <cell r="D2608" t="str">
            <v>MANUT ELETROMECÃ‚NICA GRANDES PARADAS</v>
          </cell>
          <cell r="E2608" t="str">
            <v>SV</v>
          </cell>
        </row>
        <row r="2609">
          <cell r="C2609">
            <v>3002588</v>
          </cell>
          <cell r="D2609" t="str">
            <v>MANUT ELETROMECÃ‚NICA GRANDES PARADAS</v>
          </cell>
          <cell r="E2609" t="str">
            <v>UN</v>
          </cell>
        </row>
        <row r="2610">
          <cell r="C2610">
            <v>3002589</v>
          </cell>
          <cell r="D2610" t="str">
            <v>MANUT ELETROMECÃ‚NICA PERMANENTE INTERNA</v>
          </cell>
          <cell r="E2610" t="str">
            <v>H</v>
          </cell>
        </row>
        <row r="2611">
          <cell r="C2611">
            <v>3002590</v>
          </cell>
          <cell r="D2611" t="str">
            <v>MANUT ELETROMECÃ‚NICA PERMANENTE INTERNA</v>
          </cell>
          <cell r="E2611" t="str">
            <v>KG</v>
          </cell>
        </row>
        <row r="2612">
          <cell r="C2612">
            <v>3002591</v>
          </cell>
          <cell r="D2612" t="str">
            <v>MANUT ELETROMECÃ‚NICA PERMANENTE INTERNA</v>
          </cell>
          <cell r="E2612" t="str">
            <v>KMS</v>
          </cell>
        </row>
        <row r="2613">
          <cell r="C2613">
            <v>3002592</v>
          </cell>
          <cell r="D2613" t="str">
            <v>MANUT ELETROMECÃ‚NICA PERMANENTE INTERNA</v>
          </cell>
          <cell r="E2613" t="str">
            <v>M</v>
          </cell>
        </row>
        <row r="2614">
          <cell r="C2614">
            <v>3002593</v>
          </cell>
          <cell r="D2614" t="str">
            <v>MANUT ELETROMECÃ‚NICA PERMANENTE INTERNA</v>
          </cell>
          <cell r="E2614" t="str">
            <v>M2</v>
          </cell>
        </row>
        <row r="2615">
          <cell r="C2615">
            <v>3002594</v>
          </cell>
          <cell r="D2615" t="str">
            <v>MANUT ELETROMECÃ‚NICA PERMANENTE INTERNA</v>
          </cell>
          <cell r="E2615" t="str">
            <v>M3</v>
          </cell>
        </row>
        <row r="2616">
          <cell r="C2616">
            <v>3002595</v>
          </cell>
          <cell r="D2616" t="str">
            <v>MANUT ELETROMECÂNICA PERMANENTE INTERNA</v>
          </cell>
          <cell r="E2616" t="str">
            <v>PC</v>
          </cell>
        </row>
        <row r="2617">
          <cell r="C2617">
            <v>3002596</v>
          </cell>
          <cell r="D2617" t="str">
            <v>CONSERT, REP, RESTAUR, REFOR E BLIND</v>
          </cell>
          <cell r="E2617" t="str">
            <v>SV</v>
          </cell>
        </row>
        <row r="2618">
          <cell r="C2618">
            <v>3002597</v>
          </cell>
          <cell r="D2618" t="str">
            <v>MANUT ELETROMECÃ‚NICA PERMANENTE INTERNA</v>
          </cell>
          <cell r="E2618" t="str">
            <v>UN</v>
          </cell>
        </row>
        <row r="2619">
          <cell r="C2619">
            <v>3002598</v>
          </cell>
          <cell r="D2619" t="str">
            <v>MANUT INSTAL FIXAS USINA BENEF - MOINHOS</v>
          </cell>
          <cell r="E2619" t="str">
            <v>UN</v>
          </cell>
        </row>
        <row r="2620">
          <cell r="C2620">
            <v>3002599</v>
          </cell>
          <cell r="D2620" t="str">
            <v>MANUT INSTAL FX PELOT E NÃO FERR -MOINHO</v>
          </cell>
          <cell r="E2620" t="str">
            <v>UN</v>
          </cell>
        </row>
        <row r="2621">
          <cell r="C2621">
            <v>3002600</v>
          </cell>
          <cell r="D2621" t="str">
            <v>MANUT PREDIAL;IMPERM;SIMILAR S REFORMA</v>
          </cell>
          <cell r="E2621" t="str">
            <v>DIA</v>
          </cell>
        </row>
        <row r="2622">
          <cell r="C2622">
            <v>3002601</v>
          </cell>
          <cell r="D2622" t="str">
            <v>MANUT PREDIAL;IMPERM;SIMILAR S REFORMA</v>
          </cell>
          <cell r="E2622" t="str">
            <v>H</v>
          </cell>
        </row>
        <row r="2623">
          <cell r="C2623">
            <v>3002602</v>
          </cell>
          <cell r="D2623" t="str">
            <v>MANUT PREDIAL;IMPERM;SIMILAR S REFORMA</v>
          </cell>
          <cell r="E2623" t="str">
            <v>JG</v>
          </cell>
        </row>
        <row r="2624">
          <cell r="C2624">
            <v>3002603</v>
          </cell>
          <cell r="D2624" t="str">
            <v>MANUT PREDIAL;IMPERM;SIMILAR S REFORMA</v>
          </cell>
          <cell r="E2624" t="str">
            <v>KG</v>
          </cell>
        </row>
        <row r="2625">
          <cell r="C2625">
            <v>3002604</v>
          </cell>
          <cell r="D2625" t="str">
            <v>MANUT PREDIAL;IMPERM;SIMILAR S REFORMA</v>
          </cell>
          <cell r="E2625" t="str">
            <v>KMS</v>
          </cell>
        </row>
        <row r="2626">
          <cell r="C2626">
            <v>3002605</v>
          </cell>
          <cell r="D2626" t="str">
            <v>MANUT PREDIAL;IMPERM;SIMILAR S REFORMA</v>
          </cell>
          <cell r="E2626" t="str">
            <v>M</v>
          </cell>
        </row>
        <row r="2627">
          <cell r="C2627">
            <v>3002606</v>
          </cell>
          <cell r="D2627" t="str">
            <v>MANUT PREDIAL;IMPERM;SIMILAR S REFORMA</v>
          </cell>
          <cell r="E2627" t="str">
            <v>M2</v>
          </cell>
        </row>
        <row r="2628">
          <cell r="C2628">
            <v>3002607</v>
          </cell>
          <cell r="D2628" t="str">
            <v>MANUT PREDIAL;IMPERM;SIMILAR S REFORMA</v>
          </cell>
          <cell r="E2628" t="str">
            <v>M3</v>
          </cell>
        </row>
        <row r="2629">
          <cell r="C2629">
            <v>3002608</v>
          </cell>
          <cell r="D2629" t="str">
            <v>MANUT PREDIAL;IMPERM;SIMILAR S REFORMA</v>
          </cell>
          <cell r="E2629" t="str">
            <v>MES</v>
          </cell>
        </row>
        <row r="2630">
          <cell r="C2630">
            <v>3002609</v>
          </cell>
          <cell r="D2630" t="str">
            <v>MANUT PREDIAL;IMPERM;SIMILAR S REFORMA</v>
          </cell>
          <cell r="E2630" t="str">
            <v>PAR</v>
          </cell>
        </row>
        <row r="2631">
          <cell r="C2631">
            <v>3002610</v>
          </cell>
          <cell r="D2631" t="str">
            <v>MANUT PREDIAL;IMPERM;SIMILAR S REFORMA</v>
          </cell>
          <cell r="E2631" t="str">
            <v>PC</v>
          </cell>
        </row>
        <row r="2632">
          <cell r="C2632">
            <v>3002611</v>
          </cell>
          <cell r="D2632" t="str">
            <v>REFOR EDIFICIOS,ESTRADAS,PONTES,PORTOS</v>
          </cell>
          <cell r="E2632" t="str">
            <v>SV</v>
          </cell>
        </row>
        <row r="2633">
          <cell r="C2633">
            <v>3002612</v>
          </cell>
          <cell r="D2633" t="str">
            <v>MANUT PREDIAL;IMPERM;SIMILAR S REFORMA</v>
          </cell>
          <cell r="E2633" t="str">
            <v>TO</v>
          </cell>
        </row>
        <row r="2634">
          <cell r="C2634">
            <v>3002613</v>
          </cell>
          <cell r="D2634" t="str">
            <v>MANUT PREDIAL;IMPERM;SIMILAR S REFORMA</v>
          </cell>
          <cell r="E2634" t="str">
            <v>UN</v>
          </cell>
        </row>
        <row r="2635">
          <cell r="C2635">
            <v>3002614</v>
          </cell>
          <cell r="D2635" t="str">
            <v>MANUT REPARO SUPERESTRUTURA FERROVIA</v>
          </cell>
          <cell r="E2635" t="str">
            <v>DIA</v>
          </cell>
        </row>
        <row r="2636">
          <cell r="C2636">
            <v>3002615</v>
          </cell>
          <cell r="D2636" t="str">
            <v>MANUT REPARO SUPERESTRUTURA FERROVIA</v>
          </cell>
          <cell r="E2636" t="str">
            <v>H</v>
          </cell>
        </row>
        <row r="2637">
          <cell r="C2637">
            <v>3002616</v>
          </cell>
          <cell r="D2637" t="str">
            <v>REFOR EDIFICIOS,ESTRADAS,PONTES,PORTOS</v>
          </cell>
          <cell r="E2637" t="str">
            <v>SV</v>
          </cell>
        </row>
        <row r="2638">
          <cell r="C2638">
            <v>3002617</v>
          </cell>
          <cell r="D2638" t="str">
            <v>MANUT REPARO SUPERESTRUTURA FERROVIA</v>
          </cell>
          <cell r="E2638" t="str">
            <v>KMS</v>
          </cell>
        </row>
        <row r="2639">
          <cell r="C2639">
            <v>3002618</v>
          </cell>
          <cell r="D2639" t="str">
            <v>MANUT REPARO SUPERESTRUTURA FERROVIA</v>
          </cell>
          <cell r="E2639" t="str">
            <v>M</v>
          </cell>
        </row>
        <row r="2640">
          <cell r="C2640">
            <v>3002619</v>
          </cell>
          <cell r="D2640" t="str">
            <v>MANUT REPARO SUPERESTRUTURA FERROVIA</v>
          </cell>
          <cell r="E2640" t="str">
            <v>M2</v>
          </cell>
        </row>
        <row r="2641">
          <cell r="C2641">
            <v>3002620</v>
          </cell>
          <cell r="D2641" t="str">
            <v>MANUT REPARO SUPERESTRUTURA FERROVIA</v>
          </cell>
          <cell r="E2641" t="str">
            <v>M3</v>
          </cell>
        </row>
        <row r="2642">
          <cell r="C2642">
            <v>3002621</v>
          </cell>
          <cell r="D2642" t="str">
            <v>MANUT REPARO SUPERESTRUTURA FERROVIA</v>
          </cell>
          <cell r="E2642" t="str">
            <v>MES</v>
          </cell>
        </row>
        <row r="2643">
          <cell r="C2643">
            <v>3002622</v>
          </cell>
          <cell r="D2643" t="str">
            <v>REFOR EDIFICIOS,ESTRADAS,PONTES,PORTOS</v>
          </cell>
          <cell r="E2643" t="str">
            <v>SV</v>
          </cell>
        </row>
        <row r="2644">
          <cell r="C2644">
            <v>3002623</v>
          </cell>
          <cell r="D2644" t="str">
            <v>MANUT REPARO SUPERESTRUTURA FERROVIA</v>
          </cell>
          <cell r="E2644" t="str">
            <v>PC</v>
          </cell>
        </row>
        <row r="2645">
          <cell r="C2645">
            <v>3002624</v>
          </cell>
          <cell r="D2645" t="str">
            <v>REFOR EDIFICIOS,ESTRADAS,PONTES,PORTOS</v>
          </cell>
          <cell r="E2645" t="str">
            <v>SV</v>
          </cell>
        </row>
        <row r="2646">
          <cell r="C2646">
            <v>3002625</v>
          </cell>
          <cell r="D2646" t="str">
            <v>MANUT REPARO SUPERESTRUTURA FERROVIA</v>
          </cell>
          <cell r="E2646" t="str">
            <v>TO</v>
          </cell>
        </row>
        <row r="2647">
          <cell r="C2647">
            <v>3002626</v>
          </cell>
          <cell r="D2647" t="str">
            <v>MANUT REPARO SUPERESTRUTURA FERROVIA</v>
          </cell>
          <cell r="E2647" t="str">
            <v>UN</v>
          </cell>
        </row>
        <row r="2648">
          <cell r="C2648">
            <v>3002627</v>
          </cell>
          <cell r="D2648" t="str">
            <v>MANUT TURB;TURBO-ALIMENTADOR;TURBO-GERAD</v>
          </cell>
          <cell r="E2648" t="str">
            <v>DIA</v>
          </cell>
        </row>
        <row r="2649">
          <cell r="C2649">
            <v>3002628</v>
          </cell>
          <cell r="D2649" t="str">
            <v>MANUT TURB;TURBO-ALIMENTADOR;TURBO-GERAD</v>
          </cell>
          <cell r="E2649" t="str">
            <v>H</v>
          </cell>
        </row>
        <row r="2650">
          <cell r="C2650">
            <v>3002629</v>
          </cell>
          <cell r="D2650" t="str">
            <v>MANUT TURB;TURBO-ALIMENTADOR;TURBO-GERAD</v>
          </cell>
          <cell r="E2650" t="str">
            <v>KG</v>
          </cell>
        </row>
        <row r="2651">
          <cell r="C2651">
            <v>3002630</v>
          </cell>
          <cell r="D2651" t="str">
            <v>CONSERT, REP, RESTAUR, REFOR E BLIND</v>
          </cell>
          <cell r="E2651" t="str">
            <v>SV</v>
          </cell>
        </row>
        <row r="2652">
          <cell r="C2652">
            <v>3002631</v>
          </cell>
          <cell r="D2652" t="str">
            <v>CONSERT, REP, RESTAUR, REFOR E BLIND</v>
          </cell>
          <cell r="E2652" t="str">
            <v>SV</v>
          </cell>
        </row>
        <row r="2653">
          <cell r="C2653">
            <v>3002632</v>
          </cell>
          <cell r="D2653" t="str">
            <v>CONSERT, REP, RESTAUR, REFOR E BLIND</v>
          </cell>
          <cell r="E2653" t="str">
            <v>SV</v>
          </cell>
        </row>
        <row r="2654">
          <cell r="C2654">
            <v>3002633</v>
          </cell>
          <cell r="D2654" t="str">
            <v>MANUT TURB;TURBO-ALIMENTADOR;TURBO-GERAD</v>
          </cell>
          <cell r="E2654" t="str">
            <v>PC</v>
          </cell>
        </row>
        <row r="2655">
          <cell r="C2655">
            <v>3002634</v>
          </cell>
          <cell r="D2655" t="str">
            <v>MANUT TURB;TURBO-ALIMENTADOR;TURBO-GERAD</v>
          </cell>
          <cell r="E2655" t="str">
            <v>UN</v>
          </cell>
        </row>
        <row r="2656">
          <cell r="C2656">
            <v>3002635</v>
          </cell>
          <cell r="D2656" t="str">
            <v>MANUT;CONSERVAÇÃO JAZIGO;CEMITÉRIOS</v>
          </cell>
          <cell r="E2656" t="str">
            <v>UN</v>
          </cell>
        </row>
        <row r="2657">
          <cell r="C2657">
            <v>3002636</v>
          </cell>
          <cell r="D2657" t="str">
            <v>MANUTENÇÃO DE BANCOS DE DADOS.</v>
          </cell>
          <cell r="E2657" t="str">
            <v>H</v>
          </cell>
        </row>
        <row r="2658">
          <cell r="C2658">
            <v>3002637</v>
          </cell>
          <cell r="D2658" t="str">
            <v>MANUTENÇÃO DE BANCOS DE DADOS.</v>
          </cell>
          <cell r="E2658" t="str">
            <v>MES</v>
          </cell>
        </row>
        <row r="2659">
          <cell r="C2659">
            <v>3002638</v>
          </cell>
          <cell r="D2659" t="str">
            <v>SUPORTE TECNICO EM INFORMATICA</v>
          </cell>
          <cell r="E2659" t="str">
            <v>SV</v>
          </cell>
        </row>
        <row r="2660">
          <cell r="C2660">
            <v>3002639</v>
          </cell>
          <cell r="D2660" t="str">
            <v>MANUTENÇÃO DE BANCOS DE DADOS.</v>
          </cell>
          <cell r="E2660" t="str">
            <v>UN</v>
          </cell>
        </row>
        <row r="2661">
          <cell r="C2661">
            <v>3002640</v>
          </cell>
          <cell r="D2661" t="str">
            <v>MANUTENÃ‡ÃƒO DE INFRA-ESTRUTURA</v>
          </cell>
          <cell r="E2661" t="str">
            <v>ANO</v>
          </cell>
        </row>
        <row r="2662">
          <cell r="C2662">
            <v>3002641</v>
          </cell>
          <cell r="D2662" t="str">
            <v>MANUTENÃ‡ÃƒO DE INFRA-ESTRUTURA</v>
          </cell>
          <cell r="E2662" t="str">
            <v>DIA</v>
          </cell>
        </row>
        <row r="2663">
          <cell r="C2663">
            <v>3002642</v>
          </cell>
          <cell r="D2663" t="str">
            <v>MANUTENÃ‡ÃƒO DE INFRA-ESTRUTURA</v>
          </cell>
          <cell r="E2663" t="str">
            <v>H</v>
          </cell>
        </row>
        <row r="2664">
          <cell r="C2664">
            <v>3002643</v>
          </cell>
          <cell r="D2664" t="str">
            <v>MANUTENÃ‡ÃƒO DE INFRA-ESTRUTURA</v>
          </cell>
          <cell r="E2664" t="str">
            <v>HA</v>
          </cell>
        </row>
        <row r="2665">
          <cell r="C2665">
            <v>3002644</v>
          </cell>
          <cell r="D2665" t="str">
            <v>MANUTENÃ‡ÃƒO DE INFRA-ESTRUTURA</v>
          </cell>
          <cell r="E2665" t="str">
            <v>KG</v>
          </cell>
        </row>
        <row r="2666">
          <cell r="C2666">
            <v>3002645</v>
          </cell>
          <cell r="D2666" t="str">
            <v>MANUTENÃ‡ÃƒO DE INFRA-ESTRUTURA</v>
          </cell>
          <cell r="E2666" t="str">
            <v>KMS</v>
          </cell>
        </row>
        <row r="2667">
          <cell r="C2667">
            <v>3002646</v>
          </cell>
          <cell r="D2667" t="str">
            <v>REFOR EDIFICIOS,ESTRADAS,PONTES,PORTOS</v>
          </cell>
          <cell r="E2667" t="str">
            <v>SV</v>
          </cell>
        </row>
        <row r="2668">
          <cell r="C2668">
            <v>3002647</v>
          </cell>
          <cell r="D2668" t="str">
            <v>MANUTENÃ‡ÃƒO DE INFRA-ESTRUTURA</v>
          </cell>
          <cell r="E2668" t="str">
            <v>M2</v>
          </cell>
        </row>
        <row r="2669">
          <cell r="C2669">
            <v>3002648</v>
          </cell>
          <cell r="D2669" t="str">
            <v>MANUTENÇÃO DE INFRA-ESTRUTURA</v>
          </cell>
          <cell r="E2669" t="str">
            <v>M3</v>
          </cell>
        </row>
        <row r="2670">
          <cell r="C2670">
            <v>3002649</v>
          </cell>
          <cell r="D2670" t="str">
            <v>MANUTENÃ‡ÃƒO DE INFRA-ESTRUTURA</v>
          </cell>
          <cell r="E2670" t="str">
            <v>MES</v>
          </cell>
        </row>
        <row r="2671">
          <cell r="C2671">
            <v>3002650</v>
          </cell>
          <cell r="D2671" t="str">
            <v>MANUTENÃ‡ÃƒO DE INFRA-ESTRUTURA</v>
          </cell>
          <cell r="E2671" t="str">
            <v>PC</v>
          </cell>
        </row>
        <row r="2672">
          <cell r="C2672">
            <v>3002651</v>
          </cell>
          <cell r="D2672" t="str">
            <v>REFOR EDIFICIOS,ESTRADAS,PONTES,PORTOS</v>
          </cell>
          <cell r="E2672" t="str">
            <v>SV</v>
          </cell>
        </row>
        <row r="2673">
          <cell r="C2673">
            <v>3002652</v>
          </cell>
          <cell r="D2673" t="str">
            <v>MANUTENÃ‡ÃƒO DE INFRA-ESTRUTURA</v>
          </cell>
          <cell r="E2673" t="str">
            <v>UN</v>
          </cell>
        </row>
        <row r="2674">
          <cell r="C2674">
            <v>3002653</v>
          </cell>
          <cell r="D2674" t="str">
            <v>MANUTENÃ‡ÃƒO E REPARO ACOPLAMENTOS</v>
          </cell>
          <cell r="E2674" t="str">
            <v>H</v>
          </cell>
        </row>
        <row r="2675">
          <cell r="C2675">
            <v>3002654</v>
          </cell>
          <cell r="D2675" t="str">
            <v>MANUTENÃ‡ÃƒO E REPARO ACOPLAMENTOS</v>
          </cell>
          <cell r="E2675" t="str">
            <v>JG</v>
          </cell>
        </row>
        <row r="2676">
          <cell r="C2676">
            <v>3002655</v>
          </cell>
          <cell r="D2676" t="str">
            <v>MANUTENÃ‡ÃƒO E REPARO ACOPLAMENTOS</v>
          </cell>
          <cell r="E2676" t="str">
            <v>PC</v>
          </cell>
        </row>
        <row r="2677">
          <cell r="C2677">
            <v>3002656</v>
          </cell>
          <cell r="D2677" t="str">
            <v>MANUTENÃ‡ÃƒO E REPARO ACOPLAMENTOS</v>
          </cell>
          <cell r="E2677" t="str">
            <v>SV</v>
          </cell>
        </row>
        <row r="2678">
          <cell r="C2678">
            <v>3002657</v>
          </cell>
          <cell r="D2678" t="str">
            <v>MANUTENÃ‡ÃƒO E REPARO ACOPLAMENTOS</v>
          </cell>
          <cell r="E2678" t="str">
            <v>UN</v>
          </cell>
        </row>
        <row r="2679">
          <cell r="C2679">
            <v>3002658</v>
          </cell>
          <cell r="D2679" t="str">
            <v>MANUTENÃ‡ÃƒO E REPARO BOMBAS A VÃ�CUO</v>
          </cell>
          <cell r="E2679" t="str">
            <v>H</v>
          </cell>
        </row>
        <row r="2680">
          <cell r="C2680">
            <v>3002659</v>
          </cell>
          <cell r="D2680" t="str">
            <v>MANUTENÃ‡ÃƒO E REPARO BOMBAS A VÃ�CUO</v>
          </cell>
          <cell r="E2680" t="str">
            <v>JG</v>
          </cell>
        </row>
        <row r="2681">
          <cell r="C2681">
            <v>3002660</v>
          </cell>
          <cell r="D2681" t="str">
            <v>CONSERT, REP, RESTAUR, REFOR E BLIND</v>
          </cell>
          <cell r="E2681" t="str">
            <v>SV</v>
          </cell>
        </row>
        <row r="2682">
          <cell r="C2682">
            <v>3002661</v>
          </cell>
          <cell r="D2682" t="str">
            <v>MANUTENÃ‡ÃƒO E REPARO BOMBAS A VÃ�CUO</v>
          </cell>
          <cell r="E2682" t="str">
            <v>PC</v>
          </cell>
        </row>
        <row r="2683">
          <cell r="C2683">
            <v>3002662</v>
          </cell>
          <cell r="D2683" t="str">
            <v>MANUTENÃ‡ÃƒO E REPARO BOMBAS A VÃ�CUO</v>
          </cell>
          <cell r="E2683" t="str">
            <v>SV</v>
          </cell>
        </row>
        <row r="2684">
          <cell r="C2684">
            <v>3002663</v>
          </cell>
          <cell r="D2684" t="str">
            <v>MANUTENÃ‡ÃƒO E REPARO BOMBAS A VÃ�CUO</v>
          </cell>
          <cell r="E2684" t="str">
            <v>UN</v>
          </cell>
        </row>
        <row r="2685">
          <cell r="C2685">
            <v>3002664</v>
          </cell>
          <cell r="D2685" t="str">
            <v>MANUTENÇÃO E REPARO DE BANCAS DE SOCARIA</v>
          </cell>
          <cell r="E2685" t="str">
            <v>H</v>
          </cell>
        </row>
        <row r="2686">
          <cell r="C2686">
            <v>3002665</v>
          </cell>
          <cell r="D2686" t="str">
            <v>MANUTENÇÃO E REPARO DE BANCAS DE SOCARIA</v>
          </cell>
          <cell r="E2686" t="str">
            <v>HA</v>
          </cell>
        </row>
        <row r="2687">
          <cell r="C2687">
            <v>3002666</v>
          </cell>
          <cell r="D2687" t="str">
            <v>MANUTENÇÃO E REPARO DE BANCAS DE SOCARIA</v>
          </cell>
          <cell r="E2687" t="str">
            <v>JG</v>
          </cell>
        </row>
        <row r="2688">
          <cell r="C2688">
            <v>3002667</v>
          </cell>
          <cell r="D2688" t="str">
            <v>MANUTENÇÃO E REPARO DE BANCAS DE SOCARIA</v>
          </cell>
          <cell r="E2688" t="str">
            <v>KG</v>
          </cell>
        </row>
        <row r="2689">
          <cell r="C2689">
            <v>3002668</v>
          </cell>
          <cell r="D2689" t="str">
            <v>MANUTENÇÃO E REPARO DE BANCAS DE SOCARIA</v>
          </cell>
          <cell r="E2689" t="str">
            <v>M</v>
          </cell>
        </row>
        <row r="2690">
          <cell r="C2690">
            <v>3002669</v>
          </cell>
          <cell r="D2690" t="str">
            <v>MANUTENÇÃO E REPARO DE BANCAS DE SOCARIA</v>
          </cell>
          <cell r="E2690" t="str">
            <v>M2</v>
          </cell>
        </row>
        <row r="2691">
          <cell r="C2691">
            <v>3002670</v>
          </cell>
          <cell r="D2691" t="str">
            <v>MANUTENÇÃO E REPARO DE BANCAS DE SOCARIA</v>
          </cell>
          <cell r="E2691" t="str">
            <v>M3</v>
          </cell>
        </row>
        <row r="2692">
          <cell r="C2692">
            <v>3002671</v>
          </cell>
          <cell r="D2692" t="str">
            <v>MANUTENÇÃO E REPARO DE BANCAS DE SOCARIA</v>
          </cell>
          <cell r="E2692" t="str">
            <v>PC</v>
          </cell>
        </row>
        <row r="2693">
          <cell r="C2693">
            <v>3002672</v>
          </cell>
          <cell r="D2693" t="str">
            <v>MANUTENÇÃO E REPARO DE BANCAS DE SOCARIA</v>
          </cell>
          <cell r="E2693" t="str">
            <v>UN</v>
          </cell>
        </row>
        <row r="2694">
          <cell r="C2694">
            <v>3002673</v>
          </cell>
          <cell r="D2694" t="str">
            <v>MANUTENÇÃO E REPARO DE CAÇAMBAS E LÂMINA</v>
          </cell>
          <cell r="E2694" t="str">
            <v>H</v>
          </cell>
        </row>
        <row r="2695">
          <cell r="C2695">
            <v>3002674</v>
          </cell>
          <cell r="D2695" t="str">
            <v>MANUTENÇÃO E REPARO DE CAÇAMBAS E LÂMINA</v>
          </cell>
          <cell r="E2695" t="str">
            <v>KG</v>
          </cell>
        </row>
        <row r="2696">
          <cell r="C2696">
            <v>3002675</v>
          </cell>
          <cell r="D2696" t="str">
            <v>MANUTENÇÃO E REPARO DE CAÇAMBAS E LÂMINA</v>
          </cell>
          <cell r="E2696" t="str">
            <v>PC</v>
          </cell>
        </row>
        <row r="2697">
          <cell r="C2697">
            <v>3002676</v>
          </cell>
          <cell r="D2697" t="str">
            <v>MANUTENÇÃO E REPARO DE CAÇAMBAS E LÂMINA</v>
          </cell>
          <cell r="E2697" t="str">
            <v>SV</v>
          </cell>
        </row>
        <row r="2698">
          <cell r="C2698">
            <v>3002677</v>
          </cell>
          <cell r="D2698" t="str">
            <v>MANUTENÇÃO E REPARO DE CAÇAMBAS E LÂMINA</v>
          </cell>
          <cell r="E2698" t="str">
            <v>UN</v>
          </cell>
        </row>
        <row r="2699">
          <cell r="C2699">
            <v>3002678</v>
          </cell>
          <cell r="D2699" t="str">
            <v>MANUTENÇÃO E REPARO DE CILINDROS</v>
          </cell>
          <cell r="E2699" t="str">
            <v>H</v>
          </cell>
        </row>
        <row r="2700">
          <cell r="C2700">
            <v>3002679</v>
          </cell>
          <cell r="D2700" t="str">
            <v>MANUTENÇÃO E REPARO DE CILINDROS</v>
          </cell>
          <cell r="E2700" t="str">
            <v>JG</v>
          </cell>
        </row>
        <row r="2701">
          <cell r="C2701">
            <v>3002680</v>
          </cell>
          <cell r="D2701" t="str">
            <v>MANUTENÇÃO E REPARO DE CILINDROS</v>
          </cell>
          <cell r="E2701" t="str">
            <v>KG</v>
          </cell>
        </row>
        <row r="2702">
          <cell r="C2702">
            <v>3002681</v>
          </cell>
          <cell r="D2702" t="str">
            <v>MANUT CONSERV MAQS,EQUIPS MOV,PC,MOTORES</v>
          </cell>
          <cell r="E2702" t="str">
            <v>SV</v>
          </cell>
        </row>
        <row r="2703">
          <cell r="C2703">
            <v>3002682</v>
          </cell>
          <cell r="D2703" t="str">
            <v>MANUTENÇÃO E REPARO DE CILINDROS</v>
          </cell>
          <cell r="E2703" t="str">
            <v>M2</v>
          </cell>
        </row>
        <row r="2704">
          <cell r="C2704">
            <v>3002683</v>
          </cell>
          <cell r="D2704" t="str">
            <v>MANUTENÇÃO E REPARO DE CILINDROS</v>
          </cell>
          <cell r="E2704" t="str">
            <v>PC</v>
          </cell>
        </row>
        <row r="2705">
          <cell r="C2705">
            <v>3002684</v>
          </cell>
          <cell r="D2705" t="str">
            <v>MANUTENÇÃO E REPARO DE CILINDROS</v>
          </cell>
          <cell r="E2705" t="str">
            <v>SV</v>
          </cell>
        </row>
        <row r="2706">
          <cell r="C2706">
            <v>3002685</v>
          </cell>
          <cell r="D2706" t="str">
            <v>MANUTENÇÃO E REPARO DE CILINDROS</v>
          </cell>
          <cell r="E2706" t="str">
            <v>UN</v>
          </cell>
        </row>
        <row r="2707">
          <cell r="C2707">
            <v>3002686</v>
          </cell>
          <cell r="D2707" t="str">
            <v>MANUTENÇÃO E REPARO DE MOINHOS</v>
          </cell>
          <cell r="E2707" t="str">
            <v>H</v>
          </cell>
        </row>
        <row r="2708">
          <cell r="C2708">
            <v>3002687</v>
          </cell>
          <cell r="D2708" t="str">
            <v>MANUTENÇÃO E REPARO DE MOINHOS</v>
          </cell>
          <cell r="E2708" t="str">
            <v>KG</v>
          </cell>
        </row>
        <row r="2709">
          <cell r="C2709">
            <v>3002688</v>
          </cell>
          <cell r="D2709" t="str">
            <v>MANUTENÇÃO E REPARO DE MOINHOS</v>
          </cell>
          <cell r="E2709" t="str">
            <v>M</v>
          </cell>
        </row>
        <row r="2710">
          <cell r="C2710">
            <v>3002689</v>
          </cell>
          <cell r="D2710" t="str">
            <v>MANUTENÇÃO E REPARO DE MOINHOS</v>
          </cell>
          <cell r="E2710" t="str">
            <v>M2</v>
          </cell>
        </row>
        <row r="2711">
          <cell r="C2711">
            <v>3002690</v>
          </cell>
          <cell r="D2711" t="str">
            <v>MANUTENÇÃO E REPARO DE MOINHOS</v>
          </cell>
          <cell r="E2711" t="str">
            <v>M3</v>
          </cell>
        </row>
        <row r="2712">
          <cell r="C2712">
            <v>3002691</v>
          </cell>
          <cell r="D2712" t="str">
            <v>MANUT CONSERV MAQS,EQUIPS MOV,PC,MOTORES</v>
          </cell>
          <cell r="E2712" t="str">
            <v>SV</v>
          </cell>
        </row>
        <row r="2713">
          <cell r="C2713">
            <v>3002692</v>
          </cell>
          <cell r="D2713" t="str">
            <v>MANUTENÇÃO E REPARO DE MOINHOS</v>
          </cell>
          <cell r="E2713" t="str">
            <v>UN</v>
          </cell>
        </row>
        <row r="2714">
          <cell r="C2714">
            <v>3002693</v>
          </cell>
          <cell r="D2714" t="str">
            <v>MANUTENÇÃO E REPARO DE PENEIRAS</v>
          </cell>
          <cell r="E2714" t="str">
            <v>H</v>
          </cell>
        </row>
        <row r="2715">
          <cell r="C2715">
            <v>3002694</v>
          </cell>
          <cell r="D2715" t="str">
            <v>MANUTENÇÃO E REPARO DE PENEIRAS</v>
          </cell>
          <cell r="E2715" t="str">
            <v>KG</v>
          </cell>
        </row>
        <row r="2716">
          <cell r="C2716">
            <v>3002695</v>
          </cell>
          <cell r="D2716" t="str">
            <v>MANUTENÇÃO E REPARO DE PENEIRAS</v>
          </cell>
          <cell r="E2716" t="str">
            <v>M2</v>
          </cell>
        </row>
        <row r="2717">
          <cell r="C2717">
            <v>3002696</v>
          </cell>
          <cell r="D2717" t="str">
            <v>MANUTENÇÃO E REPARO DE PENEIRAS</v>
          </cell>
          <cell r="E2717" t="str">
            <v>PC</v>
          </cell>
        </row>
        <row r="2718">
          <cell r="C2718">
            <v>3002697</v>
          </cell>
          <cell r="D2718" t="str">
            <v>MANUT CONSERV MAQS,EQUIPS MOV,PC,MOTORES</v>
          </cell>
          <cell r="E2718" t="str">
            <v>SV</v>
          </cell>
        </row>
        <row r="2719">
          <cell r="C2719">
            <v>3002698</v>
          </cell>
          <cell r="D2719" t="str">
            <v>MANUTENÇÃO E REPARO DE PENEIRAS</v>
          </cell>
          <cell r="E2719" t="str">
            <v>UN</v>
          </cell>
        </row>
        <row r="2720">
          <cell r="C2720">
            <v>3002699</v>
          </cell>
          <cell r="D2720" t="str">
            <v>MANUTENÇÃO E REPARO DE RASPADORES</v>
          </cell>
          <cell r="E2720" t="str">
            <v>H</v>
          </cell>
        </row>
        <row r="2721">
          <cell r="C2721">
            <v>3002700</v>
          </cell>
          <cell r="D2721" t="str">
            <v>MANUTENÇÃO E REPARO DE RASPADORES</v>
          </cell>
          <cell r="E2721" t="str">
            <v>KMS</v>
          </cell>
        </row>
        <row r="2722">
          <cell r="C2722">
            <v>3002701</v>
          </cell>
          <cell r="D2722" t="str">
            <v>MANUTENÇÃO E REPARO DE RASPADORES</v>
          </cell>
          <cell r="E2722" t="str">
            <v>PC</v>
          </cell>
        </row>
        <row r="2723">
          <cell r="C2723">
            <v>3002702</v>
          </cell>
          <cell r="D2723" t="str">
            <v>MANUT CONSERV MAQS,EQUIPS MOV,PC,MOTORES</v>
          </cell>
          <cell r="E2723" t="str">
            <v>SV</v>
          </cell>
        </row>
        <row r="2724">
          <cell r="C2724">
            <v>3002703</v>
          </cell>
          <cell r="D2724" t="str">
            <v>MANUTENÇÃO E REPARO DE RASPADORES</v>
          </cell>
          <cell r="E2724" t="str">
            <v>UN</v>
          </cell>
        </row>
        <row r="2725">
          <cell r="C2725">
            <v>3002704</v>
          </cell>
          <cell r="D2725" t="str">
            <v>MANUT CONSERV MAQS,EQUIPS MOV,PC,MOTORES</v>
          </cell>
          <cell r="E2725" t="str">
            <v>SV</v>
          </cell>
        </row>
        <row r="2726">
          <cell r="C2726">
            <v>3002705</v>
          </cell>
          <cell r="D2726" t="str">
            <v>MANUTENÇÃO E REPARO DE SUBESTAÇÕES</v>
          </cell>
          <cell r="E2726" t="str">
            <v>HA</v>
          </cell>
        </row>
        <row r="2727">
          <cell r="C2727">
            <v>3002706</v>
          </cell>
          <cell r="D2727" t="str">
            <v>MANUT CONSERV MAQS,EQUIPS MOV,PC,MOTORES</v>
          </cell>
          <cell r="E2727" t="str">
            <v>SV</v>
          </cell>
        </row>
        <row r="2728">
          <cell r="C2728">
            <v>3002707</v>
          </cell>
          <cell r="D2728" t="str">
            <v>MANUT CONSERV MAQS,EQUIPS MOV,PC,MOTORES</v>
          </cell>
          <cell r="E2728" t="str">
            <v>SV</v>
          </cell>
        </row>
        <row r="2729">
          <cell r="C2729">
            <v>3002708</v>
          </cell>
          <cell r="D2729" t="str">
            <v>MANUT CONSERV MAQS,EQUIPS MOV,PC,MOTORES</v>
          </cell>
          <cell r="E2729" t="str">
            <v>SV</v>
          </cell>
        </row>
        <row r="2730">
          <cell r="C2730">
            <v>3002709</v>
          </cell>
          <cell r="D2730" t="str">
            <v>MANUTENÇÃO E REPARO DE SUBESTAÇÕES</v>
          </cell>
          <cell r="E2730" t="str">
            <v>M</v>
          </cell>
        </row>
        <row r="2731">
          <cell r="C2731">
            <v>3002710</v>
          </cell>
          <cell r="D2731" t="str">
            <v>MANUTENÇÃO E REPARO DE SUBESTAÇÕES</v>
          </cell>
          <cell r="E2731" t="str">
            <v>M2</v>
          </cell>
        </row>
        <row r="2732">
          <cell r="C2732">
            <v>3002711</v>
          </cell>
          <cell r="D2732" t="str">
            <v>MANUTENÇÃO E REPARO DE SUBESTAÇÕES</v>
          </cell>
          <cell r="E2732" t="str">
            <v>MES</v>
          </cell>
        </row>
        <row r="2733">
          <cell r="C2733">
            <v>3002712</v>
          </cell>
          <cell r="D2733" t="str">
            <v>MANUTENÇÃO E REPARO DE SUBESTAÇÕES</v>
          </cell>
          <cell r="E2733" t="str">
            <v>SV</v>
          </cell>
        </row>
        <row r="2734">
          <cell r="C2734">
            <v>3002713</v>
          </cell>
          <cell r="D2734" t="str">
            <v>MANUTENÇÃO E REPARO DE SUBESTAÇÕES</v>
          </cell>
          <cell r="E2734" t="str">
            <v>UN</v>
          </cell>
        </row>
        <row r="2735">
          <cell r="C2735">
            <v>3002714</v>
          </cell>
          <cell r="D2735" t="str">
            <v>MANUTENÇÃO HARDWARE</v>
          </cell>
          <cell r="E2735" t="str">
            <v>H</v>
          </cell>
        </row>
        <row r="2736">
          <cell r="C2736">
            <v>3002715</v>
          </cell>
          <cell r="D2736" t="str">
            <v>MANUTENÇÃO HARDWARE</v>
          </cell>
          <cell r="E2736" t="str">
            <v>MES</v>
          </cell>
        </row>
        <row r="2737">
          <cell r="C2737">
            <v>3002716</v>
          </cell>
          <cell r="D2737" t="str">
            <v>MANUTENÇÃO HARDWARE</v>
          </cell>
          <cell r="E2737" t="str">
            <v>PC</v>
          </cell>
        </row>
        <row r="2738">
          <cell r="C2738">
            <v>3002717</v>
          </cell>
          <cell r="D2738" t="str">
            <v>MANUTENÇÃO HARDWARE</v>
          </cell>
          <cell r="E2738" t="str">
            <v>UN</v>
          </cell>
        </row>
        <row r="2739">
          <cell r="C2739">
            <v>3002718</v>
          </cell>
          <cell r="D2739" t="str">
            <v>MEDICINA VETERINÁRIA E ZOOTECNIA.</v>
          </cell>
          <cell r="E2739" t="str">
            <v>SV</v>
          </cell>
        </row>
        <row r="2740">
          <cell r="C2740">
            <v>3002719</v>
          </cell>
          <cell r="D2740" t="str">
            <v>MEDIC BIOMED EXCT HOSPIT E SIMIL</v>
          </cell>
          <cell r="E2740" t="str">
            <v>H</v>
          </cell>
        </row>
        <row r="2741">
          <cell r="C2741">
            <v>3002720</v>
          </cell>
          <cell r="D2741" t="str">
            <v>MEDIC BIOMED EXCT HOSPIT SIMIL</v>
          </cell>
          <cell r="E2741" t="str">
            <v>MES</v>
          </cell>
        </row>
        <row r="2742">
          <cell r="C2742">
            <v>3002721</v>
          </cell>
          <cell r="D2742" t="str">
            <v>MEDIC BIOMED EXCT HOSPIT SIMIL</v>
          </cell>
          <cell r="E2742" t="str">
            <v>SV</v>
          </cell>
        </row>
        <row r="2743">
          <cell r="C2743">
            <v>3002722</v>
          </cell>
          <cell r="D2743" t="str">
            <v>MEDIC BIOMED EXCT HOSPIT SIMIL</v>
          </cell>
          <cell r="E2743" t="str">
            <v>UN</v>
          </cell>
        </row>
        <row r="2744">
          <cell r="C2744">
            <v>3002723</v>
          </cell>
          <cell r="D2744" t="str">
            <v>MERGULHO;PESCAR;SIMILAR RELAC RECUR MIN</v>
          </cell>
          <cell r="E2744" t="str">
            <v>UN</v>
          </cell>
        </row>
        <row r="2745">
          <cell r="C2745">
            <v>3002724</v>
          </cell>
          <cell r="D2745" t="str">
            <v>SUPORTE TECNICO EM INFORMATICA</v>
          </cell>
          <cell r="E2745" t="str">
            <v>SV</v>
          </cell>
        </row>
        <row r="2746">
          <cell r="C2746">
            <v>3002725</v>
          </cell>
          <cell r="D2746" t="str">
            <v>SUPORTE TECNICO EM INFORMATICA</v>
          </cell>
          <cell r="E2746" t="str">
            <v>SV</v>
          </cell>
        </row>
        <row r="2747">
          <cell r="C2747">
            <v>3002726</v>
          </cell>
          <cell r="D2747" t="str">
            <v>TI -FERRAMENTAS COLABORACAO POR MENSAGEM</v>
          </cell>
          <cell r="E2747" t="str">
            <v>UN</v>
          </cell>
        </row>
        <row r="2748">
          <cell r="C2748">
            <v>3002727</v>
          </cell>
          <cell r="D2748" t="str">
            <v>TI -FERRAMENTAS DE COLABORACAO VIA WEB</v>
          </cell>
          <cell r="E2748" t="str">
            <v>UN</v>
          </cell>
        </row>
        <row r="2749">
          <cell r="C2749">
            <v>3002728</v>
          </cell>
          <cell r="D2749" t="str">
            <v>MIDIA DIGITAL</v>
          </cell>
          <cell r="E2749" t="str">
            <v>H</v>
          </cell>
        </row>
        <row r="2750">
          <cell r="C2750">
            <v>3002729</v>
          </cell>
          <cell r="D2750" t="str">
            <v>MIDIA DIGITAL</v>
          </cell>
          <cell r="E2750" t="str">
            <v>MES</v>
          </cell>
        </row>
        <row r="2751">
          <cell r="C2751">
            <v>3002730</v>
          </cell>
          <cell r="D2751" t="str">
            <v>MIDIA DIGITAL</v>
          </cell>
          <cell r="E2751" t="str">
            <v>SV</v>
          </cell>
        </row>
        <row r="2752">
          <cell r="C2752">
            <v>3002731</v>
          </cell>
          <cell r="D2752" t="str">
            <v>MIDIA DIGITAL</v>
          </cell>
          <cell r="E2752" t="str">
            <v>UN</v>
          </cell>
        </row>
        <row r="2753">
          <cell r="C2753">
            <v>3002732</v>
          </cell>
          <cell r="D2753" t="str">
            <v>INSTRUÇÃO,TREIN,PEDAG,EDUCAC</v>
          </cell>
          <cell r="E2753" t="str">
            <v>SV</v>
          </cell>
        </row>
        <row r="2754">
          <cell r="C2754">
            <v>3002733</v>
          </cell>
          <cell r="D2754" t="str">
            <v>MANUTENCAO E REPARO DE MINA</v>
          </cell>
          <cell r="E2754" t="str">
            <v>UN</v>
          </cell>
        </row>
        <row r="2755">
          <cell r="C2755">
            <v>3002734</v>
          </cell>
          <cell r="D2755" t="str">
            <v>MONIT PIEZOMETRICO E HIDROMETRICO</v>
          </cell>
          <cell r="E2755" t="str">
            <v>MES</v>
          </cell>
        </row>
        <row r="2756">
          <cell r="C2756">
            <v>3002735</v>
          </cell>
          <cell r="D2756" t="str">
            <v>INSTAL,MONT DE PROD,PC,EQUIPS DE OBRAS</v>
          </cell>
          <cell r="E2756" t="str">
            <v>SV</v>
          </cell>
        </row>
        <row r="2757">
          <cell r="C2757">
            <v>3002736</v>
          </cell>
          <cell r="D2757" t="str">
            <v>MONIT PIEZOMETRICO E HIDROMETRICO</v>
          </cell>
          <cell r="E2757" t="str">
            <v>UN</v>
          </cell>
        </row>
        <row r="2758">
          <cell r="C2758">
            <v>3002737</v>
          </cell>
          <cell r="D2758" t="str">
            <v>MONITORAMENTO DE DETONADOR</v>
          </cell>
          <cell r="E2758" t="str">
            <v>UN</v>
          </cell>
        </row>
        <row r="2759">
          <cell r="C2759">
            <v>3002738</v>
          </cell>
          <cell r="D2759" t="str">
            <v>MONT DE SIST DE AUTO; SIST INTEGRAÇÃO</v>
          </cell>
          <cell r="E2759" t="str">
            <v>H</v>
          </cell>
        </row>
        <row r="2760">
          <cell r="C2760">
            <v>3002739</v>
          </cell>
          <cell r="D2760" t="str">
            <v>MONT DE SIST DE AUTO; SIST INTEGRAÇÃO</v>
          </cell>
          <cell r="E2760" t="str">
            <v>MES</v>
          </cell>
        </row>
        <row r="2761">
          <cell r="C2761">
            <v>3002740</v>
          </cell>
          <cell r="D2761" t="str">
            <v>INSTAL,MONT DE PROD,PC,EQUIPS DE OBRAS</v>
          </cell>
          <cell r="E2761" t="str">
            <v>SV</v>
          </cell>
        </row>
        <row r="2762">
          <cell r="C2762">
            <v>3002741</v>
          </cell>
          <cell r="D2762" t="str">
            <v>MONT DE SIST DE AUTO; SIST INTEGRAÇÃO</v>
          </cell>
          <cell r="E2762" t="str">
            <v>UN</v>
          </cell>
        </row>
        <row r="2763">
          <cell r="C2763">
            <v>3002742</v>
          </cell>
          <cell r="D2763" t="str">
            <v>MONT LIGAÇÃO -TUBING, LANÇ CABO SINAL</v>
          </cell>
          <cell r="E2763" t="str">
            <v>UN</v>
          </cell>
        </row>
        <row r="2764">
          <cell r="C2764">
            <v>3002743</v>
          </cell>
          <cell r="D2764" t="str">
            <v>MONT, INSTAL E SUP EQUIP OU SIST TELECOM</v>
          </cell>
          <cell r="E2764" t="str">
            <v>H</v>
          </cell>
        </row>
        <row r="2765">
          <cell r="C2765">
            <v>3002744</v>
          </cell>
          <cell r="D2765" t="str">
            <v>MONT, INSTAL E SUP EQUIP OU SIST TELECOM</v>
          </cell>
          <cell r="E2765" t="str">
            <v>KG</v>
          </cell>
        </row>
        <row r="2766">
          <cell r="C2766">
            <v>3002745</v>
          </cell>
          <cell r="D2766" t="str">
            <v>MONT, INSTAL E SUP EQUIP OU SIST TELECOM</v>
          </cell>
          <cell r="E2766" t="str">
            <v>M</v>
          </cell>
        </row>
        <row r="2767">
          <cell r="C2767">
            <v>3002746</v>
          </cell>
          <cell r="D2767" t="str">
            <v>MONT, INSTAL E SUP EQUIP OU SIST TELECOM</v>
          </cell>
          <cell r="E2767" t="str">
            <v>M2</v>
          </cell>
        </row>
        <row r="2768">
          <cell r="C2768">
            <v>3002747</v>
          </cell>
          <cell r="D2768" t="str">
            <v>MONT, INSTAL E SUP EQUIP OU SIST TELECOM</v>
          </cell>
          <cell r="E2768" t="str">
            <v>M3</v>
          </cell>
        </row>
        <row r="2769">
          <cell r="C2769">
            <v>3002748</v>
          </cell>
          <cell r="D2769" t="str">
            <v>MONT, INSTAL E SUP EQUIP OU SIST TELECOM</v>
          </cell>
          <cell r="E2769" t="str">
            <v>MES</v>
          </cell>
        </row>
        <row r="2770">
          <cell r="C2770">
            <v>3002749</v>
          </cell>
          <cell r="D2770" t="str">
            <v>MONT, INSTAL E SUP EQUIP OU SIST TELECOM</v>
          </cell>
          <cell r="E2770" t="str">
            <v>PC</v>
          </cell>
        </row>
        <row r="2771">
          <cell r="C2771">
            <v>3002750</v>
          </cell>
          <cell r="D2771" t="str">
            <v>SRV TECNICOS EM EDIFICACOES</v>
          </cell>
          <cell r="E2771" t="str">
            <v>SV</v>
          </cell>
        </row>
        <row r="2772">
          <cell r="C2772">
            <v>3002751</v>
          </cell>
          <cell r="D2772" t="str">
            <v>MONT, INSTAL E SUP EQUIP OU SIST TELECOM</v>
          </cell>
          <cell r="E2772" t="str">
            <v>UN</v>
          </cell>
        </row>
        <row r="2773">
          <cell r="C2773">
            <v>3002752</v>
          </cell>
          <cell r="D2773" t="str">
            <v>MONTAGEM DE CALDEIRARIA</v>
          </cell>
          <cell r="E2773" t="str">
            <v>H</v>
          </cell>
        </row>
        <row r="2774">
          <cell r="C2774">
            <v>3002753</v>
          </cell>
          <cell r="D2774" t="str">
            <v>MONTAGEM DE CALDEIRARIA</v>
          </cell>
          <cell r="E2774" t="str">
            <v>KG</v>
          </cell>
        </row>
        <row r="2775">
          <cell r="C2775">
            <v>3002754</v>
          </cell>
          <cell r="D2775" t="str">
            <v>MONTAGEM DE CALDEIRARIA</v>
          </cell>
          <cell r="E2775" t="str">
            <v>L</v>
          </cell>
        </row>
        <row r="2776">
          <cell r="C2776">
            <v>3002755</v>
          </cell>
          <cell r="D2776" t="str">
            <v>MONTAGEM DE CALDEIRARIA</v>
          </cell>
          <cell r="E2776" t="str">
            <v>M</v>
          </cell>
        </row>
        <row r="2777">
          <cell r="C2777">
            <v>3002756</v>
          </cell>
          <cell r="D2777" t="str">
            <v>MONTAGEM DE CALDEIRARIA</v>
          </cell>
          <cell r="E2777" t="str">
            <v>M2</v>
          </cell>
        </row>
        <row r="2778">
          <cell r="C2778">
            <v>3002757</v>
          </cell>
          <cell r="D2778" t="str">
            <v>MONTAGEM DE CALDEIRARIA</v>
          </cell>
          <cell r="E2778" t="str">
            <v>MES</v>
          </cell>
        </row>
        <row r="2779">
          <cell r="C2779">
            <v>3002758</v>
          </cell>
          <cell r="D2779" t="str">
            <v>INSTAL E MONT DE APARELHOS,MAQS E EQUIPS</v>
          </cell>
          <cell r="E2779" t="str">
            <v>SV</v>
          </cell>
        </row>
        <row r="2780">
          <cell r="C2780">
            <v>3002759</v>
          </cell>
          <cell r="D2780" t="str">
            <v>MONTAGEM DE CALDEIRARIA</v>
          </cell>
          <cell r="E2780" t="str">
            <v>TO</v>
          </cell>
        </row>
        <row r="2781">
          <cell r="C2781">
            <v>3002760</v>
          </cell>
          <cell r="D2781" t="str">
            <v>MONTAGEM DE CALDEIRARIA</v>
          </cell>
          <cell r="E2781" t="str">
            <v>UN</v>
          </cell>
        </row>
        <row r="2782">
          <cell r="C2782">
            <v>3002761</v>
          </cell>
          <cell r="D2782" t="str">
            <v>MONTAGEM DE CAMINHÃO FORA DE ESTRADA</v>
          </cell>
          <cell r="E2782" t="str">
            <v>UN</v>
          </cell>
        </row>
        <row r="2783">
          <cell r="C2783">
            <v>3002762</v>
          </cell>
          <cell r="D2783" t="str">
            <v>INSTAL E MONT DE APARELHOS,MAQS E EQUIPS</v>
          </cell>
          <cell r="E2783" t="str">
            <v>SV</v>
          </cell>
        </row>
        <row r="2784">
          <cell r="C2784">
            <v>3002763</v>
          </cell>
          <cell r="D2784" t="str">
            <v>MONTAGEM DE ESCAVADEIRAS</v>
          </cell>
          <cell r="E2784" t="str">
            <v>UN</v>
          </cell>
        </row>
        <row r="2785">
          <cell r="C2785">
            <v>3002764</v>
          </cell>
          <cell r="D2785" t="str">
            <v>MONTAGEM DE ESTANDES</v>
          </cell>
          <cell r="E2785" t="str">
            <v>CT</v>
          </cell>
        </row>
        <row r="2786">
          <cell r="C2786">
            <v>3002765</v>
          </cell>
          <cell r="D2786" t="str">
            <v>MONTAGEM DE ESTANDES</v>
          </cell>
          <cell r="E2786" t="str">
            <v>DIA</v>
          </cell>
        </row>
        <row r="2787">
          <cell r="C2787">
            <v>3002766</v>
          </cell>
          <cell r="D2787" t="str">
            <v>MONTAGEM DE ESTANDES</v>
          </cell>
          <cell r="E2787" t="str">
            <v>KMS</v>
          </cell>
        </row>
        <row r="2788">
          <cell r="C2788">
            <v>3002767</v>
          </cell>
          <cell r="D2788" t="str">
            <v>MONTAGEM DE ESTANDES</v>
          </cell>
          <cell r="E2788" t="str">
            <v>M</v>
          </cell>
        </row>
        <row r="2789">
          <cell r="C2789">
            <v>3002768</v>
          </cell>
          <cell r="D2789" t="str">
            <v>MONTAGEM DE ESTANDES</v>
          </cell>
          <cell r="E2789" t="str">
            <v>M2</v>
          </cell>
        </row>
        <row r="2790">
          <cell r="C2790">
            <v>3002769</v>
          </cell>
          <cell r="D2790" t="str">
            <v>INSTAL E MONT DE APARELHOS,MAQS E EQUIPS</v>
          </cell>
          <cell r="E2790" t="str">
            <v>SV</v>
          </cell>
        </row>
        <row r="2791">
          <cell r="C2791">
            <v>3002770</v>
          </cell>
          <cell r="D2791" t="str">
            <v>MONTAGEM DE ESTANDES</v>
          </cell>
          <cell r="E2791" t="str">
            <v>UN</v>
          </cell>
        </row>
        <row r="2792">
          <cell r="C2792">
            <v>3002771</v>
          </cell>
          <cell r="D2792" t="str">
            <v>MONTAGEM DE ESTRUTURAS METÁLICAS</v>
          </cell>
          <cell r="E2792" t="str">
            <v>H</v>
          </cell>
        </row>
        <row r="2793">
          <cell r="C2793">
            <v>3002772</v>
          </cell>
          <cell r="D2793" t="str">
            <v>MONTAGEM DE ESTRUTURAS METÁLICAS</v>
          </cell>
          <cell r="E2793" t="str">
            <v>KG</v>
          </cell>
        </row>
        <row r="2794">
          <cell r="C2794">
            <v>3002773</v>
          </cell>
          <cell r="D2794" t="str">
            <v>MONTAGEM DE ESTRUTURAS METÁLICAS</v>
          </cell>
          <cell r="E2794" t="str">
            <v>M</v>
          </cell>
        </row>
        <row r="2795">
          <cell r="C2795">
            <v>3002774</v>
          </cell>
          <cell r="D2795" t="str">
            <v>MONTAGEM DE ESTRUTURAS METÁLICAS</v>
          </cell>
          <cell r="E2795" t="str">
            <v>M2</v>
          </cell>
        </row>
        <row r="2796">
          <cell r="C2796">
            <v>3002775</v>
          </cell>
          <cell r="D2796" t="str">
            <v>MONTAGEM DE ESTRUTURAS METÁLICAS</v>
          </cell>
          <cell r="E2796" t="str">
            <v>M3</v>
          </cell>
        </row>
        <row r="2797">
          <cell r="C2797">
            <v>3002776</v>
          </cell>
          <cell r="D2797" t="str">
            <v>MONTAGEM DE ESTRUTURAS METÁLICAS</v>
          </cell>
          <cell r="E2797" t="str">
            <v>SV</v>
          </cell>
        </row>
        <row r="2798">
          <cell r="C2798">
            <v>3002777</v>
          </cell>
          <cell r="D2798" t="str">
            <v>MONTAGEM DE ESTRUTURAS METÁLICAS</v>
          </cell>
          <cell r="E2798" t="str">
            <v>TO</v>
          </cell>
        </row>
        <row r="2799">
          <cell r="C2799">
            <v>3002778</v>
          </cell>
          <cell r="D2799" t="str">
            <v>MONTAGEM DE ESTRUTURAS METÁLICAS</v>
          </cell>
          <cell r="E2799" t="str">
            <v>UN</v>
          </cell>
        </row>
        <row r="2800">
          <cell r="C2800">
            <v>3002779</v>
          </cell>
          <cell r="D2800" t="str">
            <v>MONTAGEM DE ILUNINAÃ‡ÃƒO</v>
          </cell>
          <cell r="E2800" t="str">
            <v>UN</v>
          </cell>
        </row>
        <row r="2801">
          <cell r="C2801">
            <v>3002780</v>
          </cell>
          <cell r="D2801" t="str">
            <v>MONTAGEM DE LANÇAMENTO DE CABO</v>
          </cell>
          <cell r="E2801" t="str">
            <v>H</v>
          </cell>
        </row>
        <row r="2802">
          <cell r="C2802">
            <v>3002781</v>
          </cell>
          <cell r="D2802" t="str">
            <v>MONTAGEM DE LANÇAMENTO DE CABO</v>
          </cell>
          <cell r="E2802" t="str">
            <v>M</v>
          </cell>
        </row>
        <row r="2803">
          <cell r="C2803">
            <v>3002782</v>
          </cell>
          <cell r="D2803" t="str">
            <v>MONTAGEM DE LANÇAMENTO DE CABO</v>
          </cell>
          <cell r="E2803" t="str">
            <v>SV</v>
          </cell>
        </row>
        <row r="2804">
          <cell r="C2804">
            <v>3002783</v>
          </cell>
          <cell r="D2804" t="str">
            <v>MONTAGEM DE LANÇAMENTO DE CABO</v>
          </cell>
          <cell r="E2804" t="str">
            <v>UN</v>
          </cell>
        </row>
        <row r="2805">
          <cell r="C2805">
            <v>3002784</v>
          </cell>
          <cell r="D2805" t="str">
            <v>INSTAL E MONT DE APARELHOS,MAQS E EQUIPS</v>
          </cell>
          <cell r="E2805" t="str">
            <v>SV</v>
          </cell>
        </row>
        <row r="2806">
          <cell r="C2806">
            <v>3002785</v>
          </cell>
          <cell r="D2806" t="str">
            <v>MONTAGEM DE MÁQUINA DE PÁTIO</v>
          </cell>
          <cell r="E2806" t="str">
            <v>UN</v>
          </cell>
        </row>
        <row r="2807">
          <cell r="C2807">
            <v>3002786</v>
          </cell>
          <cell r="D2807" t="str">
            <v>MONTAGEM DE MEDIDORES</v>
          </cell>
          <cell r="E2807" t="str">
            <v>M</v>
          </cell>
        </row>
        <row r="2808">
          <cell r="C2808">
            <v>3002787</v>
          </cell>
          <cell r="D2808" t="str">
            <v>MONTAGEM DE MEDIDORES</v>
          </cell>
          <cell r="E2808" t="str">
            <v>UN</v>
          </cell>
        </row>
        <row r="2809">
          <cell r="C2809">
            <v>3002788</v>
          </cell>
          <cell r="D2809" t="str">
            <v>MONTAGEM DE PAINÉS</v>
          </cell>
          <cell r="E2809" t="str">
            <v>SV</v>
          </cell>
        </row>
        <row r="2810">
          <cell r="C2810">
            <v>3002789</v>
          </cell>
          <cell r="D2810" t="str">
            <v>MONTAGEM DE PAINÉS</v>
          </cell>
          <cell r="E2810" t="str">
            <v>UN</v>
          </cell>
        </row>
        <row r="2811">
          <cell r="C2811">
            <v>3002790</v>
          </cell>
          <cell r="D2811" t="str">
            <v>MONTAGEM DE TRANSFORMADORES</v>
          </cell>
          <cell r="E2811" t="str">
            <v>PC</v>
          </cell>
        </row>
        <row r="2812">
          <cell r="C2812">
            <v>3002791</v>
          </cell>
          <cell r="D2812" t="str">
            <v>MONTAGEM DE TRANSFORMADORES</v>
          </cell>
          <cell r="E2812" t="str">
            <v>UN</v>
          </cell>
        </row>
        <row r="2813">
          <cell r="C2813">
            <v>3002792</v>
          </cell>
          <cell r="D2813" t="str">
            <v>MONTAGEM DE TRANSPORTADORES</v>
          </cell>
          <cell r="E2813" t="str">
            <v>SV</v>
          </cell>
        </row>
        <row r="2814">
          <cell r="C2814">
            <v>3002793</v>
          </cell>
          <cell r="D2814" t="str">
            <v>MONTAGEM DE TRANSPORTADORES</v>
          </cell>
          <cell r="E2814" t="str">
            <v>UN</v>
          </cell>
        </row>
        <row r="2815">
          <cell r="C2815">
            <v>3002794</v>
          </cell>
          <cell r="D2815" t="str">
            <v>MONTAGEM DE TUBULAÇÕES</v>
          </cell>
          <cell r="E2815" t="str">
            <v>KG</v>
          </cell>
        </row>
        <row r="2816">
          <cell r="C2816">
            <v>3002795</v>
          </cell>
          <cell r="D2816" t="str">
            <v>MONTAGEM DE TUBULAÇÕES</v>
          </cell>
          <cell r="E2816" t="str">
            <v>M</v>
          </cell>
        </row>
        <row r="2817">
          <cell r="C2817">
            <v>3002796</v>
          </cell>
          <cell r="D2817" t="str">
            <v>MONTAGEM DE TUBULAÇÕES</v>
          </cell>
          <cell r="E2817" t="str">
            <v>M2</v>
          </cell>
        </row>
        <row r="2818">
          <cell r="C2818">
            <v>3002797</v>
          </cell>
          <cell r="D2818" t="str">
            <v>MONTAGEM DE TUBULAÇÕES</v>
          </cell>
          <cell r="E2818" t="str">
            <v>MES</v>
          </cell>
        </row>
        <row r="2819">
          <cell r="C2819">
            <v>3002798</v>
          </cell>
          <cell r="D2819" t="str">
            <v>MONTAGEM DE TUBULAÇÕES</v>
          </cell>
          <cell r="E2819" t="str">
            <v>PC</v>
          </cell>
        </row>
        <row r="2820">
          <cell r="C2820">
            <v>3002799</v>
          </cell>
          <cell r="D2820" t="str">
            <v>MONTAGEM DE TUBULAÇÕES</v>
          </cell>
          <cell r="E2820" t="str">
            <v>TO</v>
          </cell>
        </row>
        <row r="2821">
          <cell r="C2821">
            <v>3002800</v>
          </cell>
          <cell r="D2821" t="str">
            <v>MONTAGEM DE TUBULAÇÕES</v>
          </cell>
          <cell r="E2821" t="str">
            <v>UN</v>
          </cell>
        </row>
        <row r="2822">
          <cell r="C2822">
            <v>3002801</v>
          </cell>
          <cell r="D2822" t="str">
            <v>MONTAGEM DE VÁLVULAS DE INSTRUNENTO</v>
          </cell>
          <cell r="E2822" t="str">
            <v>UN</v>
          </cell>
        </row>
        <row r="2823">
          <cell r="C2823">
            <v>3002802</v>
          </cell>
          <cell r="D2823" t="str">
            <v>MONTAGEM DE VIRADOR DE VAGÃO</v>
          </cell>
          <cell r="E2823" t="str">
            <v>UN</v>
          </cell>
        </row>
        <row r="2824">
          <cell r="C2824">
            <v>3002803</v>
          </cell>
          <cell r="D2824" t="str">
            <v>MONTAGEM EQUIP MECÂNICOS DO PROCESSO</v>
          </cell>
          <cell r="E2824" t="str">
            <v>UA</v>
          </cell>
        </row>
        <row r="2825">
          <cell r="C2825">
            <v>3002804</v>
          </cell>
          <cell r="D2825" t="str">
            <v>MONTAGEM EQUIP MECÂNICOS DO PROCESSO</v>
          </cell>
          <cell r="E2825" t="str">
            <v>UN</v>
          </cell>
        </row>
        <row r="2826">
          <cell r="C2826">
            <v>3002805</v>
          </cell>
          <cell r="D2826" t="str">
            <v>MONTAGEM PROTEÇÕES E REVESTIMENTO</v>
          </cell>
          <cell r="E2826" t="str">
            <v>KG</v>
          </cell>
        </row>
        <row r="2827">
          <cell r="C2827">
            <v>3002806</v>
          </cell>
          <cell r="D2827" t="str">
            <v>MONTAGEM PROTEÇÕES E REVESTIMENTO</v>
          </cell>
          <cell r="E2827" t="str">
            <v>M</v>
          </cell>
        </row>
        <row r="2828">
          <cell r="C2828">
            <v>3002807</v>
          </cell>
          <cell r="D2828" t="str">
            <v>MONTAGEM PROTEÇÕES E REVESTIMENTO</v>
          </cell>
          <cell r="E2828" t="str">
            <v>M2</v>
          </cell>
        </row>
        <row r="2829">
          <cell r="C2829">
            <v>3002808</v>
          </cell>
          <cell r="D2829" t="str">
            <v>MONTAGEM PROTEÇÕES E REVESTIMENTO</v>
          </cell>
          <cell r="E2829" t="str">
            <v>SV</v>
          </cell>
        </row>
        <row r="2830">
          <cell r="C2830">
            <v>3002809</v>
          </cell>
          <cell r="D2830" t="str">
            <v>MONTAGEM PROTEÇÕES E REVESTIMENTO</v>
          </cell>
          <cell r="E2830" t="str">
            <v>UN</v>
          </cell>
        </row>
        <row r="2831">
          <cell r="C2831">
            <v>3002810</v>
          </cell>
          <cell r="D2831" t="str">
            <v>MOV CARGAS IMPORTADAS E EXPORTADAS</v>
          </cell>
          <cell r="E2831" t="str">
            <v>CT</v>
          </cell>
        </row>
        <row r="2832">
          <cell r="C2832">
            <v>3002811</v>
          </cell>
          <cell r="D2832" t="str">
            <v>MOV CARGAS IMPORTADAS E EXPORTADAS</v>
          </cell>
          <cell r="E2832" t="str">
            <v>H</v>
          </cell>
        </row>
        <row r="2833">
          <cell r="C2833">
            <v>3002812</v>
          </cell>
          <cell r="D2833" t="str">
            <v>SRV PORTUARIO,UTILIZ D PORTO,LOGIST CONG</v>
          </cell>
          <cell r="E2833" t="str">
            <v>SV</v>
          </cell>
        </row>
        <row r="2834">
          <cell r="C2834">
            <v>3002813</v>
          </cell>
          <cell r="D2834" t="str">
            <v>MOV CARGAS IMPORTADAS E EXPORTADAS</v>
          </cell>
          <cell r="E2834" t="str">
            <v>TO</v>
          </cell>
        </row>
        <row r="2835">
          <cell r="C2835">
            <v>3002814</v>
          </cell>
          <cell r="D2835" t="str">
            <v>MOV CARGAS IMPORTADAS E EXPORTADAS</v>
          </cell>
          <cell r="E2835" t="str">
            <v>UN</v>
          </cell>
        </row>
        <row r="2836">
          <cell r="C2836">
            <v>3002815</v>
          </cell>
          <cell r="D2836" t="str">
            <v>MOVIMENTAÇÃO MATERIAIS, CARGA E DESCARGA</v>
          </cell>
          <cell r="E2836" t="str">
            <v>60</v>
          </cell>
        </row>
        <row r="2837">
          <cell r="C2837">
            <v>3002816</v>
          </cell>
          <cell r="D2837" t="str">
            <v>MOVIMENTAÇÃO MATERIAIS, CARGA E DESCARGA</v>
          </cell>
          <cell r="E2837" t="str">
            <v>CX</v>
          </cell>
        </row>
        <row r="2838">
          <cell r="C2838">
            <v>3002817</v>
          </cell>
          <cell r="D2838" t="str">
            <v>MOVIMENTAÇÃO MATERIAIS, CARGA E DESCARGA</v>
          </cell>
          <cell r="E2838" t="str">
            <v>DIA</v>
          </cell>
        </row>
        <row r="2839">
          <cell r="C2839">
            <v>3002818</v>
          </cell>
          <cell r="D2839" t="str">
            <v>MOVIMENTAÇÃO MATERIAIS, CARGA E DESCARGA</v>
          </cell>
          <cell r="E2839" t="str">
            <v>H</v>
          </cell>
        </row>
        <row r="2840">
          <cell r="C2840">
            <v>3002819</v>
          </cell>
          <cell r="D2840" t="str">
            <v>MOVIMENTAÇÃO MATERIAIS, CARGA E DESCARGA</v>
          </cell>
          <cell r="E2840" t="str">
            <v>KMS</v>
          </cell>
        </row>
        <row r="2841">
          <cell r="C2841">
            <v>3002820</v>
          </cell>
          <cell r="D2841" t="str">
            <v>MOVIMENTAÇÃO MATERIAIS, CARGA E DESCARGA</v>
          </cell>
          <cell r="E2841" t="str">
            <v>M</v>
          </cell>
        </row>
        <row r="2842">
          <cell r="C2842">
            <v>3002821</v>
          </cell>
          <cell r="D2842" t="str">
            <v>MOVIMENTAÇÃO MATERIAIS, CARGA E DESCARGA</v>
          </cell>
          <cell r="E2842" t="str">
            <v>M2</v>
          </cell>
        </row>
        <row r="2843">
          <cell r="C2843">
            <v>3002822</v>
          </cell>
          <cell r="D2843" t="str">
            <v>MOVIMENTAÇÃO MATERIAIS, CARGA E DESCARGA</v>
          </cell>
          <cell r="E2843" t="str">
            <v>M3</v>
          </cell>
        </row>
        <row r="2844">
          <cell r="C2844">
            <v>3002823</v>
          </cell>
          <cell r="D2844" t="str">
            <v>MOVIMENTAÇÃO MATERIAIS, CARGA E DESCARGA</v>
          </cell>
          <cell r="E2844" t="str">
            <v>MES</v>
          </cell>
        </row>
        <row r="2845">
          <cell r="C2845">
            <v>3002824</v>
          </cell>
          <cell r="D2845" t="str">
            <v>MOV MAT,CARGA,DESCARGA,ARRUM,ARMAZENAM</v>
          </cell>
          <cell r="E2845" t="str">
            <v>SV</v>
          </cell>
        </row>
        <row r="2846">
          <cell r="C2846">
            <v>3002825</v>
          </cell>
          <cell r="D2846" t="str">
            <v>MOVIMENTAÇÃO MATERIAIS, CARGA E DESCARGA</v>
          </cell>
          <cell r="E2846" t="str">
            <v>TO</v>
          </cell>
        </row>
        <row r="2847">
          <cell r="C2847">
            <v>3002826</v>
          </cell>
          <cell r="D2847" t="str">
            <v>MOVIMENTAÇÃO MATERIAIS, CARGA E DESCARGA</v>
          </cell>
          <cell r="E2847" t="str">
            <v>UN</v>
          </cell>
        </row>
        <row r="2848">
          <cell r="C2848">
            <v>3002827</v>
          </cell>
          <cell r="D2848" t="str">
            <v>MUDANÇA BENS - NACIONAL</v>
          </cell>
          <cell r="E2848" t="str">
            <v>KMS</v>
          </cell>
        </row>
        <row r="2849">
          <cell r="C2849">
            <v>3002828</v>
          </cell>
          <cell r="D2849" t="str">
            <v>MUDANÇA BENS - NACIONAL</v>
          </cell>
          <cell r="E2849" t="str">
            <v>M3</v>
          </cell>
        </row>
        <row r="2850">
          <cell r="C2850">
            <v>3002829</v>
          </cell>
          <cell r="D2850" t="str">
            <v>MUDANÇA BENS - NACIONAL</v>
          </cell>
          <cell r="E2850" t="str">
            <v>UN</v>
          </cell>
        </row>
        <row r="2851">
          <cell r="C2851">
            <v>3002830</v>
          </cell>
          <cell r="D2851" t="str">
            <v>MUDANÇA</v>
          </cell>
          <cell r="E2851" t="str">
            <v>KMS</v>
          </cell>
        </row>
        <row r="2852">
          <cell r="C2852">
            <v>3002831</v>
          </cell>
          <cell r="D2852" t="str">
            <v>MUDANÇA</v>
          </cell>
          <cell r="E2852" t="str">
            <v>M3</v>
          </cell>
        </row>
        <row r="2853">
          <cell r="C2853">
            <v>3002832</v>
          </cell>
          <cell r="D2853" t="str">
            <v>MUDANÇA</v>
          </cell>
          <cell r="E2853" t="str">
            <v>UN</v>
          </cell>
        </row>
        <row r="2854">
          <cell r="C2854">
            <v>3002833</v>
          </cell>
          <cell r="D2854" t="str">
            <v>MULTA POR RESCISAO CONTRATUAL</v>
          </cell>
          <cell r="E2854" t="str">
            <v>SV</v>
          </cell>
        </row>
        <row r="2855">
          <cell r="C2855">
            <v>3002834</v>
          </cell>
          <cell r="D2855" t="str">
            <v>MULTAS A PESSOAS JURÃ�DICAS</v>
          </cell>
          <cell r="E2855" t="str">
            <v>UN</v>
          </cell>
        </row>
        <row r="2856">
          <cell r="C2856">
            <v>3002835</v>
          </cell>
          <cell r="D2856" t="str">
            <v>NETWORK DATA SERVICES - LAN SERVICES</v>
          </cell>
          <cell r="E2856" t="str">
            <v>H</v>
          </cell>
        </row>
        <row r="2857">
          <cell r="C2857">
            <v>3002836</v>
          </cell>
          <cell r="D2857" t="str">
            <v>NETWORK DATA SERVICES - LAN SERVICES</v>
          </cell>
          <cell r="E2857" t="str">
            <v>JG</v>
          </cell>
        </row>
        <row r="2858">
          <cell r="C2858">
            <v>3002837</v>
          </cell>
          <cell r="D2858" t="str">
            <v>NETWORK DATA SERVICES - LAN SERVICES</v>
          </cell>
          <cell r="E2858" t="str">
            <v>KG</v>
          </cell>
        </row>
        <row r="2859">
          <cell r="C2859">
            <v>3002838</v>
          </cell>
          <cell r="D2859" t="str">
            <v>NETWORK DATA SERVICES - LAN SERVICES</v>
          </cell>
          <cell r="E2859" t="str">
            <v>KMS</v>
          </cell>
        </row>
        <row r="2860">
          <cell r="C2860">
            <v>3002839</v>
          </cell>
          <cell r="D2860" t="str">
            <v>NETWORK DATA SERVICES - LAN SERVICES</v>
          </cell>
          <cell r="E2860" t="str">
            <v>M</v>
          </cell>
        </row>
        <row r="2861">
          <cell r="C2861">
            <v>3002840</v>
          </cell>
          <cell r="D2861" t="str">
            <v>NETWORK DATA SERVICES - LAN SERVICES</v>
          </cell>
          <cell r="E2861" t="str">
            <v>M2</v>
          </cell>
        </row>
        <row r="2862">
          <cell r="C2862">
            <v>3002841</v>
          </cell>
          <cell r="D2862" t="str">
            <v>NETWORK DATA SERVICES - LAN SERVICES</v>
          </cell>
          <cell r="E2862" t="str">
            <v>M3</v>
          </cell>
        </row>
        <row r="2863">
          <cell r="C2863">
            <v>3002842</v>
          </cell>
          <cell r="D2863" t="str">
            <v>NETWORK DATA SERVICES - LAN SERVICES</v>
          </cell>
          <cell r="E2863" t="str">
            <v>MES</v>
          </cell>
        </row>
        <row r="2864">
          <cell r="C2864">
            <v>3002843</v>
          </cell>
          <cell r="D2864" t="str">
            <v>NETWORK DATA SERVICES - LAN SERVICES</v>
          </cell>
          <cell r="E2864" t="str">
            <v>PC</v>
          </cell>
        </row>
        <row r="2865">
          <cell r="C2865">
            <v>3002844</v>
          </cell>
          <cell r="D2865" t="str">
            <v>SRV TECNICOS EM EDIFICACOES</v>
          </cell>
          <cell r="E2865" t="str">
            <v>SV</v>
          </cell>
        </row>
        <row r="2866">
          <cell r="C2866">
            <v>3002845</v>
          </cell>
          <cell r="D2866" t="str">
            <v>NETWORK DATA SERVICES - LAN SERVICES</v>
          </cell>
          <cell r="E2866" t="str">
            <v>UN</v>
          </cell>
        </row>
        <row r="2867">
          <cell r="C2867">
            <v>3002846</v>
          </cell>
          <cell r="D2867" t="str">
            <v>NETWORK DATA SERVICES - WAN SERVICES</v>
          </cell>
          <cell r="E2867" t="str">
            <v>H</v>
          </cell>
        </row>
        <row r="2868">
          <cell r="C2868">
            <v>3002847</v>
          </cell>
          <cell r="D2868" t="str">
            <v>NETWORK DATA SERVICES - WAN SERVICES</v>
          </cell>
          <cell r="E2868" t="str">
            <v>MES</v>
          </cell>
        </row>
        <row r="2869">
          <cell r="C2869">
            <v>3002848</v>
          </cell>
          <cell r="D2869" t="str">
            <v>NETWORK DATA SERVICES - WAN SERVICES</v>
          </cell>
          <cell r="E2869" t="str">
            <v>MIN</v>
          </cell>
        </row>
        <row r="2870">
          <cell r="C2870">
            <v>3002849</v>
          </cell>
          <cell r="D2870" t="str">
            <v>SRV TECNICOS EM EDIFICACOES</v>
          </cell>
          <cell r="E2870" t="str">
            <v>SV</v>
          </cell>
        </row>
        <row r="2871">
          <cell r="C2871">
            <v>3002850</v>
          </cell>
          <cell r="D2871" t="str">
            <v>NETWORK DATA SERVICES - WAN SERVICES</v>
          </cell>
          <cell r="E2871" t="str">
            <v>UN</v>
          </cell>
        </row>
        <row r="2872">
          <cell r="C2872">
            <v>3002851</v>
          </cell>
          <cell r="D2872" t="str">
            <v>SRV TECNICOS EM EDIFICACOES</v>
          </cell>
          <cell r="E2872" t="str">
            <v>SV</v>
          </cell>
        </row>
        <row r="2873">
          <cell r="C2873">
            <v>3002852</v>
          </cell>
          <cell r="D2873" t="str">
            <v>SRV TECNICOS EM EDIFICACOES</v>
          </cell>
          <cell r="E2873" t="str">
            <v>SV</v>
          </cell>
        </row>
        <row r="2874">
          <cell r="C2874">
            <v>3002853</v>
          </cell>
          <cell r="D2874" t="str">
            <v>NETWORK DATA SRV - LAN MONITORING SYSTEM</v>
          </cell>
          <cell r="E2874" t="str">
            <v>UN</v>
          </cell>
        </row>
        <row r="2875">
          <cell r="C2875">
            <v>3002854</v>
          </cell>
          <cell r="D2875" t="str">
            <v>NETWORK DATA SRV - LAN SATELLITE SERVICE</v>
          </cell>
          <cell r="E2875" t="str">
            <v>MES</v>
          </cell>
        </row>
        <row r="2876">
          <cell r="C2876">
            <v>3002855</v>
          </cell>
          <cell r="D2876" t="str">
            <v>SRV TECNICOS EM EDIFICACOES</v>
          </cell>
          <cell r="E2876" t="str">
            <v>SV</v>
          </cell>
        </row>
        <row r="2877">
          <cell r="C2877">
            <v>3002856</v>
          </cell>
          <cell r="D2877" t="str">
            <v>NETWORK DATA SRV - LAN SATELLITE SERVICE</v>
          </cell>
          <cell r="E2877" t="str">
            <v>UN</v>
          </cell>
        </row>
        <row r="2878">
          <cell r="C2878">
            <v>3002857</v>
          </cell>
          <cell r="D2878" t="str">
            <v>NETWORK DATA SRV - LAN SUPPORT AND MAINT</v>
          </cell>
          <cell r="E2878" t="str">
            <v>H</v>
          </cell>
        </row>
        <row r="2879">
          <cell r="C2879">
            <v>3002858</v>
          </cell>
          <cell r="D2879" t="str">
            <v>NETWORK DATA SRV - LAN SUPPORT AND MAINT</v>
          </cell>
          <cell r="E2879" t="str">
            <v>MES</v>
          </cell>
        </row>
        <row r="2880">
          <cell r="C2880">
            <v>3002859</v>
          </cell>
          <cell r="D2880" t="str">
            <v>NETWORK DATA SRV - LAN SUPPORT AND MAINT</v>
          </cell>
          <cell r="E2880" t="str">
            <v>SV</v>
          </cell>
        </row>
        <row r="2881">
          <cell r="C2881">
            <v>3002860</v>
          </cell>
          <cell r="D2881" t="str">
            <v>NETWORK DATA SRV - LAN SUPPORT AND MAINT</v>
          </cell>
          <cell r="E2881" t="str">
            <v>UN</v>
          </cell>
        </row>
        <row r="2882">
          <cell r="C2882">
            <v>3002861</v>
          </cell>
          <cell r="D2882" t="str">
            <v>NUCLEACAO,BOMBARDEAMENTO DE NUVENS,CONG</v>
          </cell>
          <cell r="E2882" t="str">
            <v>SV</v>
          </cell>
        </row>
        <row r="2883">
          <cell r="C2883">
            <v>3002862</v>
          </cell>
          <cell r="D2883" t="str">
            <v>NUTRICAO</v>
          </cell>
          <cell r="E2883" t="str">
            <v>UN</v>
          </cell>
        </row>
        <row r="2884">
          <cell r="C2884">
            <v>3002863</v>
          </cell>
          <cell r="D2884" t="str">
            <v>SANEAMENTO AMBIENTAL</v>
          </cell>
          <cell r="E2884" t="str">
            <v>DIA</v>
          </cell>
        </row>
        <row r="2885">
          <cell r="C2885">
            <v>3002864</v>
          </cell>
          <cell r="D2885" t="str">
            <v>SANEAMENTO AMBIENTAL</v>
          </cell>
          <cell r="E2885" t="str">
            <v>H</v>
          </cell>
        </row>
        <row r="2886">
          <cell r="C2886">
            <v>3002865</v>
          </cell>
          <cell r="D2886" t="str">
            <v>OBRAS SUPER E INFRAESTRUTURA DE FERROVIA</v>
          </cell>
          <cell r="E2886" t="str">
            <v>CM</v>
          </cell>
        </row>
        <row r="2887">
          <cell r="C2887">
            <v>3002866</v>
          </cell>
          <cell r="D2887" t="str">
            <v>OBRAS SUPER E INFRAESTRUTURA DE FERROVIA</v>
          </cell>
          <cell r="E2887" t="str">
            <v>DIA</v>
          </cell>
        </row>
        <row r="2888">
          <cell r="C2888">
            <v>3002867</v>
          </cell>
          <cell r="D2888" t="str">
            <v>OBRAS SUPER E INFRAESTRUTURA DE FERROVIA</v>
          </cell>
          <cell r="E2888" t="str">
            <v>H</v>
          </cell>
        </row>
        <row r="2889">
          <cell r="C2889">
            <v>3002868</v>
          </cell>
          <cell r="D2889" t="str">
            <v>OBRAS SUPER E INFRAESTRUTURA DE FERROVIA</v>
          </cell>
          <cell r="E2889" t="str">
            <v>KG</v>
          </cell>
        </row>
        <row r="2890">
          <cell r="C2890">
            <v>3002869</v>
          </cell>
          <cell r="D2890" t="str">
            <v>OBRAS SUPER E INFRAESTRUTURA DE FERROVIA</v>
          </cell>
          <cell r="E2890" t="str">
            <v>KMS</v>
          </cell>
        </row>
        <row r="2891">
          <cell r="C2891">
            <v>3002870</v>
          </cell>
          <cell r="D2891" t="str">
            <v>OBRAS SUPER E INFRAESTRUTURA DE FERROVIA</v>
          </cell>
          <cell r="E2891" t="str">
            <v>M</v>
          </cell>
        </row>
        <row r="2892">
          <cell r="C2892">
            <v>3002871</v>
          </cell>
          <cell r="D2892" t="str">
            <v>OBRAS SUPER E INFRAESTRUTURA DE FERROVIA</v>
          </cell>
          <cell r="E2892" t="str">
            <v>M2</v>
          </cell>
        </row>
        <row r="2893">
          <cell r="C2893">
            <v>3002872</v>
          </cell>
          <cell r="D2893" t="str">
            <v>OBRAS SUPER E INFRAESTRUTURA DE FERROVIA</v>
          </cell>
          <cell r="E2893" t="str">
            <v>M3</v>
          </cell>
        </row>
        <row r="2894">
          <cell r="C2894">
            <v>3002873</v>
          </cell>
          <cell r="D2894" t="str">
            <v>OBRAS SUPER E INFRAESTRUTURA DE FERROVIA</v>
          </cell>
          <cell r="E2894" t="str">
            <v>MES</v>
          </cell>
        </row>
        <row r="2895">
          <cell r="C2895">
            <v>3002874</v>
          </cell>
          <cell r="D2895" t="str">
            <v>DEMAIS SERVICOS DE CONSTRUCAO CIVIL</v>
          </cell>
          <cell r="E2895" t="str">
            <v>SV</v>
          </cell>
        </row>
        <row r="2896">
          <cell r="C2896">
            <v>3002875</v>
          </cell>
          <cell r="D2896" t="str">
            <v>OBRAS SUPER E INFRAESTRUTURA DE FERROVIA</v>
          </cell>
          <cell r="E2896" t="str">
            <v>TO</v>
          </cell>
        </row>
        <row r="2897">
          <cell r="C2897">
            <v>3002876</v>
          </cell>
          <cell r="D2897" t="str">
            <v>OBRAS SUPER E INFRAESTRUTURA DE FERROVIA</v>
          </cell>
          <cell r="E2897" t="str">
            <v>UN</v>
          </cell>
        </row>
        <row r="2898">
          <cell r="C2898">
            <v>3002877</v>
          </cell>
          <cell r="D2898" t="str">
            <v>OBSTETRÍCIA.</v>
          </cell>
          <cell r="E2898" t="str">
            <v>SV</v>
          </cell>
        </row>
        <row r="2899">
          <cell r="C2899">
            <v>3002878</v>
          </cell>
          <cell r="D2899" t="str">
            <v>ODONTOLOGIA</v>
          </cell>
          <cell r="E2899" t="str">
            <v>MES</v>
          </cell>
        </row>
        <row r="2900">
          <cell r="C2900">
            <v>3002879</v>
          </cell>
          <cell r="D2900" t="str">
            <v>ODONTOLOGIA</v>
          </cell>
          <cell r="E2900" t="str">
            <v>UN</v>
          </cell>
        </row>
        <row r="2901">
          <cell r="C2901">
            <v>3002880</v>
          </cell>
          <cell r="D2901" t="str">
            <v>ORG FESTA E CONG - EXCT FORN ALIM C ICMS</v>
          </cell>
          <cell r="E2901" t="str">
            <v>KG</v>
          </cell>
        </row>
        <row r="2902">
          <cell r="C2902">
            <v>3002881</v>
          </cell>
          <cell r="D2902" t="str">
            <v>ORG DE FESTAS E RECEPCOES BUFE</v>
          </cell>
          <cell r="E2902" t="str">
            <v>SV</v>
          </cell>
        </row>
        <row r="2903">
          <cell r="C2903">
            <v>3002882</v>
          </cell>
          <cell r="D2903" t="str">
            <v>ORG FESTA E CONG - EXCT FORN ALIM C ICMS</v>
          </cell>
          <cell r="E2903" t="str">
            <v>UN</v>
          </cell>
        </row>
        <row r="2904">
          <cell r="C2904">
            <v>3002883</v>
          </cell>
          <cell r="D2904" t="str">
            <v>ORTÓPTICA.</v>
          </cell>
          <cell r="E2904" t="str">
            <v>SV</v>
          </cell>
        </row>
        <row r="2905">
          <cell r="C2905">
            <v>3002884</v>
          </cell>
          <cell r="D2905" t="str">
            <v>ASSESSORIA OU CONSULTORIA DE QQ NATUREZA</v>
          </cell>
          <cell r="E2905" t="str">
            <v>SV</v>
          </cell>
        </row>
        <row r="2906">
          <cell r="C2906">
            <v>3002885</v>
          </cell>
          <cell r="D2906" t="str">
            <v>OTIMIZAÇÃO DE PROCESSOS DE AUTOMATIZAÇÃO</v>
          </cell>
          <cell r="E2906" t="str">
            <v>UN</v>
          </cell>
        </row>
        <row r="2907">
          <cell r="C2907">
            <v>3002886</v>
          </cell>
          <cell r="D2907" t="str">
            <v>OUTRAS DESPESAS PORTUÁRIAS</v>
          </cell>
          <cell r="E2907" t="str">
            <v>CT</v>
          </cell>
        </row>
        <row r="2908">
          <cell r="C2908">
            <v>3002887</v>
          </cell>
          <cell r="D2908" t="str">
            <v>OUTRAS DESPESAS PORTUÁRIAS</v>
          </cell>
          <cell r="E2908" t="str">
            <v>DIA</v>
          </cell>
        </row>
        <row r="2909">
          <cell r="C2909">
            <v>3002888</v>
          </cell>
          <cell r="D2909" t="str">
            <v>OUTRAS DESPESAS PORTUÁRIAS</v>
          </cell>
          <cell r="E2909" t="str">
            <v>H</v>
          </cell>
        </row>
        <row r="2910">
          <cell r="C2910">
            <v>3002889</v>
          </cell>
          <cell r="D2910" t="str">
            <v>OUTRAS DESPESAS PORTUÁRIAS</v>
          </cell>
          <cell r="E2910" t="str">
            <v>MES</v>
          </cell>
        </row>
        <row r="2911">
          <cell r="C2911">
            <v>3002890</v>
          </cell>
          <cell r="D2911" t="str">
            <v>SRV PORTUARIO,UTILIZ D PORTO,LOGIST CONG</v>
          </cell>
          <cell r="E2911" t="str">
            <v>SV</v>
          </cell>
        </row>
        <row r="2912">
          <cell r="C2912">
            <v>3002891</v>
          </cell>
          <cell r="D2912" t="str">
            <v>OUTRAS DESPESAS PORTUÁRIAS</v>
          </cell>
          <cell r="E2912" t="str">
            <v>TO</v>
          </cell>
        </row>
        <row r="2913">
          <cell r="C2913">
            <v>3002892</v>
          </cell>
          <cell r="D2913" t="str">
            <v>OUTRAS DESPESAS PORTUÁRIAS</v>
          </cell>
          <cell r="E2913" t="str">
            <v>UN</v>
          </cell>
        </row>
        <row r="2914">
          <cell r="C2914">
            <v>3002893</v>
          </cell>
          <cell r="D2914" t="str">
            <v>OUTROS PLANOS SAÚDE PAGOS PELO OPERADOR</v>
          </cell>
          <cell r="E2914" t="str">
            <v>UN</v>
          </cell>
        </row>
        <row r="2915">
          <cell r="C2915">
            <v>3002894</v>
          </cell>
          <cell r="D2915" t="str">
            <v>OUTROS REPAROS DE NAVIOS</v>
          </cell>
          <cell r="E2915" t="str">
            <v>UN</v>
          </cell>
        </row>
        <row r="2916">
          <cell r="C2916">
            <v>3002895</v>
          </cell>
          <cell r="D2916" t="str">
            <v>OUTROS TIPOS DE DESPESAS</v>
          </cell>
          <cell r="E2916" t="str">
            <v>KG</v>
          </cell>
        </row>
        <row r="2917">
          <cell r="C2917">
            <v>3002896</v>
          </cell>
          <cell r="D2917" t="str">
            <v>OUTROS TIPOS DE DESPESAS</v>
          </cell>
          <cell r="E2917" t="str">
            <v>SV</v>
          </cell>
        </row>
        <row r="2918">
          <cell r="C2918">
            <v>3002897</v>
          </cell>
          <cell r="D2918" t="str">
            <v>OUTROS TIPOS DE DESPESAS</v>
          </cell>
          <cell r="E2918" t="str">
            <v>UN</v>
          </cell>
        </row>
        <row r="2919">
          <cell r="C2919">
            <v>3002898</v>
          </cell>
          <cell r="D2919" t="str">
            <v>GUARDA VEIC TERRESTR AUTOMOT,AERO,EMBARC</v>
          </cell>
          <cell r="E2919" t="str">
            <v>SV</v>
          </cell>
        </row>
        <row r="2920">
          <cell r="C2920">
            <v>3002899</v>
          </cell>
          <cell r="D2920" t="str">
            <v>PAGAMENTO DE IMPOSTOS - SERVICO</v>
          </cell>
          <cell r="E2920" t="str">
            <v>SV</v>
          </cell>
        </row>
        <row r="2921">
          <cell r="C2921">
            <v>3002900</v>
          </cell>
          <cell r="D2921" t="str">
            <v>PALETIZAÇÃO E/OU FUNIGAÇÃO DE CARGA</v>
          </cell>
          <cell r="E2921" t="str">
            <v>60</v>
          </cell>
        </row>
        <row r="2922">
          <cell r="C2922">
            <v>3002901</v>
          </cell>
          <cell r="D2922" t="str">
            <v>PALETIZAÇÃO E/OU FUNIGAÇÃO DE CARGA</v>
          </cell>
          <cell r="E2922" t="str">
            <v>M3</v>
          </cell>
        </row>
        <row r="2923">
          <cell r="C2923">
            <v>3002902</v>
          </cell>
          <cell r="D2923" t="str">
            <v>DEDETIZACAO,DESINFECCAO E CONG</v>
          </cell>
          <cell r="E2923" t="str">
            <v>SV</v>
          </cell>
        </row>
        <row r="2924">
          <cell r="C2924">
            <v>3002903</v>
          </cell>
          <cell r="D2924" t="str">
            <v>PALETIZAÇÃO E/OU FUNIGAÇÃO DE CARGA</v>
          </cell>
          <cell r="E2924" t="str">
            <v>TO</v>
          </cell>
        </row>
        <row r="2925">
          <cell r="C2925">
            <v>3002904</v>
          </cell>
          <cell r="D2925" t="str">
            <v>PALETIZAÃ‡ÃƒO E/OU FUNIGAÃ‡ÃƒO DE CARGA</v>
          </cell>
          <cell r="E2925" t="str">
            <v>UN</v>
          </cell>
        </row>
        <row r="2926">
          <cell r="C2926">
            <v>3002905</v>
          </cell>
          <cell r="D2926" t="str">
            <v>PARQUES DIVERSÕES, CENTROS LAZER E CONG</v>
          </cell>
          <cell r="E2926" t="str">
            <v>UN</v>
          </cell>
        </row>
        <row r="2927">
          <cell r="C2927">
            <v>3002906</v>
          </cell>
          <cell r="D2927" t="str">
            <v>PASSAGENS FERROVIÁRIAS</v>
          </cell>
          <cell r="E2927" t="str">
            <v>UN</v>
          </cell>
        </row>
        <row r="2928">
          <cell r="C2928">
            <v>3002907</v>
          </cell>
          <cell r="D2928" t="str">
            <v>PATROCÍNIO</v>
          </cell>
          <cell r="E2928" t="str">
            <v>MES</v>
          </cell>
        </row>
        <row r="2929">
          <cell r="C2929">
            <v>3002908</v>
          </cell>
          <cell r="D2929" t="str">
            <v>ADM GERAL,DE BENS,NEGOCIOS DE TERCEIROS</v>
          </cell>
          <cell r="E2929" t="str">
            <v>SV</v>
          </cell>
        </row>
        <row r="2930">
          <cell r="C2930">
            <v>3002909</v>
          </cell>
          <cell r="D2930" t="str">
            <v>PATROCÍNIO</v>
          </cell>
          <cell r="E2930" t="str">
            <v>UN</v>
          </cell>
        </row>
        <row r="2931">
          <cell r="C2931">
            <v>3002910</v>
          </cell>
          <cell r="D2931" t="str">
            <v>PAVIMENTAÇÃO - FORNECIMENTO E APLICAÇÃO</v>
          </cell>
          <cell r="E2931" t="str">
            <v>H</v>
          </cell>
        </row>
        <row r="2932">
          <cell r="C2932">
            <v>3002911</v>
          </cell>
          <cell r="D2932" t="str">
            <v>PAVIMENTAÇÃO - FORNECIMENTO E APLICAÇÃO</v>
          </cell>
          <cell r="E2932" t="str">
            <v>KG</v>
          </cell>
        </row>
        <row r="2933">
          <cell r="C2933">
            <v>3002912</v>
          </cell>
          <cell r="D2933" t="str">
            <v>PAVIMENTAÇÃO - FORNECIMENTO E APLICAÇÃO</v>
          </cell>
          <cell r="E2933" t="str">
            <v>M</v>
          </cell>
        </row>
        <row r="2934">
          <cell r="C2934">
            <v>3002913</v>
          </cell>
          <cell r="D2934" t="str">
            <v>PAVIMENTAÇÃO - FORNECIMENTO E APLICAÇÃO</v>
          </cell>
          <cell r="E2934" t="str">
            <v>M2</v>
          </cell>
        </row>
        <row r="2935">
          <cell r="C2935">
            <v>3002914</v>
          </cell>
          <cell r="D2935" t="str">
            <v>PAVIMENTAÇÃO - FORNECIMENTO E APLICAÇÃO</v>
          </cell>
          <cell r="E2935" t="str">
            <v>M3</v>
          </cell>
        </row>
        <row r="2936">
          <cell r="C2936">
            <v>3002915</v>
          </cell>
          <cell r="D2936" t="str">
            <v>PAVIMENTAÇÃO - FORNECIMENTO E APLICAÇÃO</v>
          </cell>
          <cell r="E2936" t="str">
            <v>PC</v>
          </cell>
        </row>
        <row r="2937">
          <cell r="C2937">
            <v>3002916</v>
          </cell>
          <cell r="D2937" t="str">
            <v>PAVIMENTACAO ASFALTICA</v>
          </cell>
          <cell r="E2937" t="str">
            <v>SV</v>
          </cell>
        </row>
        <row r="2938">
          <cell r="C2938">
            <v>3002917</v>
          </cell>
          <cell r="D2938" t="str">
            <v>PAVIMENTAÇÃO - FORNECIMENTO E APLICAÇÃO</v>
          </cell>
          <cell r="E2938" t="str">
            <v>TO</v>
          </cell>
        </row>
        <row r="2939">
          <cell r="C2939">
            <v>3002918</v>
          </cell>
          <cell r="D2939" t="str">
            <v>PAVIMENTAÇÃO - FORNECIMENTO E APLICAÇÃO</v>
          </cell>
          <cell r="E2939" t="str">
            <v>UN</v>
          </cell>
        </row>
        <row r="2940">
          <cell r="C2940">
            <v>3002919</v>
          </cell>
          <cell r="D2940" t="str">
            <v>SRV PORTUARIO,UTILIZ D PORTO,LOGIST CONG</v>
          </cell>
          <cell r="E2940" t="str">
            <v>SV</v>
          </cell>
        </row>
        <row r="2941">
          <cell r="C2941">
            <v>3002920</v>
          </cell>
          <cell r="D2941" t="str">
            <v>PEAÇÃO DE CARGA</v>
          </cell>
          <cell r="E2941" t="str">
            <v>UN</v>
          </cell>
        </row>
        <row r="2942">
          <cell r="C2942">
            <v>3002921</v>
          </cell>
          <cell r="D2942" t="str">
            <v>TI - SEGURANCA FISICA -DESIGN DA SOLUCAO</v>
          </cell>
          <cell r="E2942" t="str">
            <v>H</v>
          </cell>
        </row>
        <row r="2943">
          <cell r="C2943">
            <v>3002922</v>
          </cell>
          <cell r="D2943" t="str">
            <v>TI - SEGURANCA FISICA -DESIGN DA SOLUCAO</v>
          </cell>
          <cell r="E2943" t="str">
            <v>SV</v>
          </cell>
        </row>
        <row r="2944">
          <cell r="C2944">
            <v>3002923</v>
          </cell>
          <cell r="D2944" t="str">
            <v>VIG,SEG,PROTECAO MONIT DE BENS E PESSOAS</v>
          </cell>
          <cell r="E2944" t="str">
            <v>H</v>
          </cell>
        </row>
        <row r="2945">
          <cell r="C2945">
            <v>3002924</v>
          </cell>
          <cell r="D2945" t="str">
            <v>VIG,SEG,PROTECAO MONIT DE BENS E PESSOAS</v>
          </cell>
          <cell r="E2945" t="str">
            <v>UN</v>
          </cell>
        </row>
        <row r="2946">
          <cell r="C2946">
            <v>3002925</v>
          </cell>
          <cell r="D2946" t="str">
            <v>TI - SEGURANCA FISICA - OPERACAO</v>
          </cell>
          <cell r="E2946" t="str">
            <v>SV</v>
          </cell>
        </row>
        <row r="2947">
          <cell r="C2947">
            <v>3002926</v>
          </cell>
          <cell r="D2947" t="str">
            <v>TI - SEGURANCA FISICA - OPERACAO</v>
          </cell>
          <cell r="E2947" t="str">
            <v>KMS</v>
          </cell>
        </row>
        <row r="2948">
          <cell r="C2948">
            <v>3002927</v>
          </cell>
          <cell r="D2948" t="str">
            <v>TI - SEGURANCA FISICA - OPERACAO</v>
          </cell>
          <cell r="E2948" t="str">
            <v>M</v>
          </cell>
        </row>
        <row r="2949">
          <cell r="C2949">
            <v>3002928</v>
          </cell>
          <cell r="D2949" t="str">
            <v>TI - SEGURANCA FISICA - OPERACAO</v>
          </cell>
          <cell r="E2949" t="str">
            <v>MES</v>
          </cell>
        </row>
        <row r="2950">
          <cell r="C2950">
            <v>3002929</v>
          </cell>
          <cell r="D2950" t="str">
            <v>TI - SEGURANCA FISICA - OPERACAO</v>
          </cell>
          <cell r="E2950" t="str">
            <v>UN</v>
          </cell>
        </row>
        <row r="2951">
          <cell r="C2951">
            <v>3002930</v>
          </cell>
          <cell r="D2951" t="str">
            <v>TI - SEGURANCA FISICA - SUPORTE</v>
          </cell>
          <cell r="E2951" t="str">
            <v>UN</v>
          </cell>
        </row>
        <row r="2952">
          <cell r="C2952">
            <v>3002931</v>
          </cell>
          <cell r="D2952" t="str">
            <v>PERF POÇOS ARTESIANOS E FUNDAÇÃO ESPEC</v>
          </cell>
          <cell r="E2952" t="str">
            <v>DIA</v>
          </cell>
        </row>
        <row r="2953">
          <cell r="C2953">
            <v>3002932</v>
          </cell>
          <cell r="D2953" t="str">
            <v>PERF POÇOS ARTESIANOS E FUNDAÇÃO ESPEC</v>
          </cell>
          <cell r="E2953" t="str">
            <v>H</v>
          </cell>
        </row>
        <row r="2954">
          <cell r="C2954">
            <v>3002933</v>
          </cell>
          <cell r="D2954" t="str">
            <v>PERF POÇOS ARTESIANOS E FUNDAÇÃO ESPEC</v>
          </cell>
          <cell r="E2954" t="str">
            <v>KG</v>
          </cell>
        </row>
        <row r="2955">
          <cell r="C2955">
            <v>3002934</v>
          </cell>
          <cell r="D2955" t="str">
            <v>PERF POÇOS ARTESIANOS E FUNDAÇÃO ESPEC</v>
          </cell>
          <cell r="E2955" t="str">
            <v>KMS</v>
          </cell>
        </row>
        <row r="2956">
          <cell r="C2956">
            <v>3002935</v>
          </cell>
          <cell r="D2956" t="str">
            <v>PERF POÇOS ARTESIANOS E FUNDAÇÃO ESPEC</v>
          </cell>
          <cell r="E2956" t="str">
            <v>L</v>
          </cell>
        </row>
        <row r="2957">
          <cell r="C2957">
            <v>3002936</v>
          </cell>
          <cell r="D2957" t="str">
            <v>PERF POÇOS ARTESIANOS E FUNDAÇÃO ESPEC</v>
          </cell>
          <cell r="E2957" t="str">
            <v>M</v>
          </cell>
        </row>
        <row r="2958">
          <cell r="C2958">
            <v>3002937</v>
          </cell>
          <cell r="D2958" t="str">
            <v>PERF POÇOS ARTESIANOS E FUNDAÇÃO ESPEC</v>
          </cell>
          <cell r="E2958" t="str">
            <v>M2</v>
          </cell>
        </row>
        <row r="2959">
          <cell r="C2959">
            <v>3002938</v>
          </cell>
          <cell r="D2959" t="str">
            <v>PERF POÇOS ARTESIANOS E FUNDAÇÃO ESPEC</v>
          </cell>
          <cell r="E2959" t="str">
            <v>SV</v>
          </cell>
        </row>
        <row r="2960">
          <cell r="C2960">
            <v>3002939</v>
          </cell>
          <cell r="D2960" t="str">
            <v>PERF POÇOS ARTESIANOS E FUNDAÇÃO ESPEC</v>
          </cell>
          <cell r="E2960" t="str">
            <v>TO</v>
          </cell>
        </row>
        <row r="2961">
          <cell r="C2961">
            <v>3002940</v>
          </cell>
          <cell r="D2961" t="str">
            <v>PERF POÇOS ARTESIANOS E FUNDAÇÃO ESPEC</v>
          </cell>
          <cell r="E2961" t="str">
            <v>UN</v>
          </cell>
        </row>
        <row r="2962">
          <cell r="C2962">
            <v>3002941</v>
          </cell>
          <cell r="D2962" t="str">
            <v>PERFURAÇÃO POÇOS, EXCETO POÇO ARTESIANO</v>
          </cell>
          <cell r="E2962" t="str">
            <v>DIA</v>
          </cell>
        </row>
        <row r="2963">
          <cell r="C2963">
            <v>3002942</v>
          </cell>
          <cell r="D2963" t="str">
            <v>PERFURAÇÃO POÇOS, EXCETO POÇO ARTESIANO</v>
          </cell>
          <cell r="E2963" t="str">
            <v>H</v>
          </cell>
        </row>
        <row r="2964">
          <cell r="C2964">
            <v>3002943</v>
          </cell>
          <cell r="D2964" t="str">
            <v>PERFURAÇÃO POÇOS, EXCETO POÇO ARTESIANO</v>
          </cell>
          <cell r="E2964" t="str">
            <v>KG</v>
          </cell>
        </row>
        <row r="2965">
          <cell r="C2965">
            <v>3002944</v>
          </cell>
          <cell r="D2965" t="str">
            <v>PERFURAÇÃO POÇOS, EXCETO POÇO ARTESIANO</v>
          </cell>
          <cell r="E2965" t="str">
            <v>L</v>
          </cell>
        </row>
        <row r="2966">
          <cell r="C2966">
            <v>3002945</v>
          </cell>
          <cell r="D2966" t="str">
            <v>PERFURAÇÃO POÇOS, EXCETO POÇO ARTESIANO</v>
          </cell>
          <cell r="E2966" t="str">
            <v>M</v>
          </cell>
        </row>
        <row r="2967">
          <cell r="C2967">
            <v>3002946</v>
          </cell>
          <cell r="D2967" t="str">
            <v>PERFURAÇÃO POÇOS, EXCETO POÇO ARTESIANO</v>
          </cell>
          <cell r="E2967" t="str">
            <v>M2</v>
          </cell>
        </row>
        <row r="2968">
          <cell r="C2968">
            <v>3002947</v>
          </cell>
          <cell r="D2968" t="str">
            <v>PERFURACAO D POCOS,EXCT POCOS ARTESIANOS</v>
          </cell>
          <cell r="E2968" t="str">
            <v>SV</v>
          </cell>
        </row>
        <row r="2969">
          <cell r="C2969">
            <v>3002948</v>
          </cell>
          <cell r="D2969" t="str">
            <v>PERF DE POÇOS, EXCT POÇOS ARTESIANOS.</v>
          </cell>
          <cell r="E2969" t="str">
            <v>SV</v>
          </cell>
        </row>
        <row r="2970">
          <cell r="C2970">
            <v>3002949</v>
          </cell>
          <cell r="D2970" t="str">
            <v>PERFURAÇÃO POÇOS, EXCETO POÇO ARTESIANO</v>
          </cell>
          <cell r="E2970" t="str">
            <v>TO</v>
          </cell>
        </row>
        <row r="2971">
          <cell r="C2971">
            <v>3002950</v>
          </cell>
          <cell r="D2971" t="str">
            <v>PERFURAÇÃO POÇOS, EXCETO POÇO ARTESIANO</v>
          </cell>
          <cell r="E2971" t="str">
            <v>UN</v>
          </cell>
        </row>
        <row r="2972">
          <cell r="C2972">
            <v>3002951</v>
          </cell>
          <cell r="D2972" t="str">
            <v>PERFURAÇÃO, CONCRETAÇÃO, UMECT E CONG</v>
          </cell>
          <cell r="E2972" t="str">
            <v>DIA</v>
          </cell>
        </row>
        <row r="2973">
          <cell r="C2973">
            <v>3002952</v>
          </cell>
          <cell r="D2973" t="str">
            <v>PERFURAÇÃO, CONCRETAÇÃO, UMECT E CONG</v>
          </cell>
          <cell r="E2973" t="str">
            <v>H</v>
          </cell>
        </row>
        <row r="2974">
          <cell r="C2974">
            <v>3002953</v>
          </cell>
          <cell r="D2974" t="str">
            <v>PERFURAÇÃO, CONCRETAÇÃO, UMECT E CONG</v>
          </cell>
          <cell r="E2974" t="str">
            <v>KG</v>
          </cell>
        </row>
        <row r="2975">
          <cell r="C2975">
            <v>3002954</v>
          </cell>
          <cell r="D2975" t="str">
            <v>PERFURAÇÃO, CONCRETAÇÃO, UMECT E CONG</v>
          </cell>
          <cell r="E2975" t="str">
            <v>M</v>
          </cell>
        </row>
        <row r="2976">
          <cell r="C2976">
            <v>3002955</v>
          </cell>
          <cell r="D2976" t="str">
            <v>PERFURAÇÃO, CONCRETAÇÃO, UMECT E CONG</v>
          </cell>
          <cell r="E2976" t="str">
            <v>SV</v>
          </cell>
        </row>
        <row r="2977">
          <cell r="C2977">
            <v>3002956</v>
          </cell>
          <cell r="D2977" t="str">
            <v>PERFURAÇÃO, CONCRETAÇÃO, UMECT E CONG</v>
          </cell>
          <cell r="E2977" t="str">
            <v>UN</v>
          </cell>
        </row>
        <row r="2978">
          <cell r="C2978">
            <v>3002957</v>
          </cell>
          <cell r="D2978" t="str">
            <v>PERÍCIA;LAUDO;EXAMES;ANÁLISE TÉCNICA</v>
          </cell>
          <cell r="E2978" t="str">
            <v>DIA</v>
          </cell>
        </row>
        <row r="2979">
          <cell r="C2979">
            <v>3002958</v>
          </cell>
          <cell r="D2979" t="str">
            <v>PERÍCIA;LAUDO;EXAMES;ANÁLISE TÉCNICA</v>
          </cell>
          <cell r="E2979" t="str">
            <v>H</v>
          </cell>
        </row>
        <row r="2980">
          <cell r="C2980">
            <v>3002959</v>
          </cell>
          <cell r="D2980" t="str">
            <v>PERÍCIA;LAUDO;EXAMES;ANÁLISE TÉCNICA</v>
          </cell>
          <cell r="E2980" t="str">
            <v>KG</v>
          </cell>
        </row>
        <row r="2981">
          <cell r="C2981">
            <v>3002960</v>
          </cell>
          <cell r="D2981" t="str">
            <v>PERÍCIA;LAUDO;EXAMES;ANÁLISE TÉCNICA</v>
          </cell>
          <cell r="E2981" t="str">
            <v>KMS</v>
          </cell>
        </row>
        <row r="2982">
          <cell r="C2982">
            <v>3002961</v>
          </cell>
          <cell r="D2982" t="str">
            <v>PERÍCIA;LAUDO;EXAMES;ANÁLISE TÉCNICA</v>
          </cell>
          <cell r="E2982" t="str">
            <v>M</v>
          </cell>
        </row>
        <row r="2983">
          <cell r="C2983">
            <v>3002962</v>
          </cell>
          <cell r="D2983" t="str">
            <v>PERÍCIA;LAUDO;EXAMES;ANÁLISE TÉCNICA</v>
          </cell>
          <cell r="E2983" t="str">
            <v>MES</v>
          </cell>
        </row>
        <row r="2984">
          <cell r="C2984">
            <v>3002963</v>
          </cell>
          <cell r="D2984" t="str">
            <v>PERICIA;LAUDO;EXAMES;ANALISE TECNICA</v>
          </cell>
          <cell r="E2984" t="str">
            <v>SV</v>
          </cell>
        </row>
        <row r="2985">
          <cell r="C2985">
            <v>3002964</v>
          </cell>
          <cell r="D2985" t="str">
            <v>PERÍCIA;LAUDO;EXAMES;ANÁLISE TÉCNICA</v>
          </cell>
          <cell r="E2985" t="str">
            <v>TO</v>
          </cell>
        </row>
        <row r="2986">
          <cell r="C2986">
            <v>3002965</v>
          </cell>
          <cell r="D2986" t="str">
            <v>PERÍCIA;LAUDO;EXAMES;ANÁLISE TÉCNICA</v>
          </cell>
          <cell r="E2986" t="str">
            <v>UN</v>
          </cell>
        </row>
        <row r="2987">
          <cell r="C2987">
            <v>3002966</v>
          </cell>
          <cell r="D2987" t="str">
            <v>PESAGEM AEROPORTOS</v>
          </cell>
          <cell r="E2987" t="str">
            <v>UN</v>
          </cell>
        </row>
        <row r="2988">
          <cell r="C2988">
            <v>3002967</v>
          </cell>
          <cell r="D2988" t="str">
            <v>PESAGEM EM PORTOS</v>
          </cell>
          <cell r="E2988" t="str">
            <v>CT</v>
          </cell>
        </row>
        <row r="2989">
          <cell r="C2989">
            <v>3002968</v>
          </cell>
          <cell r="D2989" t="str">
            <v>PESAGEM EM PORTOS</v>
          </cell>
          <cell r="E2989" t="str">
            <v>SV</v>
          </cell>
        </row>
        <row r="2990">
          <cell r="C2990">
            <v>3002969</v>
          </cell>
          <cell r="D2990" t="str">
            <v>PESAGEM EM PORTOS</v>
          </cell>
          <cell r="E2990" t="str">
            <v>TO</v>
          </cell>
        </row>
        <row r="2991">
          <cell r="C2991">
            <v>3002970</v>
          </cell>
          <cell r="D2991" t="str">
            <v>PESAGEM EM PORTOS</v>
          </cell>
          <cell r="E2991" t="str">
            <v>UN</v>
          </cell>
        </row>
        <row r="2992">
          <cell r="C2992">
            <v>3002971</v>
          </cell>
          <cell r="D2992" t="str">
            <v>PESQ D EXPLOR,EXPLOTACAO D RECURSOS MIN</v>
          </cell>
          <cell r="E2992" t="str">
            <v>SV</v>
          </cell>
        </row>
        <row r="2993">
          <cell r="C2993">
            <v>3002972</v>
          </cell>
          <cell r="D2993" t="str">
            <v>PESQ EXLORAÇÃO;EXPLOTAÇÃO PETR;SIMILAR</v>
          </cell>
          <cell r="E2993" t="str">
            <v>UN</v>
          </cell>
        </row>
        <row r="2994">
          <cell r="C2994">
            <v>3002973</v>
          </cell>
          <cell r="D2994" t="str">
            <v>PESQUISA DE MERCADO</v>
          </cell>
          <cell r="E2994" t="str">
            <v>H</v>
          </cell>
        </row>
        <row r="2995">
          <cell r="C2995">
            <v>3002974</v>
          </cell>
          <cell r="D2995" t="str">
            <v>ASSESSORIA OU CONSULTORIA DE QQ NATUREZA</v>
          </cell>
          <cell r="E2995" t="str">
            <v>SV</v>
          </cell>
        </row>
        <row r="2996">
          <cell r="C2996">
            <v>3002975</v>
          </cell>
          <cell r="D2996" t="str">
            <v>PESQUISA DE MERCADO</v>
          </cell>
          <cell r="E2996" t="str">
            <v>UN</v>
          </cell>
        </row>
        <row r="2997">
          <cell r="C2997">
            <v>3002976</v>
          </cell>
          <cell r="D2997" t="str">
            <v>PESQUISA HIDROLÓGICA</v>
          </cell>
          <cell r="E2997" t="str">
            <v>SV</v>
          </cell>
        </row>
        <row r="2998">
          <cell r="C2998">
            <v>3002977</v>
          </cell>
          <cell r="D2998" t="str">
            <v>PESQUISA HIDROLÓGICA</v>
          </cell>
          <cell r="E2998" t="str">
            <v>UN</v>
          </cell>
        </row>
        <row r="2999">
          <cell r="C2999">
            <v>3002978</v>
          </cell>
          <cell r="D2999" t="str">
            <v>PINTURA E CROMAGEM OBJ QLQ, INCLUS PÇ</v>
          </cell>
          <cell r="E2999" t="str">
            <v>M2</v>
          </cell>
        </row>
        <row r="3000">
          <cell r="C3000">
            <v>3002979</v>
          </cell>
          <cell r="D3000" t="str">
            <v>PINTURA E CROMAGEM OBJ QLQ, INCLUS PÇ</v>
          </cell>
          <cell r="E3000" t="str">
            <v>UN</v>
          </cell>
        </row>
        <row r="3001">
          <cell r="C3001">
            <v>3002980</v>
          </cell>
          <cell r="D3001" t="str">
            <v>PINTURA PREDIAL</v>
          </cell>
          <cell r="E3001" t="str">
            <v>DIA</v>
          </cell>
        </row>
        <row r="3002">
          <cell r="C3002">
            <v>3002981</v>
          </cell>
          <cell r="D3002" t="str">
            <v>PINTURA PREDIAL</v>
          </cell>
          <cell r="E3002" t="str">
            <v>H</v>
          </cell>
        </row>
        <row r="3003">
          <cell r="C3003">
            <v>3002982</v>
          </cell>
          <cell r="D3003" t="str">
            <v>PINTURA PREDIAL</v>
          </cell>
          <cell r="E3003" t="str">
            <v>KG</v>
          </cell>
        </row>
        <row r="3004">
          <cell r="C3004">
            <v>3002983</v>
          </cell>
          <cell r="D3004" t="str">
            <v>PINTURA PREDIAL</v>
          </cell>
          <cell r="E3004" t="str">
            <v>M</v>
          </cell>
        </row>
        <row r="3005">
          <cell r="C3005">
            <v>3002984</v>
          </cell>
          <cell r="D3005" t="str">
            <v>PINTURA PREDIAL</v>
          </cell>
          <cell r="E3005" t="str">
            <v>M2</v>
          </cell>
        </row>
        <row r="3006">
          <cell r="C3006">
            <v>3002985</v>
          </cell>
          <cell r="D3006" t="str">
            <v>PINTURA PREDIAL</v>
          </cell>
          <cell r="E3006" t="str">
            <v>M3</v>
          </cell>
        </row>
        <row r="3007">
          <cell r="C3007">
            <v>3002986</v>
          </cell>
          <cell r="D3007" t="str">
            <v>PINTURA PREDIAL</v>
          </cell>
          <cell r="E3007" t="str">
            <v>PC</v>
          </cell>
        </row>
        <row r="3008">
          <cell r="C3008">
            <v>3002987</v>
          </cell>
          <cell r="D3008" t="str">
            <v>REFOR EDIFICIOS,ESTRADAS,PONTES,PORTOS</v>
          </cell>
          <cell r="E3008" t="str">
            <v>SV</v>
          </cell>
        </row>
        <row r="3009">
          <cell r="C3009">
            <v>3002988</v>
          </cell>
          <cell r="D3009" t="str">
            <v>PINTURA PREDIAL</v>
          </cell>
          <cell r="E3009" t="str">
            <v>UN</v>
          </cell>
        </row>
        <row r="3010">
          <cell r="C3010">
            <v>3002989</v>
          </cell>
          <cell r="D3010" t="str">
            <v>PLANEJ ESTRAT CONSERV RECURSO NATURAL</v>
          </cell>
          <cell r="E3010" t="str">
            <v>H</v>
          </cell>
        </row>
        <row r="3011">
          <cell r="C3011">
            <v>3002990</v>
          </cell>
          <cell r="D3011" t="str">
            <v>PLANEJ ESTRAT CONSERV RECURSO NATURAL</v>
          </cell>
          <cell r="E3011" t="str">
            <v>UN</v>
          </cell>
        </row>
        <row r="3012">
          <cell r="C3012">
            <v>3002991</v>
          </cell>
          <cell r="D3012" t="str">
            <v>PLANEJ, ORG E ADM FEIRAS, EXPOS E CONG</v>
          </cell>
          <cell r="E3012" t="str">
            <v>DIA</v>
          </cell>
        </row>
        <row r="3013">
          <cell r="C3013">
            <v>3002992</v>
          </cell>
          <cell r="D3013" t="str">
            <v>PLANEJ, ORG E ADM FEIRAS, EXPOS E CONG</v>
          </cell>
          <cell r="E3013" t="str">
            <v>UN</v>
          </cell>
        </row>
        <row r="3014">
          <cell r="C3014">
            <v>3002993</v>
          </cell>
          <cell r="D3014" t="str">
            <v>PLANEJ;CONFECÇÃO;MANUT;ATUALIZ PÁG ELETR</v>
          </cell>
          <cell r="E3014" t="str">
            <v>H</v>
          </cell>
        </row>
        <row r="3015">
          <cell r="C3015">
            <v>3002994</v>
          </cell>
          <cell r="D3015" t="str">
            <v>PLANEJ;CONFECÇÃO;MANUT;ATUALIZ PÁG ELETR</v>
          </cell>
          <cell r="E3015" t="str">
            <v>PC</v>
          </cell>
        </row>
        <row r="3016">
          <cell r="C3016">
            <v>3002995</v>
          </cell>
          <cell r="D3016" t="str">
            <v>PLANEJ,CONFEC,MANUT,ATUALIZ PAGINA ELETR</v>
          </cell>
          <cell r="E3016" t="str">
            <v>SV</v>
          </cell>
        </row>
        <row r="3017">
          <cell r="C3017">
            <v>3002996</v>
          </cell>
          <cell r="D3017" t="str">
            <v>PLANEJ;CONFECÇÃO;MANUT;ATUALIZ PÁG ELETR</v>
          </cell>
          <cell r="E3017" t="str">
            <v>UN</v>
          </cell>
        </row>
        <row r="3018">
          <cell r="C3018">
            <v>3002997</v>
          </cell>
          <cell r="D3018" t="str">
            <v>CONSULTORIA EM PLANEJAMENTO ESTRATÉGICO</v>
          </cell>
          <cell r="E3018" t="str">
            <v>MES</v>
          </cell>
        </row>
        <row r="3019">
          <cell r="C3019">
            <v>3002998</v>
          </cell>
          <cell r="D3019" t="str">
            <v>PLANEJ,COORD,PROGRCAO,ORG TECN,FIN,ADM</v>
          </cell>
          <cell r="E3019" t="str">
            <v>SV</v>
          </cell>
        </row>
        <row r="3020">
          <cell r="C3020">
            <v>3002999</v>
          </cell>
          <cell r="D3020" t="str">
            <v>PLANEJ;ORGANIZAÇÃO TÉCNICA;FINANC</v>
          </cell>
          <cell r="E3020" t="str">
            <v>UN</v>
          </cell>
        </row>
        <row r="3021">
          <cell r="C3021">
            <v>3003000</v>
          </cell>
          <cell r="D3021" t="str">
            <v>CONSULTORIA EM PLANEJAMENTO ESTRATÉGICO</v>
          </cell>
          <cell r="E3021" t="str">
            <v>H</v>
          </cell>
        </row>
        <row r="3022">
          <cell r="C3022">
            <v>3003001</v>
          </cell>
          <cell r="D3022" t="str">
            <v>PLANEJAMENTO ESTRATÉGICO</v>
          </cell>
          <cell r="E3022" t="str">
            <v>MES</v>
          </cell>
        </row>
        <row r="3023">
          <cell r="C3023">
            <v>3003002</v>
          </cell>
          <cell r="D3023" t="str">
            <v>PLANEJAMENTO ESTRATEGICO</v>
          </cell>
          <cell r="E3023" t="str">
            <v>SV</v>
          </cell>
        </row>
        <row r="3024">
          <cell r="C3024">
            <v>3003003</v>
          </cell>
          <cell r="D3024" t="str">
            <v>CONSULTORIA EM PLANEJAMENTO ESTRATÉGICO</v>
          </cell>
          <cell r="E3024" t="str">
            <v>UN</v>
          </cell>
        </row>
        <row r="3025">
          <cell r="C3025">
            <v>3003004</v>
          </cell>
          <cell r="D3025" t="str">
            <v>PLANOS ASSIST MÉDICA, ODONT E SIMILARES</v>
          </cell>
          <cell r="E3025" t="str">
            <v>H</v>
          </cell>
        </row>
        <row r="3026">
          <cell r="C3026">
            <v>3003005</v>
          </cell>
          <cell r="D3026" t="str">
            <v>PLANOS ASSIST MÉDICA, ODONT E SIMILARES</v>
          </cell>
          <cell r="E3026" t="str">
            <v>MES</v>
          </cell>
        </row>
        <row r="3027">
          <cell r="C3027">
            <v>3003006</v>
          </cell>
          <cell r="D3027" t="str">
            <v>PLANOS ASSIST MÉDICA, ODONT E SIMILARES</v>
          </cell>
          <cell r="E3027" t="str">
            <v>SV</v>
          </cell>
        </row>
        <row r="3028">
          <cell r="C3028">
            <v>3003007</v>
          </cell>
          <cell r="D3028" t="str">
            <v>PLANOS ASSIST MÉDICA, ODONT E SIMILARES</v>
          </cell>
          <cell r="E3028" t="str">
            <v>UN</v>
          </cell>
        </row>
        <row r="3029">
          <cell r="C3029">
            <v>3003008</v>
          </cell>
          <cell r="D3029" t="str">
            <v>PLANOS ATEND;ASSIST MÉDICO VET P ANIMAL</v>
          </cell>
          <cell r="E3029" t="str">
            <v>SV</v>
          </cell>
        </row>
        <row r="3030">
          <cell r="C3030">
            <v>3003009</v>
          </cell>
          <cell r="D3030" t="str">
            <v>PLANOS DIRETORES RELAC C OBRAS E SRV ENG</v>
          </cell>
          <cell r="E3030" t="str">
            <v>UN</v>
          </cell>
        </row>
        <row r="3031">
          <cell r="C3031">
            <v>3003010</v>
          </cell>
          <cell r="D3031" t="str">
            <v>PLANOS OU CONVÊNIO FUNERÁRIOS.</v>
          </cell>
          <cell r="E3031" t="str">
            <v>SV</v>
          </cell>
        </row>
        <row r="3032">
          <cell r="C3032">
            <v>3003011</v>
          </cell>
          <cell r="D3032" t="str">
            <v>POLIMENTO E PLASTIF OBJ QLQ, INCLUS PÇ</v>
          </cell>
          <cell r="E3032" t="str">
            <v>UN</v>
          </cell>
        </row>
        <row r="3033">
          <cell r="C3033">
            <v>3003012</v>
          </cell>
          <cell r="D3033" t="str">
            <v>PORT HANDLING CHARGES</v>
          </cell>
          <cell r="E3033" t="str">
            <v>UN</v>
          </cell>
        </row>
        <row r="3034">
          <cell r="C3034">
            <v>3003013</v>
          </cell>
          <cell r="D3034" t="str">
            <v>PORT SHIPPING COSTS</v>
          </cell>
          <cell r="E3034" t="str">
            <v>DIA</v>
          </cell>
        </row>
        <row r="3035">
          <cell r="C3035">
            <v>3003014</v>
          </cell>
          <cell r="D3035" t="str">
            <v>PORT SHIPPING COSTS</v>
          </cell>
          <cell r="E3035" t="str">
            <v>M3</v>
          </cell>
        </row>
        <row r="3036">
          <cell r="C3036">
            <v>3003015</v>
          </cell>
          <cell r="D3036" t="str">
            <v>PORT SHIPPING COSTS</v>
          </cell>
          <cell r="E3036" t="str">
            <v>TO</v>
          </cell>
        </row>
        <row r="3037">
          <cell r="C3037">
            <v>3003016</v>
          </cell>
          <cell r="D3037" t="str">
            <v>PORT SHIPPING COSTS</v>
          </cell>
          <cell r="E3037" t="str">
            <v>UN</v>
          </cell>
        </row>
        <row r="3038">
          <cell r="C3038">
            <v>3003017</v>
          </cell>
          <cell r="D3038" t="str">
            <v>PORTARIA, RECEPÇÃO E CONTROLE ACESSO</v>
          </cell>
          <cell r="E3038" t="str">
            <v>M</v>
          </cell>
        </row>
        <row r="3039">
          <cell r="C3039">
            <v>3003018</v>
          </cell>
          <cell r="D3039" t="str">
            <v>VIG,SEG,PROTECAO MONIT DE BENS E PESSOAS</v>
          </cell>
          <cell r="E3039" t="str">
            <v>SV</v>
          </cell>
        </row>
        <row r="3040">
          <cell r="C3040">
            <v>3003019</v>
          </cell>
          <cell r="D3040" t="str">
            <v>PORTARIA, RECEPÃ‡ÃƒO E CONTROLE ACESSO</v>
          </cell>
          <cell r="E3040" t="str">
            <v>UN</v>
          </cell>
        </row>
        <row r="3041">
          <cell r="C3041">
            <v>3003020</v>
          </cell>
          <cell r="D3041" t="str">
            <v>ENSINO REG PRE-ESCOLAR,FUND,MEDIO,SUP</v>
          </cell>
          <cell r="E3041" t="str">
            <v>SV</v>
          </cell>
        </row>
        <row r="3042">
          <cell r="C3042">
            <v>3003021</v>
          </cell>
          <cell r="D3042" t="str">
            <v>PRATICAGEM</v>
          </cell>
          <cell r="E3042" t="str">
            <v>H</v>
          </cell>
        </row>
        <row r="3043">
          <cell r="C3043">
            <v>3003022</v>
          </cell>
          <cell r="D3043" t="str">
            <v>PRATICAGEM</v>
          </cell>
          <cell r="E3043" t="str">
            <v>UN</v>
          </cell>
        </row>
        <row r="3044">
          <cell r="C3044">
            <v>3003023</v>
          </cell>
          <cell r="D3044" t="str">
            <v>PREVENÇÃO E BRIGADISTA</v>
          </cell>
          <cell r="E3044" t="str">
            <v>H</v>
          </cell>
        </row>
        <row r="3045">
          <cell r="C3045">
            <v>3003024</v>
          </cell>
          <cell r="D3045" t="str">
            <v>PREVENÇÃO E BRIGADISTA</v>
          </cell>
          <cell r="E3045" t="str">
            <v>M</v>
          </cell>
        </row>
        <row r="3046">
          <cell r="C3046">
            <v>3003025</v>
          </cell>
          <cell r="D3046" t="str">
            <v>PREVENÇÃO E BRIGADISTA</v>
          </cell>
          <cell r="E3046" t="str">
            <v>M2</v>
          </cell>
        </row>
        <row r="3047">
          <cell r="C3047">
            <v>3003026</v>
          </cell>
          <cell r="D3047" t="str">
            <v>PREVENÇÃO E BRIGADISTA</v>
          </cell>
          <cell r="E3047" t="str">
            <v>MES</v>
          </cell>
        </row>
        <row r="3048">
          <cell r="C3048">
            <v>3003027</v>
          </cell>
          <cell r="D3048" t="str">
            <v>PREVENÇÃO E BRIGADISTA</v>
          </cell>
          <cell r="E3048" t="str">
            <v>SV</v>
          </cell>
        </row>
        <row r="3049">
          <cell r="C3049">
            <v>3003028</v>
          </cell>
          <cell r="D3049" t="str">
            <v>PREVENÇÃO E BRIGADISTA</v>
          </cell>
          <cell r="E3049" t="str">
            <v>UN</v>
          </cell>
        </row>
        <row r="3050">
          <cell r="C3050">
            <v>3003029</v>
          </cell>
          <cell r="D3050" t="str">
            <v>PREVENÇÃO E GERÊN DE RISCOS SEGUR E CONG</v>
          </cell>
          <cell r="E3050" t="str">
            <v>H</v>
          </cell>
        </row>
        <row r="3051">
          <cell r="C3051">
            <v>3003030</v>
          </cell>
          <cell r="D3051" t="str">
            <v>SERVICO DE REGULACAO DE SINISTROS</v>
          </cell>
          <cell r="E3051" t="str">
            <v>SV</v>
          </cell>
        </row>
        <row r="3052">
          <cell r="C3052">
            <v>3003031</v>
          </cell>
          <cell r="D3052" t="str">
            <v>PREVENÇÃO E GERÊN DE RISCOS SEGUR E CONG</v>
          </cell>
          <cell r="E3052" t="str">
            <v>UN</v>
          </cell>
        </row>
        <row r="3053">
          <cell r="C3053">
            <v>3003032</v>
          </cell>
          <cell r="D3053" t="str">
            <v>PROJETO BÁSICOS PARA TRABALHOS DE ENG.</v>
          </cell>
          <cell r="E3053" t="str">
            <v>SV</v>
          </cell>
        </row>
        <row r="3054">
          <cell r="C3054">
            <v>3003033</v>
          </cell>
          <cell r="D3054" t="str">
            <v>PROJETO BÁSICOS PARA TRABALHOS DE ENG.</v>
          </cell>
          <cell r="E3054" t="str">
            <v>UN</v>
          </cell>
        </row>
        <row r="3055">
          <cell r="C3055">
            <v>3003034</v>
          </cell>
          <cell r="D3055" t="str">
            <v>PROJETO EXECUTIVOS PARA TRABALHOS DE ENG</v>
          </cell>
          <cell r="E3055" t="str">
            <v>H</v>
          </cell>
        </row>
        <row r="3056">
          <cell r="C3056">
            <v>3003035</v>
          </cell>
          <cell r="D3056" t="str">
            <v>PROJETO EXECUTIVOS PARA TRABALHOS DE ENG</v>
          </cell>
          <cell r="E3056" t="str">
            <v>SV</v>
          </cell>
        </row>
        <row r="3057">
          <cell r="C3057">
            <v>3003036</v>
          </cell>
          <cell r="D3057" t="str">
            <v>PROJETO EXECUTIVOS PARA TRABALHOS DE ENG</v>
          </cell>
          <cell r="E3057" t="str">
            <v>UN</v>
          </cell>
        </row>
        <row r="3058">
          <cell r="C3058">
            <v>3003037</v>
          </cell>
          <cell r="D3058" t="str">
            <v>PROCESS ADVISORY - ENVIRONMENT_SUSTAINT</v>
          </cell>
          <cell r="E3058" t="str">
            <v>H</v>
          </cell>
        </row>
        <row r="3059">
          <cell r="C3059">
            <v>3003038</v>
          </cell>
          <cell r="D3059" t="str">
            <v>PROCESS ADVISORY - ENVIRONMENT_SUSTAINT</v>
          </cell>
          <cell r="E3059" t="str">
            <v>UN</v>
          </cell>
        </row>
        <row r="3060">
          <cell r="C3060">
            <v>3003039</v>
          </cell>
          <cell r="D3060" t="str">
            <v>CONSULTORIA DE PROCESSO - BACKOFFICE</v>
          </cell>
          <cell r="E3060" t="str">
            <v>H</v>
          </cell>
        </row>
        <row r="3061">
          <cell r="C3061">
            <v>3003040</v>
          </cell>
          <cell r="D3061" t="str">
            <v>CONSULTORIA DE PROCESSO - BACKOFFICE</v>
          </cell>
          <cell r="E3061" t="str">
            <v>UN</v>
          </cell>
        </row>
        <row r="3062">
          <cell r="C3062">
            <v>3003041</v>
          </cell>
          <cell r="D3062" t="str">
            <v>CONSULTORIA DE PROCESSO - FINANCAS</v>
          </cell>
          <cell r="E3062" t="str">
            <v>H</v>
          </cell>
        </row>
        <row r="3063">
          <cell r="C3063">
            <v>3003042</v>
          </cell>
          <cell r="D3063" t="str">
            <v>CONSULTORIA DE PROCESSO - FINANCAS</v>
          </cell>
          <cell r="E3063" t="str">
            <v>UN</v>
          </cell>
        </row>
        <row r="3064">
          <cell r="C3064">
            <v>3003043</v>
          </cell>
          <cell r="D3064" t="str">
            <v>CONSULTORIA DE PROCESSO - TI</v>
          </cell>
          <cell r="E3064" t="str">
            <v>H</v>
          </cell>
        </row>
        <row r="3065">
          <cell r="C3065">
            <v>3003044</v>
          </cell>
          <cell r="D3065" t="str">
            <v>CONSULTORIA DE PROCESSO - TI</v>
          </cell>
          <cell r="E3065" t="str">
            <v>UN</v>
          </cell>
        </row>
        <row r="3066">
          <cell r="C3066">
            <v>3003045</v>
          </cell>
          <cell r="D3066" t="str">
            <v>CONSULTORIA DE PROCESSO - SUPRIMENTOS</v>
          </cell>
          <cell r="E3066" t="str">
            <v>H</v>
          </cell>
        </row>
        <row r="3067">
          <cell r="C3067">
            <v>3003046</v>
          </cell>
          <cell r="D3067" t="str">
            <v>CONSULTORIA DE PROCESSO - SUPRIMENTOS</v>
          </cell>
          <cell r="E3067" t="str">
            <v>UN</v>
          </cell>
        </row>
        <row r="3068">
          <cell r="C3068">
            <v>3003047</v>
          </cell>
          <cell r="D3068" t="str">
            <v>CONSULTORIA DE PROCESSO - S&amp;S</v>
          </cell>
          <cell r="E3068" t="str">
            <v>H</v>
          </cell>
        </row>
        <row r="3069">
          <cell r="C3069">
            <v>3003048</v>
          </cell>
          <cell r="D3069" t="str">
            <v>CONSULTORIA DE PROCESSO - S&amp;S</v>
          </cell>
          <cell r="E3069" t="str">
            <v>UN</v>
          </cell>
        </row>
        <row r="3070">
          <cell r="C3070">
            <v>3003049</v>
          </cell>
          <cell r="D3070" t="str">
            <v>CONSULTORIA DE PROCESSO - RH</v>
          </cell>
          <cell r="E3070" t="str">
            <v>H</v>
          </cell>
        </row>
        <row r="3071">
          <cell r="C3071">
            <v>3003050</v>
          </cell>
          <cell r="D3071" t="str">
            <v>CONSULTORIA DE PROCESSO - RH</v>
          </cell>
          <cell r="E3071" t="str">
            <v>UN</v>
          </cell>
        </row>
        <row r="3072">
          <cell r="C3072">
            <v>3003051</v>
          </cell>
          <cell r="D3072" t="str">
            <v>PROCESS ADVISORY SRV - MINING_LOGISTICS</v>
          </cell>
          <cell r="E3072" t="str">
            <v>H</v>
          </cell>
        </row>
        <row r="3073">
          <cell r="C3073">
            <v>3003052</v>
          </cell>
          <cell r="D3073" t="str">
            <v>PROCESS ADVISORY SRV - MINING_LOGISTICS</v>
          </cell>
          <cell r="E3073" t="str">
            <v>UN</v>
          </cell>
        </row>
        <row r="3074">
          <cell r="C3074">
            <v>3003053</v>
          </cell>
          <cell r="D3074" t="str">
            <v>PROCESS;TRAT;INDUST DE MIN E METAIS</v>
          </cell>
          <cell r="E3074" t="str">
            <v>TO</v>
          </cell>
        </row>
        <row r="3075">
          <cell r="C3075">
            <v>3003054</v>
          </cell>
          <cell r="D3075" t="str">
            <v>PROCESS,TRAT E IND DE MINERIOS E METAIS</v>
          </cell>
          <cell r="E3075" t="str">
            <v>SV</v>
          </cell>
        </row>
        <row r="3076">
          <cell r="C3076">
            <v>3003055</v>
          </cell>
          <cell r="D3076" t="str">
            <v>PROCESSAMENTO DADOS E CONGENERES</v>
          </cell>
          <cell r="E3076" t="str">
            <v>H</v>
          </cell>
        </row>
        <row r="3077">
          <cell r="C3077">
            <v>3003056</v>
          </cell>
          <cell r="D3077" t="str">
            <v>PROCESSAMENTO DADOS E CONGENERES</v>
          </cell>
          <cell r="E3077" t="str">
            <v>MES</v>
          </cell>
        </row>
        <row r="3078">
          <cell r="C3078">
            <v>3003057</v>
          </cell>
          <cell r="D3078" t="str">
            <v>PROCESSAMENTO DE DADOS E CONGENERES</v>
          </cell>
          <cell r="E3078" t="str">
            <v>SV</v>
          </cell>
        </row>
        <row r="3079">
          <cell r="C3079">
            <v>3003058</v>
          </cell>
          <cell r="D3079" t="str">
            <v>PROCESSAMENTO DADOS E CONGENERES</v>
          </cell>
          <cell r="E3079" t="str">
            <v>UN</v>
          </cell>
        </row>
        <row r="3080">
          <cell r="C3080">
            <v>3003059</v>
          </cell>
          <cell r="D3080" t="str">
            <v>PRODUÇÃO EVENTO;CONGRESSO SIMILARES</v>
          </cell>
          <cell r="E3080" t="str">
            <v>DIA</v>
          </cell>
        </row>
        <row r="3081">
          <cell r="C3081">
            <v>3003060</v>
          </cell>
          <cell r="D3081" t="str">
            <v>PRODUÇÃO EVENTO;CONGRESSO SIMILARES</v>
          </cell>
          <cell r="E3081" t="str">
            <v>MES</v>
          </cell>
        </row>
        <row r="3082">
          <cell r="C3082">
            <v>3003061</v>
          </cell>
          <cell r="D3082" t="str">
            <v>PRODUÇÃO EVENTO;CONGRESSO SIMILARES</v>
          </cell>
          <cell r="E3082" t="str">
            <v>SEM</v>
          </cell>
        </row>
        <row r="3083">
          <cell r="C3083">
            <v>3003062</v>
          </cell>
          <cell r="D3083" t="str">
            <v>FEIRAS, EXPOSICOES, CONGRESSOS E CONG</v>
          </cell>
          <cell r="E3083" t="str">
            <v>SV</v>
          </cell>
        </row>
        <row r="3084">
          <cell r="C3084">
            <v>3003063</v>
          </cell>
          <cell r="D3084" t="str">
            <v>PRODUÇÃO EVENTO;CONGRESSO SIMILARES</v>
          </cell>
          <cell r="E3084" t="str">
            <v>UN</v>
          </cell>
        </row>
        <row r="3085">
          <cell r="C3085">
            <v>3003064</v>
          </cell>
          <cell r="D3085" t="str">
            <v>PRODUÇÃO;EDIÇÃO;DISTRIBUIÇÃO FILMES</v>
          </cell>
          <cell r="E3085" t="str">
            <v>DIA</v>
          </cell>
        </row>
        <row r="3086">
          <cell r="C3086">
            <v>3003065</v>
          </cell>
          <cell r="D3086" t="str">
            <v>PRODUCAO,LEGENDAGEM,DISTRIB D FILME</v>
          </cell>
          <cell r="E3086" t="str">
            <v>SV</v>
          </cell>
        </row>
        <row r="3087">
          <cell r="C3087">
            <v>3003066</v>
          </cell>
          <cell r="D3087" t="str">
            <v>PRODUÇÃO;EDIÇÃO;DISTRIBUIÇÃO FILMES</v>
          </cell>
          <cell r="E3087" t="str">
            <v>UN</v>
          </cell>
        </row>
        <row r="3088">
          <cell r="C3088">
            <v>3003067</v>
          </cell>
          <cell r="D3088" t="str">
            <v>PROGRAMAS DE AUDITÓRIO</v>
          </cell>
          <cell r="E3088" t="str">
            <v>UN</v>
          </cell>
        </row>
        <row r="3089">
          <cell r="C3089">
            <v>3003068</v>
          </cell>
          <cell r="D3089" t="str">
            <v>PROTEÇÃO E SEGURANÇA AMBIENTAL</v>
          </cell>
          <cell r="E3089" t="str">
            <v>DIA</v>
          </cell>
        </row>
        <row r="3090">
          <cell r="C3090">
            <v>3003069</v>
          </cell>
          <cell r="D3090" t="str">
            <v>PROTEÇÃO E SEGURANÇA AMBIENTAL</v>
          </cell>
          <cell r="E3090" t="str">
            <v>H</v>
          </cell>
        </row>
        <row r="3091">
          <cell r="C3091">
            <v>3003070</v>
          </cell>
          <cell r="D3091" t="str">
            <v>PROTEÇÃO E SEGURANÇA AMBIENTAL</v>
          </cell>
          <cell r="E3091" t="str">
            <v>HA</v>
          </cell>
        </row>
        <row r="3092">
          <cell r="C3092">
            <v>3003071</v>
          </cell>
          <cell r="D3092" t="str">
            <v>PROTEÇÃO E SEGURANÇA AMBIENTAL</v>
          </cell>
          <cell r="E3092" t="str">
            <v>KG</v>
          </cell>
        </row>
        <row r="3093">
          <cell r="C3093">
            <v>3003072</v>
          </cell>
          <cell r="D3093" t="str">
            <v>PROTEÇÃO E SEGURANÇA AMBIENTAL</v>
          </cell>
          <cell r="E3093" t="str">
            <v>M</v>
          </cell>
        </row>
        <row r="3094">
          <cell r="C3094">
            <v>3003073</v>
          </cell>
          <cell r="D3094" t="str">
            <v>PROTEÇÃO E SEGURANÇA AMBIENTAL</v>
          </cell>
          <cell r="E3094" t="str">
            <v>M2</v>
          </cell>
        </row>
        <row r="3095">
          <cell r="C3095">
            <v>3003074</v>
          </cell>
          <cell r="D3095" t="str">
            <v>PROTEÇÃO E SEGURANÇA AMBIENTAL</v>
          </cell>
          <cell r="E3095" t="str">
            <v>M3</v>
          </cell>
        </row>
        <row r="3096">
          <cell r="C3096">
            <v>3003075</v>
          </cell>
          <cell r="D3096" t="str">
            <v>PROTEÇÃO E SEGURANÇA AMBIENTAL</v>
          </cell>
          <cell r="E3096" t="str">
            <v>MES</v>
          </cell>
        </row>
        <row r="3097">
          <cell r="C3097">
            <v>3003076</v>
          </cell>
          <cell r="D3097" t="str">
            <v>PROTEÇÃO E SEGURANÇA AMBIENTAL</v>
          </cell>
          <cell r="E3097" t="str">
            <v>SV</v>
          </cell>
        </row>
        <row r="3098">
          <cell r="C3098">
            <v>3003077</v>
          </cell>
          <cell r="D3098" t="str">
            <v>PROTEÇÃO E SEGURANÇA AMBIENTAL</v>
          </cell>
          <cell r="E3098" t="str">
            <v>TO</v>
          </cell>
        </row>
        <row r="3099">
          <cell r="C3099">
            <v>3003078</v>
          </cell>
          <cell r="D3099" t="str">
            <v>PROTEÇÃO E SEGURANÇA AMBIENTAL</v>
          </cell>
          <cell r="E3099" t="str">
            <v>UN</v>
          </cell>
        </row>
        <row r="3100">
          <cell r="C3100">
            <v>3003079</v>
          </cell>
          <cell r="D3100" t="str">
            <v>PRÓTESES SOB ENCOMENDA.</v>
          </cell>
          <cell r="E3100" t="str">
            <v>SV</v>
          </cell>
        </row>
        <row r="3101">
          <cell r="C3101">
            <v>3003080</v>
          </cell>
          <cell r="D3101" t="str">
            <v>PROVEDOR E HOSTING</v>
          </cell>
          <cell r="E3101" t="str">
            <v>ANO</v>
          </cell>
        </row>
        <row r="3102">
          <cell r="C3102">
            <v>3003081</v>
          </cell>
          <cell r="D3102" t="str">
            <v>PROVEDOR  E HOSTING</v>
          </cell>
          <cell r="E3102" t="str">
            <v>MES</v>
          </cell>
        </row>
        <row r="3103">
          <cell r="C3103">
            <v>3003082</v>
          </cell>
          <cell r="D3103" t="str">
            <v>ASSINATURA D ACESSO A INFORMACAO ELETR</v>
          </cell>
          <cell r="E3103" t="str">
            <v>SV</v>
          </cell>
        </row>
        <row r="3104">
          <cell r="C3104">
            <v>3003083</v>
          </cell>
          <cell r="D3104" t="str">
            <v>PROVEDOR  E HOSTING</v>
          </cell>
          <cell r="E3104" t="str">
            <v>UN</v>
          </cell>
        </row>
        <row r="3105">
          <cell r="C3105">
            <v>3003084</v>
          </cell>
          <cell r="D3105" t="str">
            <v>PSICANALISE</v>
          </cell>
          <cell r="E3105" t="str">
            <v>UN</v>
          </cell>
        </row>
        <row r="3106">
          <cell r="C3106">
            <v>3003085</v>
          </cell>
          <cell r="D3106" t="str">
            <v>PSICOLOGIA</v>
          </cell>
          <cell r="E3106" t="str">
            <v>UN</v>
          </cell>
        </row>
        <row r="3107">
          <cell r="C3107">
            <v>3003086</v>
          </cell>
          <cell r="D3107" t="str">
            <v>PUBLICIDADE</v>
          </cell>
          <cell r="E3107" t="str">
            <v>MES</v>
          </cell>
        </row>
        <row r="3108">
          <cell r="C3108">
            <v>3003087</v>
          </cell>
          <cell r="D3108" t="str">
            <v>PROPAGANDA E PUBLICIDADE</v>
          </cell>
          <cell r="E3108" t="str">
            <v>SV</v>
          </cell>
        </row>
        <row r="3109">
          <cell r="C3109">
            <v>3003088</v>
          </cell>
          <cell r="D3109" t="str">
            <v>PUBLICIDADE</v>
          </cell>
          <cell r="E3109" t="str">
            <v>UN</v>
          </cell>
        </row>
        <row r="3110">
          <cell r="C3110">
            <v>3003089</v>
          </cell>
          <cell r="D3110" t="str">
            <v>SRV TECNICOS EM EDIFICACOES</v>
          </cell>
          <cell r="E3110" t="str">
            <v>SV</v>
          </cell>
        </row>
        <row r="3111">
          <cell r="C3111">
            <v>3003090</v>
          </cell>
          <cell r="D3111" t="str">
            <v>SERVICOS RADIO ENLACE</v>
          </cell>
          <cell r="E3111" t="str">
            <v>H</v>
          </cell>
        </row>
        <row r="3112">
          <cell r="C3112">
            <v>3003091</v>
          </cell>
          <cell r="D3112" t="str">
            <v>SRV TECNICOS EM EDIFICACOES</v>
          </cell>
          <cell r="E3112" t="str">
            <v>SV</v>
          </cell>
        </row>
        <row r="3113">
          <cell r="C3113">
            <v>3003092</v>
          </cell>
          <cell r="D3113" t="str">
            <v>SERVICOS RADIO ENLACE</v>
          </cell>
          <cell r="E3113" t="str">
            <v>KMS</v>
          </cell>
        </row>
        <row r="3114">
          <cell r="C3114">
            <v>3003093</v>
          </cell>
          <cell r="D3114" t="str">
            <v>SERVICOS RADIO ENLACE</v>
          </cell>
          <cell r="E3114" t="str">
            <v>M</v>
          </cell>
        </row>
        <row r="3115">
          <cell r="C3115">
            <v>3003094</v>
          </cell>
          <cell r="D3115" t="str">
            <v>SERVICOS RADIO ENLACE</v>
          </cell>
          <cell r="E3115" t="str">
            <v>MES</v>
          </cell>
        </row>
        <row r="3116">
          <cell r="C3116">
            <v>3003095</v>
          </cell>
          <cell r="D3116" t="str">
            <v>SRV TECNICOS EM EDIFICACOES</v>
          </cell>
          <cell r="E3116" t="str">
            <v>SV</v>
          </cell>
        </row>
        <row r="3117">
          <cell r="C3117">
            <v>3003096</v>
          </cell>
          <cell r="D3117" t="str">
            <v>SERVICOS RADIO ENLACE</v>
          </cell>
          <cell r="E3117" t="str">
            <v>PC</v>
          </cell>
        </row>
        <row r="3118">
          <cell r="C3118">
            <v>3003097</v>
          </cell>
          <cell r="D3118" t="str">
            <v>SRV TECNICOS EM EDIFICACOES</v>
          </cell>
          <cell r="E3118" t="str">
            <v>SV</v>
          </cell>
        </row>
        <row r="3119">
          <cell r="C3119">
            <v>3003098</v>
          </cell>
          <cell r="D3119" t="str">
            <v>SERVICOS RADIO ENLACE</v>
          </cell>
          <cell r="E3119" t="str">
            <v>UN</v>
          </cell>
        </row>
        <row r="3120">
          <cell r="C3120">
            <v>3003099</v>
          </cell>
          <cell r="D3120" t="str">
            <v>MANUTENCAO E SUPORTE DE RADIO ENLACE</v>
          </cell>
          <cell r="E3120" t="str">
            <v>H</v>
          </cell>
        </row>
        <row r="3121">
          <cell r="C3121">
            <v>3003100</v>
          </cell>
          <cell r="D3121" t="str">
            <v>MANUTENCAO E SUPORTE DE RADIO ENLACE</v>
          </cell>
          <cell r="E3121" t="str">
            <v>UN</v>
          </cell>
        </row>
        <row r="3122">
          <cell r="C3122">
            <v>3003101</v>
          </cell>
          <cell r="D3122" t="str">
            <v>RADIOLOGIA, TOMOGRAFIA E CONGÊNERES</v>
          </cell>
          <cell r="E3122" t="str">
            <v>DIA</v>
          </cell>
        </row>
        <row r="3123">
          <cell r="C3123">
            <v>3003102</v>
          </cell>
          <cell r="D3123" t="str">
            <v>RADIOLOGIA, TOMOGRAFIA E CONGÊNERES</v>
          </cell>
          <cell r="E3123" t="str">
            <v>UN</v>
          </cell>
        </row>
        <row r="3124">
          <cell r="C3124">
            <v>3003103</v>
          </cell>
          <cell r="D3124" t="str">
            <v>ANALISES CLINICAS E CONGENERES</v>
          </cell>
          <cell r="E3124" t="str">
            <v>SV</v>
          </cell>
        </row>
        <row r="3125">
          <cell r="C3125">
            <v>3003104</v>
          </cell>
          <cell r="D3125" t="str">
            <v>DESENVOLV TREINAMENTO MANUT FERROVIA</v>
          </cell>
          <cell r="E3125" t="str">
            <v>DIA</v>
          </cell>
        </row>
        <row r="3126">
          <cell r="C3126">
            <v>3003105</v>
          </cell>
          <cell r="D3126" t="str">
            <v>DESENVOLV TREINAMENTO MANUT FERROVIA</v>
          </cell>
          <cell r="E3126" t="str">
            <v>H</v>
          </cell>
        </row>
        <row r="3127">
          <cell r="C3127">
            <v>3003106</v>
          </cell>
          <cell r="D3127" t="str">
            <v>DESENVOLV TREINAMENTO MANUT FERROVIA</v>
          </cell>
          <cell r="E3127" t="str">
            <v>MES</v>
          </cell>
        </row>
        <row r="3128">
          <cell r="C3128">
            <v>3003107</v>
          </cell>
          <cell r="D3128" t="str">
            <v>INSTRUCAO, TREINAMENTO, PEDAGOG E EDUCAC</v>
          </cell>
          <cell r="E3128" t="str">
            <v>SV</v>
          </cell>
        </row>
        <row r="3129">
          <cell r="C3129">
            <v>3003108</v>
          </cell>
          <cell r="D3129" t="str">
            <v>INSTRUCAO, TREINAMENTO, PEDAGOG E EDUCAC</v>
          </cell>
          <cell r="E3129" t="str">
            <v>SV</v>
          </cell>
        </row>
        <row r="3130">
          <cell r="C3130">
            <v>3003109</v>
          </cell>
          <cell r="D3130" t="str">
            <v>DESENVOLV TREINAMENTO MANUT FERROVIA</v>
          </cell>
          <cell r="E3130" t="str">
            <v>UN</v>
          </cell>
        </row>
        <row r="3131">
          <cell r="C3131">
            <v>3003110</v>
          </cell>
          <cell r="D3131" t="str">
            <v>REBOQUE DE EMBARCAÇÕES</v>
          </cell>
          <cell r="E3131" t="str">
            <v>DIA</v>
          </cell>
        </row>
        <row r="3132">
          <cell r="C3132">
            <v>3003111</v>
          </cell>
          <cell r="D3132" t="str">
            <v>REBOQUE DE EMBARCAÇÕES</v>
          </cell>
          <cell r="E3132" t="str">
            <v>H</v>
          </cell>
        </row>
        <row r="3133">
          <cell r="C3133">
            <v>3003112</v>
          </cell>
          <cell r="D3133" t="str">
            <v>CAPATAZIA,PRATICAG,ARQUEACAO,ATRACAGEM</v>
          </cell>
          <cell r="E3133" t="str">
            <v>SV</v>
          </cell>
        </row>
        <row r="3134">
          <cell r="C3134">
            <v>3003113</v>
          </cell>
          <cell r="D3134" t="str">
            <v>CAPATAZIA,PRATICAG,ARQUEACAO,ATRACAGEM</v>
          </cell>
          <cell r="E3134" t="str">
            <v>SV</v>
          </cell>
        </row>
        <row r="3135">
          <cell r="C3135">
            <v>3003114</v>
          </cell>
          <cell r="D3135" t="str">
            <v>REBOQUE DE EMBARCAÇÕES</v>
          </cell>
          <cell r="E3135" t="str">
            <v>UN</v>
          </cell>
        </row>
        <row r="3136">
          <cell r="C3136">
            <v>3003115</v>
          </cell>
          <cell r="D3136" t="str">
            <v>RECAUCHUTAGEM E REGENERAÇÃO PNEUS</v>
          </cell>
          <cell r="E3136" t="str">
            <v>H</v>
          </cell>
        </row>
        <row r="3137">
          <cell r="C3137">
            <v>3003116</v>
          </cell>
          <cell r="D3137" t="str">
            <v>RECAUCHUTAGEM, REGENERAÇÃO E MANUT PNEUS</v>
          </cell>
          <cell r="E3137" t="str">
            <v>SV</v>
          </cell>
        </row>
        <row r="3138">
          <cell r="C3138">
            <v>3003117</v>
          </cell>
          <cell r="D3138" t="str">
            <v>RECAUCHUTAGEM E REGENERAÇÃO PNEUS</v>
          </cell>
          <cell r="E3138" t="str">
            <v>UN</v>
          </cell>
        </row>
        <row r="3139">
          <cell r="C3139">
            <v>3003118</v>
          </cell>
          <cell r="D3139" t="str">
            <v>RECOND E ACONDIC OBJ QLQ, INCLUS PÇ</v>
          </cell>
          <cell r="E3139" t="str">
            <v>JG</v>
          </cell>
        </row>
        <row r="3140">
          <cell r="C3140">
            <v>3003119</v>
          </cell>
          <cell r="D3140" t="str">
            <v>RECOND E ACONDIC OBJ QLQ, INCLUS PÇ</v>
          </cell>
          <cell r="E3140" t="str">
            <v>M3</v>
          </cell>
        </row>
        <row r="3141">
          <cell r="C3141">
            <v>3003120</v>
          </cell>
          <cell r="D3141" t="str">
            <v>RESTAUR,PINT,CROMAG,BENEF,TING,GALV</v>
          </cell>
          <cell r="E3141" t="str">
            <v>SV</v>
          </cell>
        </row>
        <row r="3142">
          <cell r="C3142">
            <v>3003121</v>
          </cell>
          <cell r="D3142" t="str">
            <v>RECOND E ACONDIC OBJ QLQ, INCLUS PÇ</v>
          </cell>
          <cell r="E3142" t="str">
            <v>UN</v>
          </cell>
        </row>
        <row r="3143">
          <cell r="C3143">
            <v>3003122</v>
          </cell>
          <cell r="D3143" t="str">
            <v>RECOND E ENROLAMENTO DE MOTORES</v>
          </cell>
          <cell r="E3143" t="str">
            <v>SV</v>
          </cell>
        </row>
        <row r="3144">
          <cell r="C3144">
            <v>3003123</v>
          </cell>
          <cell r="D3144" t="str">
            <v>RECOND E ENROLAMENTO DE MOTORES</v>
          </cell>
          <cell r="E3144" t="str">
            <v>SV</v>
          </cell>
        </row>
        <row r="3145">
          <cell r="C3145">
            <v>3003124</v>
          </cell>
          <cell r="D3145" t="str">
            <v>RECONDICIONAMENTO MOTOR EXCT PEÇA ICMS</v>
          </cell>
          <cell r="E3145" t="str">
            <v>UN</v>
          </cell>
        </row>
        <row r="3146">
          <cell r="C3146">
            <v>3003125</v>
          </cell>
          <cell r="D3146" t="str">
            <v>RECREACAO E ANIMACAO</v>
          </cell>
          <cell r="E3146" t="str">
            <v>SV</v>
          </cell>
        </row>
        <row r="3147">
          <cell r="C3147">
            <v>3003126</v>
          </cell>
          <cell r="D3147" t="str">
            <v>RECREAÇÃO ANIMAÇÃO FESTA EVENTO</v>
          </cell>
          <cell r="E3147" t="str">
            <v>UN</v>
          </cell>
        </row>
        <row r="3148">
          <cell r="C3148">
            <v>3003127</v>
          </cell>
          <cell r="D3148" t="str">
            <v>RECUP;POLIMENTO PISOS;OUTROS; EXCT OBRA</v>
          </cell>
          <cell r="E3148" t="str">
            <v>H</v>
          </cell>
        </row>
        <row r="3149">
          <cell r="C3149">
            <v>3003128</v>
          </cell>
          <cell r="D3149" t="str">
            <v>RECUP;POLIMENTO PISOS;OUTROS; EXCT OBRA</v>
          </cell>
          <cell r="E3149" t="str">
            <v>SV</v>
          </cell>
        </row>
        <row r="3150">
          <cell r="C3150">
            <v>3003129</v>
          </cell>
          <cell r="D3150" t="str">
            <v>RECUP;POLIMENTO PISOS;OUTROS; EXCT OBRA</v>
          </cell>
          <cell r="E3150" t="str">
            <v>UN</v>
          </cell>
        </row>
        <row r="3151">
          <cell r="C3151">
            <v>3003130</v>
          </cell>
          <cell r="D3151" t="str">
            <v>RECURSOS HUMANOS;RECRUT SELEÇÃO</v>
          </cell>
          <cell r="E3151" t="str">
            <v>H</v>
          </cell>
        </row>
        <row r="3152">
          <cell r="C3152">
            <v>3003131</v>
          </cell>
          <cell r="D3152" t="str">
            <v>RECURSOS HUMANOS;RECRUT SELEÇÃO</v>
          </cell>
          <cell r="E3152" t="str">
            <v>MES</v>
          </cell>
        </row>
        <row r="3153">
          <cell r="C3153">
            <v>3003132</v>
          </cell>
          <cell r="D3153" t="str">
            <v>SERVICOS DE RH EM GERAL</v>
          </cell>
          <cell r="E3153" t="str">
            <v>SV</v>
          </cell>
        </row>
        <row r="3154">
          <cell r="C3154">
            <v>3003133</v>
          </cell>
          <cell r="D3154" t="str">
            <v>RECURSOS HUMANOS;RECRUT SELEÇÃO</v>
          </cell>
          <cell r="E3154" t="str">
            <v>UN</v>
          </cell>
        </row>
        <row r="3155">
          <cell r="C3155">
            <v>3003134</v>
          </cell>
          <cell r="D3155" t="str">
            <v>REEMBOLSO DESPESAS</v>
          </cell>
          <cell r="E3155" t="str">
            <v>CT</v>
          </cell>
        </row>
        <row r="3156">
          <cell r="C3156">
            <v>3003135</v>
          </cell>
          <cell r="D3156" t="str">
            <v>REEMBOLSO DESPESAS</v>
          </cell>
          <cell r="E3156" t="str">
            <v>DIA</v>
          </cell>
        </row>
        <row r="3157">
          <cell r="C3157">
            <v>3003136</v>
          </cell>
          <cell r="D3157" t="str">
            <v>REEMBOLSO DESPESAS</v>
          </cell>
          <cell r="E3157" t="str">
            <v>H</v>
          </cell>
        </row>
        <row r="3158">
          <cell r="C3158">
            <v>3003137</v>
          </cell>
          <cell r="D3158" t="str">
            <v>REEMBOLSO DESPESAS</v>
          </cell>
          <cell r="E3158" t="str">
            <v>KMS</v>
          </cell>
        </row>
        <row r="3159">
          <cell r="C3159">
            <v>3003138</v>
          </cell>
          <cell r="D3159" t="str">
            <v>REEMBOLSO DESPESAS</v>
          </cell>
          <cell r="E3159" t="str">
            <v>M2</v>
          </cell>
        </row>
        <row r="3160">
          <cell r="C3160">
            <v>3003139</v>
          </cell>
          <cell r="D3160" t="str">
            <v>REEMBOLSO DESPESAS</v>
          </cell>
          <cell r="E3160" t="str">
            <v>MES</v>
          </cell>
        </row>
        <row r="3161">
          <cell r="C3161">
            <v>3003140</v>
          </cell>
          <cell r="D3161" t="str">
            <v>REEMBOLSO DE DESPESAS</v>
          </cell>
          <cell r="E3161" t="str">
            <v>SV</v>
          </cell>
        </row>
        <row r="3162">
          <cell r="C3162">
            <v>3003141</v>
          </cell>
          <cell r="D3162" t="str">
            <v>REEMBOLSO DESPESAS</v>
          </cell>
          <cell r="E3162" t="str">
            <v>TO</v>
          </cell>
        </row>
        <row r="3163">
          <cell r="C3163">
            <v>3003142</v>
          </cell>
          <cell r="D3163" t="str">
            <v>REEMBOLSO DESPESAS</v>
          </cell>
          <cell r="E3163" t="str">
            <v>UN</v>
          </cell>
        </row>
        <row r="3164">
          <cell r="C3164">
            <v>3003143</v>
          </cell>
          <cell r="D3164" t="str">
            <v>REFORMA EDIF;ESTRADA;PONTE;SIMILARES</v>
          </cell>
          <cell r="E3164" t="str">
            <v>CM</v>
          </cell>
        </row>
        <row r="3165">
          <cell r="C3165">
            <v>3003144</v>
          </cell>
          <cell r="D3165" t="str">
            <v>REFORMA EDIF;ESTRADA;PONTE;SIMILARES</v>
          </cell>
          <cell r="E3165" t="str">
            <v>DIA</v>
          </cell>
        </row>
        <row r="3166">
          <cell r="C3166">
            <v>3003145</v>
          </cell>
          <cell r="D3166" t="str">
            <v>REFORMA EDIF;ESTRADA;PONTE;SIMILARES</v>
          </cell>
          <cell r="E3166" t="str">
            <v>dm3</v>
          </cell>
        </row>
        <row r="3167">
          <cell r="C3167">
            <v>3003146</v>
          </cell>
          <cell r="D3167" t="str">
            <v>REFORMA EDIF;ESTRADA;PONTE;SIMILARES</v>
          </cell>
          <cell r="E3167" t="str">
            <v>H</v>
          </cell>
        </row>
        <row r="3168">
          <cell r="C3168">
            <v>3003147</v>
          </cell>
          <cell r="D3168" t="str">
            <v>REFORMA EDIF;ESTRADA;PONTE;SIMILARES</v>
          </cell>
          <cell r="E3168" t="str">
            <v>JG</v>
          </cell>
        </row>
        <row r="3169">
          <cell r="C3169">
            <v>3003148</v>
          </cell>
          <cell r="D3169" t="str">
            <v>REFORMA EDIF;ESTRADA;PONTE;SIMILARES</v>
          </cell>
          <cell r="E3169" t="str">
            <v>KG</v>
          </cell>
        </row>
        <row r="3170">
          <cell r="C3170">
            <v>3003149</v>
          </cell>
          <cell r="D3170" t="str">
            <v>REFORMA EDIF;ESTRADA;PONTE;SIMILARES</v>
          </cell>
          <cell r="E3170" t="str">
            <v>KMS</v>
          </cell>
        </row>
        <row r="3171">
          <cell r="C3171">
            <v>3003150</v>
          </cell>
          <cell r="D3171" t="str">
            <v>REFORMA EDIF;ESTRADA;PONTE;SIMILARES</v>
          </cell>
          <cell r="E3171" t="str">
            <v>L</v>
          </cell>
        </row>
        <row r="3172">
          <cell r="C3172">
            <v>3003151</v>
          </cell>
          <cell r="D3172" t="str">
            <v>REFORMA EDIF;ESTRADA;PONTE;SIMILARES</v>
          </cell>
          <cell r="E3172" t="str">
            <v>M</v>
          </cell>
        </row>
        <row r="3173">
          <cell r="C3173">
            <v>3003152</v>
          </cell>
          <cell r="D3173" t="str">
            <v>REFORMA EDIF;ESTRADA;PONTE;SIMILARES</v>
          </cell>
          <cell r="E3173" t="str">
            <v>M2</v>
          </cell>
        </row>
        <row r="3174">
          <cell r="C3174">
            <v>3003153</v>
          </cell>
          <cell r="D3174" t="str">
            <v>REFORMA EDIF;ESTRADA;PONTE;SIMILARES</v>
          </cell>
          <cell r="E3174" t="str">
            <v>M3</v>
          </cell>
        </row>
        <row r="3175">
          <cell r="C3175">
            <v>3003154</v>
          </cell>
          <cell r="D3175" t="str">
            <v>REFORMA EDIF;ESTRADA;PONTE;SIMILARES</v>
          </cell>
          <cell r="E3175" t="str">
            <v>MES</v>
          </cell>
        </row>
        <row r="3176">
          <cell r="C3176">
            <v>3003155</v>
          </cell>
          <cell r="D3176" t="str">
            <v>REFORMA EDIF;ESTRADA;PONTE;SIMILARES</v>
          </cell>
          <cell r="E3176" t="str">
            <v>PC</v>
          </cell>
        </row>
        <row r="3177">
          <cell r="C3177">
            <v>3003156</v>
          </cell>
          <cell r="D3177" t="str">
            <v>REFOR EDIFICIOS,ESTRADAS,PONTES,PORTOS</v>
          </cell>
          <cell r="E3177" t="str">
            <v>SV</v>
          </cell>
        </row>
        <row r="3178">
          <cell r="C3178">
            <v>3003157</v>
          </cell>
          <cell r="D3178" t="str">
            <v>REFORMA EDIF;ESTRADA;PONTE;SIMILARES</v>
          </cell>
          <cell r="E3178" t="str">
            <v>TO</v>
          </cell>
        </row>
        <row r="3179">
          <cell r="C3179">
            <v>3003158</v>
          </cell>
          <cell r="D3179" t="str">
            <v>REFORMA EDIF;ESTRADA;PONTE;SIMILARES</v>
          </cell>
          <cell r="E3179" t="str">
            <v>UN</v>
          </cell>
        </row>
        <row r="3180">
          <cell r="C3180">
            <v>3003159</v>
          </cell>
          <cell r="D3180" t="str">
            <v>REFORMA GERAL MÁQUINA PÁTIO</v>
          </cell>
          <cell r="E3180" t="str">
            <v>KG</v>
          </cell>
        </row>
        <row r="3181">
          <cell r="C3181">
            <v>3003160</v>
          </cell>
          <cell r="D3181" t="str">
            <v>REFORMA GERAL MÁQUINA PÁTIO</v>
          </cell>
          <cell r="E3181" t="str">
            <v>M</v>
          </cell>
        </row>
        <row r="3182">
          <cell r="C3182">
            <v>3003161</v>
          </cell>
          <cell r="D3182" t="str">
            <v>REFORMA GERAL MÁQUINA PÁTIO</v>
          </cell>
          <cell r="E3182" t="str">
            <v>M2</v>
          </cell>
        </row>
        <row r="3183">
          <cell r="C3183">
            <v>3003162</v>
          </cell>
          <cell r="D3183" t="str">
            <v>CONSERT, REP, RESTAUR, REFOR E BLIND</v>
          </cell>
          <cell r="E3183" t="str">
            <v>SV</v>
          </cell>
        </row>
        <row r="3184">
          <cell r="C3184">
            <v>3003163</v>
          </cell>
          <cell r="D3184" t="str">
            <v>CONSERT, REP, RESTAUR, REFOR E BLIND</v>
          </cell>
          <cell r="E3184" t="str">
            <v>SV</v>
          </cell>
        </row>
        <row r="3185">
          <cell r="C3185">
            <v>3003164</v>
          </cell>
          <cell r="D3185" t="str">
            <v>REFORMA GERAL MÁQUINA PÁTIO</v>
          </cell>
          <cell r="E3185" t="str">
            <v>PC</v>
          </cell>
        </row>
        <row r="3186">
          <cell r="C3186">
            <v>3003165</v>
          </cell>
          <cell r="D3186" t="str">
            <v>REFORMA GERAL MÁQUINA PÁTIO</v>
          </cell>
          <cell r="E3186" t="str">
            <v>SV</v>
          </cell>
        </row>
        <row r="3187">
          <cell r="C3187">
            <v>3003166</v>
          </cell>
          <cell r="D3187" t="str">
            <v>CONSERT, REP, RESTAUR, REFOR E BLIND</v>
          </cell>
          <cell r="E3187" t="str">
            <v>SV</v>
          </cell>
        </row>
        <row r="3188">
          <cell r="C3188">
            <v>3003167</v>
          </cell>
          <cell r="D3188" t="str">
            <v>REFORMA GERAL MÁQUINA PÁTIO</v>
          </cell>
          <cell r="E3188" t="str">
            <v>UN</v>
          </cell>
        </row>
        <row r="3189">
          <cell r="C3189">
            <v>3003168</v>
          </cell>
          <cell r="D3189" t="str">
            <v>REMED ÁREA CONTAM, CONTR PRAGAS E CONG</v>
          </cell>
          <cell r="E3189" t="str">
            <v>DIA</v>
          </cell>
        </row>
        <row r="3190">
          <cell r="C3190">
            <v>3003169</v>
          </cell>
          <cell r="D3190" t="str">
            <v>REMED ÁREA CONTAM, CONTR PRAGAS E CONG</v>
          </cell>
          <cell r="E3190" t="str">
            <v>H</v>
          </cell>
        </row>
        <row r="3191">
          <cell r="C3191">
            <v>3003170</v>
          </cell>
          <cell r="D3191" t="str">
            <v>REMED ÁREA CONTAM, CONTR PRAGAS E CONG</v>
          </cell>
          <cell r="E3191" t="str">
            <v>HA</v>
          </cell>
        </row>
        <row r="3192">
          <cell r="C3192">
            <v>3003171</v>
          </cell>
          <cell r="D3192" t="str">
            <v>REMED ÁREA CONTAM, CONTR PRAGAS E CONG</v>
          </cell>
          <cell r="E3192" t="str">
            <v>KG</v>
          </cell>
        </row>
        <row r="3193">
          <cell r="C3193">
            <v>3003172</v>
          </cell>
          <cell r="D3193" t="str">
            <v>REMED ÁREA CONTAM, CONTR PRAGAS E CONG</v>
          </cell>
          <cell r="E3193" t="str">
            <v>KM2</v>
          </cell>
        </row>
        <row r="3194">
          <cell r="C3194">
            <v>3003173</v>
          </cell>
          <cell r="D3194" t="str">
            <v>REMED ÁREA CONTAM, CONTR PRAGAS E CONG</v>
          </cell>
          <cell r="E3194" t="str">
            <v>KMS</v>
          </cell>
        </row>
        <row r="3195">
          <cell r="C3195">
            <v>3003174</v>
          </cell>
          <cell r="D3195" t="str">
            <v>REMED ÁREA CONTAM, CONTR PRAGAS E CONG</v>
          </cell>
          <cell r="E3195" t="str">
            <v>L</v>
          </cell>
        </row>
        <row r="3196">
          <cell r="C3196">
            <v>3003175</v>
          </cell>
          <cell r="D3196" t="str">
            <v>REMED ÁREA CONTAM, CONTR PRAGAS E CONG</v>
          </cell>
          <cell r="E3196" t="str">
            <v>M</v>
          </cell>
        </row>
        <row r="3197">
          <cell r="C3197">
            <v>3003176</v>
          </cell>
          <cell r="D3197" t="str">
            <v>REMED ÁREA CONTAM, CONTR PRAGAS E CONG</v>
          </cell>
          <cell r="E3197" t="str">
            <v>M2</v>
          </cell>
        </row>
        <row r="3198">
          <cell r="C3198">
            <v>3003177</v>
          </cell>
          <cell r="D3198" t="str">
            <v>REMED ÁREA CONTAM, CONTR PRAGAS E CONG</v>
          </cell>
          <cell r="E3198" t="str">
            <v>M3</v>
          </cell>
        </row>
        <row r="3199">
          <cell r="C3199">
            <v>3003178</v>
          </cell>
          <cell r="D3199" t="str">
            <v>REMED ÁREA CONTAM, CONTR PRAGAS E CONG</v>
          </cell>
          <cell r="E3199" t="str">
            <v>MES</v>
          </cell>
        </row>
        <row r="3200">
          <cell r="C3200">
            <v>3003179</v>
          </cell>
          <cell r="D3200" t="str">
            <v>FLOREST,DESMANT,ADUBACAO,ROCA,CONTR PRAG</v>
          </cell>
          <cell r="E3200" t="str">
            <v>SV</v>
          </cell>
        </row>
        <row r="3201">
          <cell r="C3201">
            <v>3003180</v>
          </cell>
          <cell r="D3201" t="str">
            <v>REMED ÁREA CONTAM, CONTR PRAGAS E CONG</v>
          </cell>
          <cell r="E3201" t="str">
            <v>TO</v>
          </cell>
        </row>
        <row r="3202">
          <cell r="C3202">
            <v>3003181</v>
          </cell>
          <cell r="D3202" t="str">
            <v>REMED ÁREA CONTAM, CONTR PRAGAS E CONG</v>
          </cell>
          <cell r="E3202" t="str">
            <v>UN</v>
          </cell>
        </row>
        <row r="3203">
          <cell r="C3203">
            <v>3003182</v>
          </cell>
          <cell r="D3203" t="str">
            <v>PROCESS,TRAT E IND DE MINERIOS E METAIS</v>
          </cell>
          <cell r="E3203" t="str">
            <v>SV</v>
          </cell>
        </row>
        <row r="3204">
          <cell r="C3204">
            <v>3003183</v>
          </cell>
          <cell r="D3204" t="str">
            <v>REMOÇÃO DE ESTÉRIL</v>
          </cell>
          <cell r="E3204" t="str">
            <v>KMS</v>
          </cell>
        </row>
        <row r="3205">
          <cell r="C3205">
            <v>3003184</v>
          </cell>
          <cell r="D3205" t="str">
            <v>REMOÇÃO DE ESTÉRIL</v>
          </cell>
          <cell r="E3205" t="str">
            <v>UN</v>
          </cell>
        </row>
        <row r="3206">
          <cell r="C3206">
            <v>3003185</v>
          </cell>
          <cell r="D3206" t="str">
            <v>REMOÇÃO OU INCIRENAÇÃO DE LIXO E SIMILAR</v>
          </cell>
          <cell r="E3206" t="str">
            <v>DIA</v>
          </cell>
        </row>
        <row r="3207">
          <cell r="C3207">
            <v>3003186</v>
          </cell>
          <cell r="D3207" t="str">
            <v>REMOÇÃO OU INCIRENAÇÃO DE LIXO E SIMILAR</v>
          </cell>
          <cell r="E3207" t="str">
            <v>KG</v>
          </cell>
        </row>
        <row r="3208">
          <cell r="C3208">
            <v>3003187</v>
          </cell>
          <cell r="D3208" t="str">
            <v>REMOÇÃO OU INCIRENAÇÃO DE LIXO E SIMILAR</v>
          </cell>
          <cell r="E3208" t="str">
            <v>M</v>
          </cell>
        </row>
        <row r="3209">
          <cell r="C3209">
            <v>3003188</v>
          </cell>
          <cell r="D3209" t="str">
            <v>REMOÇÃO OU INCIRENAÇÃO DE LIXO E SIMILAR</v>
          </cell>
          <cell r="E3209" t="str">
            <v>M2</v>
          </cell>
        </row>
        <row r="3210">
          <cell r="C3210">
            <v>3003189</v>
          </cell>
          <cell r="D3210" t="str">
            <v>REMOÇÃO OU INCIRENAÇÃO DE LIXO E SIMILAR</v>
          </cell>
          <cell r="E3210" t="str">
            <v>M3</v>
          </cell>
        </row>
        <row r="3211">
          <cell r="C3211">
            <v>3003190</v>
          </cell>
          <cell r="D3211" t="str">
            <v>REMOÇÃO OU INCIRENAÇÃO DE LIXO E SIMILAR</v>
          </cell>
          <cell r="E3211" t="str">
            <v>SV</v>
          </cell>
        </row>
        <row r="3212">
          <cell r="C3212">
            <v>3003191</v>
          </cell>
          <cell r="D3212" t="str">
            <v>REMOÇÃO OU INCIRENAÇÃO DE LIXO E SIMILAR</v>
          </cell>
          <cell r="E3212" t="str">
            <v>TO</v>
          </cell>
        </row>
        <row r="3213">
          <cell r="C3213">
            <v>3003192</v>
          </cell>
          <cell r="D3213" t="str">
            <v>REMOÇÃO OU INCIRENAÇÃO DE LIXO E SIMILAR</v>
          </cell>
          <cell r="E3213" t="str">
            <v>UN</v>
          </cell>
        </row>
        <row r="3214">
          <cell r="C3214">
            <v>3003193</v>
          </cell>
          <cell r="D3214" t="str">
            <v>REMODELAÇÃO DE VIAS PERMANENTES</v>
          </cell>
          <cell r="E3214" t="str">
            <v>H</v>
          </cell>
        </row>
        <row r="3215">
          <cell r="C3215">
            <v>3003194</v>
          </cell>
          <cell r="D3215" t="str">
            <v>REMODELAÇÃO DE VIAS PERMANENTES</v>
          </cell>
          <cell r="E3215" t="str">
            <v>KMS</v>
          </cell>
        </row>
        <row r="3216">
          <cell r="C3216">
            <v>3003195</v>
          </cell>
          <cell r="D3216" t="str">
            <v>REMODELAÇÃO DE VIAS PERMANENTES</v>
          </cell>
          <cell r="E3216" t="str">
            <v>M</v>
          </cell>
        </row>
        <row r="3217">
          <cell r="C3217">
            <v>3003196</v>
          </cell>
          <cell r="D3217" t="str">
            <v>REMODELAÇÃO DE VIAS PERMANENTES</v>
          </cell>
          <cell r="E3217" t="str">
            <v>M2</v>
          </cell>
        </row>
        <row r="3218">
          <cell r="C3218">
            <v>3003197</v>
          </cell>
          <cell r="D3218" t="str">
            <v>REMODELAÇÃO DE VIAS PERMANENTES</v>
          </cell>
          <cell r="E3218" t="str">
            <v>M3</v>
          </cell>
        </row>
        <row r="3219">
          <cell r="C3219">
            <v>3003198</v>
          </cell>
          <cell r="D3219" t="str">
            <v>REMODELAÇÃO DE VIAS PERMANENTES</v>
          </cell>
          <cell r="E3219" t="str">
            <v>PC</v>
          </cell>
        </row>
        <row r="3220">
          <cell r="C3220">
            <v>3003199</v>
          </cell>
          <cell r="D3220" t="str">
            <v>REFOR EDIFICIOS,ESTRADAS,PONTES,PORTOS</v>
          </cell>
          <cell r="E3220" t="str">
            <v>SV</v>
          </cell>
        </row>
        <row r="3221">
          <cell r="C3221">
            <v>3003200</v>
          </cell>
          <cell r="D3221" t="str">
            <v>REMODELAÇÃO DE VIAS PERMANENTES</v>
          </cell>
          <cell r="E3221" t="str">
            <v>TO</v>
          </cell>
        </row>
        <row r="3222">
          <cell r="C3222">
            <v>3003201</v>
          </cell>
          <cell r="D3222" t="str">
            <v>REMODELAÇÃO DE VIAS PERMANENTES</v>
          </cell>
          <cell r="E3222" t="str">
            <v>UN</v>
          </cell>
        </row>
        <row r="3223">
          <cell r="C3223">
            <v>3003202</v>
          </cell>
          <cell r="D3223" t="str">
            <v>REPARO MÁQ;VEÍC;EQUIP;ELEV;SIMILARES</v>
          </cell>
          <cell r="E3223" t="str">
            <v>DIA</v>
          </cell>
        </row>
        <row r="3224">
          <cell r="C3224">
            <v>3003203</v>
          </cell>
          <cell r="D3224" t="str">
            <v>REPARO MÁQ;VEÍC;EQUIP;ELEV;SIMILARES</v>
          </cell>
          <cell r="E3224" t="str">
            <v>H</v>
          </cell>
        </row>
        <row r="3225">
          <cell r="C3225">
            <v>3003204</v>
          </cell>
          <cell r="D3225" t="str">
            <v>REPARO MÁQ;VEÍC;EQUIP;ELEV;SIMILARES</v>
          </cell>
          <cell r="E3225" t="str">
            <v>KG</v>
          </cell>
        </row>
        <row r="3226">
          <cell r="C3226">
            <v>3003205</v>
          </cell>
          <cell r="D3226" t="str">
            <v>REPARO MÁQ;VEÍC;EQUIP;ELEV;SIMILARES</v>
          </cell>
          <cell r="E3226" t="str">
            <v>M</v>
          </cell>
        </row>
        <row r="3227">
          <cell r="C3227">
            <v>3003206</v>
          </cell>
          <cell r="D3227" t="str">
            <v>REPARO MÁQ;VEÍC;EQUIP;ELEV;SIMILARES</v>
          </cell>
          <cell r="E3227" t="str">
            <v>M2</v>
          </cell>
        </row>
        <row r="3228">
          <cell r="C3228">
            <v>3003207</v>
          </cell>
          <cell r="D3228" t="str">
            <v>REPARO MÁQ;VEÍC;EQUIP;ELEV;SIMILARES</v>
          </cell>
          <cell r="E3228" t="str">
            <v>MES</v>
          </cell>
        </row>
        <row r="3229">
          <cell r="C3229">
            <v>3003208</v>
          </cell>
          <cell r="D3229" t="str">
            <v>REP MAQ,VEIC,APAR,CALDEIRAR,SOLD,VULCAN</v>
          </cell>
          <cell r="E3229" t="str">
            <v>SV</v>
          </cell>
        </row>
        <row r="3230">
          <cell r="C3230">
            <v>3003209</v>
          </cell>
          <cell r="D3230" t="str">
            <v>REPARO MÁQ;VEÍC;EQUIP;ELEV;SIMILARES</v>
          </cell>
          <cell r="E3230" t="str">
            <v>UN</v>
          </cell>
        </row>
        <row r="3231">
          <cell r="C3231">
            <v>3003210</v>
          </cell>
          <cell r="D3231" t="str">
            <v>REPRESENTAÇÃO COMERCIAL E SIMILARES</v>
          </cell>
          <cell r="E3231" t="str">
            <v>UN</v>
          </cell>
        </row>
        <row r="3232">
          <cell r="C3232">
            <v>3003211</v>
          </cell>
          <cell r="D3232" t="str">
            <v>REPROGRAFIA E SIMILARES</v>
          </cell>
          <cell r="E3232" t="str">
            <v>H</v>
          </cell>
        </row>
        <row r="3233">
          <cell r="C3233">
            <v>3003212</v>
          </cell>
          <cell r="D3233" t="str">
            <v>REPROGRAFIA E SIMILARES</v>
          </cell>
          <cell r="E3233" t="str">
            <v>M</v>
          </cell>
        </row>
        <row r="3234">
          <cell r="C3234">
            <v>3003213</v>
          </cell>
          <cell r="D3234" t="str">
            <v>REPROGRAFIA E SIMILARES</v>
          </cell>
          <cell r="E3234" t="str">
            <v>MES</v>
          </cell>
        </row>
        <row r="3235">
          <cell r="C3235">
            <v>3003214</v>
          </cell>
          <cell r="D3235" t="str">
            <v>REPROGRAFIA,MICROFILMAGEM,DIGITALIZACAO</v>
          </cell>
          <cell r="E3235" t="str">
            <v>SV</v>
          </cell>
        </row>
        <row r="3236">
          <cell r="C3236">
            <v>3003215</v>
          </cell>
          <cell r="D3236" t="str">
            <v>REPROGRAFIA E SIMILARES</v>
          </cell>
          <cell r="E3236" t="str">
            <v>UN</v>
          </cell>
        </row>
        <row r="3237">
          <cell r="C3237">
            <v>3003216</v>
          </cell>
          <cell r="D3237" t="str">
            <v>RESGATE (SEGURANÇA DE BENS OU PESSOAS)</v>
          </cell>
          <cell r="E3237" t="str">
            <v>H</v>
          </cell>
        </row>
        <row r="3238">
          <cell r="C3238">
            <v>3003217</v>
          </cell>
          <cell r="D3238" t="str">
            <v>RESGATE (SEGURANÇA DE BENS OU PESSOAS)</v>
          </cell>
          <cell r="E3238" t="str">
            <v>MES</v>
          </cell>
        </row>
        <row r="3239">
          <cell r="C3239">
            <v>3003218</v>
          </cell>
          <cell r="D3239" t="str">
            <v>RESGATE (SEGURANÇA DE BENS OU PESSOAS)</v>
          </cell>
          <cell r="E3239" t="str">
            <v>UN</v>
          </cell>
        </row>
        <row r="3240">
          <cell r="C3240">
            <v>3003219</v>
          </cell>
          <cell r="D3240" t="str">
            <v>RESTAURAÇÃO E RECUP OBJ QLQ, INCLUS PÇ</v>
          </cell>
          <cell r="E3240" t="str">
            <v>DIA</v>
          </cell>
        </row>
        <row r="3241">
          <cell r="C3241">
            <v>3003220</v>
          </cell>
          <cell r="D3241" t="str">
            <v>RESTAURAÇÃO E RECUP OBJ QLQ, INCLUS PÇ</v>
          </cell>
          <cell r="E3241" t="str">
            <v>H</v>
          </cell>
        </row>
        <row r="3242">
          <cell r="C3242">
            <v>3003221</v>
          </cell>
          <cell r="D3242" t="str">
            <v>RESTAURAÇÃO E RECUP OBJ QLQ, INCLUS PÇ</v>
          </cell>
          <cell r="E3242" t="str">
            <v>JG</v>
          </cell>
        </row>
        <row r="3243">
          <cell r="C3243">
            <v>3003222</v>
          </cell>
          <cell r="D3243" t="str">
            <v>RESTAURAÇÃO E RECUP OBJ QLQ, INCLUS PÇ</v>
          </cell>
          <cell r="E3243" t="str">
            <v>KG</v>
          </cell>
        </row>
        <row r="3244">
          <cell r="C3244">
            <v>3003223</v>
          </cell>
          <cell r="D3244" t="str">
            <v>RESTAURAÇÃO E RECUP OBJ QLQ, INCLUS PÇ</v>
          </cell>
          <cell r="E3244" t="str">
            <v>KMS</v>
          </cell>
        </row>
        <row r="3245">
          <cell r="C3245">
            <v>3003224</v>
          </cell>
          <cell r="D3245" t="str">
            <v>RESTAURAÇÃO E RECUP OBJ QLQ, INCLUS PÇ</v>
          </cell>
          <cell r="E3245" t="str">
            <v>M</v>
          </cell>
        </row>
        <row r="3246">
          <cell r="C3246">
            <v>3003225</v>
          </cell>
          <cell r="D3246" t="str">
            <v>RESTAURAÇÃO E RECUP OBJ QLQ, INCLUS PÇ</v>
          </cell>
          <cell r="E3246" t="str">
            <v>M2</v>
          </cell>
        </row>
        <row r="3247">
          <cell r="C3247">
            <v>3003226</v>
          </cell>
          <cell r="D3247" t="str">
            <v>RESTAURAÇÃO E RECUP OBJ QLQ, INCLUS PÇ</v>
          </cell>
          <cell r="E3247" t="str">
            <v>M3</v>
          </cell>
        </row>
        <row r="3248">
          <cell r="C3248">
            <v>3003227</v>
          </cell>
          <cell r="D3248" t="str">
            <v>RESTAURAÇÃO E RECUP OBJ QLQ, INCLUS PÇ</v>
          </cell>
          <cell r="E3248" t="str">
            <v>MES</v>
          </cell>
        </row>
        <row r="3249">
          <cell r="C3249">
            <v>3003228</v>
          </cell>
          <cell r="D3249" t="str">
            <v>RESTAUR,PINT,CROMAG,BENEF,TING,GALV</v>
          </cell>
          <cell r="E3249" t="str">
            <v>SV</v>
          </cell>
        </row>
        <row r="3250">
          <cell r="C3250">
            <v>3003229</v>
          </cell>
          <cell r="D3250" t="str">
            <v>RESTAURAÇÃO E RECUP OBJ QLQ, INCLUS PÇ</v>
          </cell>
          <cell r="E3250" t="str">
            <v>PC</v>
          </cell>
        </row>
        <row r="3251">
          <cell r="C3251">
            <v>3003230</v>
          </cell>
          <cell r="D3251" t="str">
            <v>RESTAUR,PINT,CROMAG,BENEF,TING,GALV</v>
          </cell>
          <cell r="E3251" t="str">
            <v>SV</v>
          </cell>
        </row>
        <row r="3252">
          <cell r="C3252">
            <v>3003231</v>
          </cell>
          <cell r="D3252" t="str">
            <v>RESTAURAÇÃO E RECUP OBJ QLQ, INCLUS PÇ</v>
          </cell>
          <cell r="E3252" t="str">
            <v>TO</v>
          </cell>
        </row>
        <row r="3253">
          <cell r="C3253">
            <v>3003232</v>
          </cell>
          <cell r="D3253" t="str">
            <v>RESTAURAÇÃO E RECUP OBJ QLQ, INCLUS PÇ</v>
          </cell>
          <cell r="E3253" t="str">
            <v>UN</v>
          </cell>
        </row>
        <row r="3254">
          <cell r="C3254">
            <v>3003233</v>
          </cell>
          <cell r="D3254" t="str">
            <v>RESTITUIÇÃO AEROGRÁFICA</v>
          </cell>
          <cell r="E3254" t="str">
            <v>UN</v>
          </cell>
        </row>
        <row r="3255">
          <cell r="C3255">
            <v>3003234</v>
          </cell>
          <cell r="D3255" t="str">
            <v>REVEST PEÇA PORCELANA VITRIFICADA</v>
          </cell>
          <cell r="E3255" t="str">
            <v>UN</v>
          </cell>
        </row>
        <row r="3256">
          <cell r="C3256">
            <v>3003235</v>
          </cell>
          <cell r="D3256" t="str">
            <v>REVESTIMENTO DE PEÇAS EM CROMO DURO</v>
          </cell>
          <cell r="E3256" t="str">
            <v>UN</v>
          </cell>
        </row>
        <row r="3257">
          <cell r="C3257">
            <v>3003236</v>
          </cell>
          <cell r="D3257" t="str">
            <v>REVESTIMENTO DE PEÇAS EM POLIURETANO</v>
          </cell>
          <cell r="E3257" t="str">
            <v>DIA</v>
          </cell>
        </row>
        <row r="3258">
          <cell r="C3258">
            <v>3003237</v>
          </cell>
          <cell r="D3258" t="str">
            <v>REVESTIMENTO DE PEÇAS EM POLIURETANO</v>
          </cell>
          <cell r="E3258" t="str">
            <v>H</v>
          </cell>
        </row>
        <row r="3259">
          <cell r="C3259">
            <v>3003238</v>
          </cell>
          <cell r="D3259" t="str">
            <v>REVESTIMENTO DE PEÇAS EM POLIURETANO</v>
          </cell>
          <cell r="E3259" t="str">
            <v>M2</v>
          </cell>
        </row>
        <row r="3260">
          <cell r="C3260">
            <v>3003239</v>
          </cell>
          <cell r="D3260" t="str">
            <v>RESTAUR,PINT,CROMAD,BENEF,TENID,GALV</v>
          </cell>
          <cell r="E3260" t="str">
            <v>SV</v>
          </cell>
        </row>
        <row r="3261">
          <cell r="C3261">
            <v>3003240</v>
          </cell>
          <cell r="D3261" t="str">
            <v>REVESTIMENTO DE PEÇAS EM POLIURETANO</v>
          </cell>
          <cell r="E3261" t="str">
            <v>UN</v>
          </cell>
        </row>
        <row r="3262">
          <cell r="C3262">
            <v>3003241</v>
          </cell>
          <cell r="D3262" t="str">
            <v>REVESTIMENTO PEÇAS EM CARBETO</v>
          </cell>
          <cell r="E3262" t="str">
            <v>UN</v>
          </cell>
        </row>
        <row r="3263">
          <cell r="C3263">
            <v>3003242</v>
          </cell>
          <cell r="D3263" t="str">
            <v>REVESTIMENTOS - POLIETILENO/POLIURETANO</v>
          </cell>
          <cell r="E3263" t="str">
            <v>CM</v>
          </cell>
        </row>
        <row r="3264">
          <cell r="C3264">
            <v>3003243</v>
          </cell>
          <cell r="D3264" t="str">
            <v>INSTAL,MONT DE PROD,PC,EQUIPS DE OBRAS</v>
          </cell>
          <cell r="E3264" t="str">
            <v>SV</v>
          </cell>
        </row>
        <row r="3265">
          <cell r="C3265">
            <v>3003244</v>
          </cell>
          <cell r="D3265" t="str">
            <v>REVESTIMENTOS - POLIETILENO/POLIURETANO</v>
          </cell>
          <cell r="E3265" t="str">
            <v>M</v>
          </cell>
        </row>
        <row r="3266">
          <cell r="C3266">
            <v>3003245</v>
          </cell>
          <cell r="D3266" t="str">
            <v>REVESTIMENTOS - POLIETILENO/POLIURETANO</v>
          </cell>
          <cell r="E3266" t="str">
            <v>M2</v>
          </cell>
        </row>
        <row r="3267">
          <cell r="C3267">
            <v>3003246</v>
          </cell>
          <cell r="D3267" t="str">
            <v>INSTAL,MONT DE PROD,PC,EQUIPS DE OBRAS</v>
          </cell>
          <cell r="E3267" t="str">
            <v>SV</v>
          </cell>
        </row>
        <row r="3268">
          <cell r="C3268">
            <v>3003247</v>
          </cell>
          <cell r="D3268" t="str">
            <v>INSTAL,MONT DE PROD,PC,EQUIPS DE OBRAS</v>
          </cell>
          <cell r="E3268" t="str">
            <v>SV</v>
          </cell>
        </row>
        <row r="3269">
          <cell r="C3269">
            <v>3003248</v>
          </cell>
          <cell r="D3269" t="str">
            <v>INSTAL,MONT DE PROD,PC,EQUIPS DE OBRAS</v>
          </cell>
          <cell r="E3269" t="str">
            <v>SV</v>
          </cell>
        </row>
        <row r="3270">
          <cell r="C3270">
            <v>3003249</v>
          </cell>
          <cell r="D3270" t="str">
            <v>INSTAL,MONT DE PROD,PC,EQUIPS DE OBRAS</v>
          </cell>
          <cell r="E3270" t="str">
            <v>SV</v>
          </cell>
        </row>
        <row r="3271">
          <cell r="C3271">
            <v>3003250</v>
          </cell>
          <cell r="D3271" t="str">
            <v>REVESTIMENTOS - POLIETILENO/POLIURETANO</v>
          </cell>
          <cell r="E3271" t="str">
            <v>UN</v>
          </cell>
        </row>
        <row r="3272">
          <cell r="C3272">
            <v>3003251</v>
          </cell>
          <cell r="D3272" t="str">
            <v>REVISÃO DE  MAQ;EQUIP MÓV E SIMILAR</v>
          </cell>
          <cell r="E3272" t="str">
            <v>H</v>
          </cell>
        </row>
        <row r="3273">
          <cell r="C3273">
            <v>3003252</v>
          </cell>
          <cell r="D3273" t="str">
            <v>REVISÃO DE MAQ;EQUIP MÓV E SIMILAR</v>
          </cell>
          <cell r="E3273" t="str">
            <v>MES</v>
          </cell>
        </row>
        <row r="3274">
          <cell r="C3274">
            <v>3003253</v>
          </cell>
          <cell r="D3274" t="str">
            <v>REVISÃO DE  MAQ;EQUIP MÓV E SIMILAR</v>
          </cell>
          <cell r="E3274" t="str">
            <v>PC</v>
          </cell>
        </row>
        <row r="3275">
          <cell r="C3275">
            <v>3003254</v>
          </cell>
          <cell r="D3275" t="str">
            <v>REVISÃO DE  MAQ;EQUIP MÓV E SIMILAR</v>
          </cell>
          <cell r="E3275" t="str">
            <v>SV</v>
          </cell>
        </row>
        <row r="3276">
          <cell r="C3276">
            <v>3003255</v>
          </cell>
          <cell r="D3276" t="str">
            <v>REVISÃO DE  MAQ;EQUIP MÓV E SIMILAR</v>
          </cell>
          <cell r="E3276" t="str">
            <v>UN</v>
          </cell>
        </row>
        <row r="3277">
          <cell r="C3277">
            <v>3003256</v>
          </cell>
          <cell r="D3277" t="str">
            <v>MANUTENÃ‡ÃƒO DE INFRA-ESTRUTURA</v>
          </cell>
          <cell r="E3277" t="str">
            <v>M</v>
          </cell>
        </row>
        <row r="3278">
          <cell r="C3278">
            <v>3003257</v>
          </cell>
          <cell r="D3278" t="str">
            <v>SANEAMENTO AMBIENTAL</v>
          </cell>
          <cell r="E3278" t="str">
            <v>MES</v>
          </cell>
        </row>
        <row r="3279">
          <cell r="C3279">
            <v>3003258</v>
          </cell>
          <cell r="D3279" t="str">
            <v>SANEAMENTO AMBIENTAL</v>
          </cell>
          <cell r="E3279" t="str">
            <v>SV</v>
          </cell>
        </row>
        <row r="3280">
          <cell r="C3280">
            <v>3003259</v>
          </cell>
          <cell r="D3280" t="str">
            <v>SANEAMENTO AMBIENTAL</v>
          </cell>
          <cell r="E3280" t="str">
            <v>UN</v>
          </cell>
        </row>
        <row r="3281">
          <cell r="C3281">
            <v>3003260</v>
          </cell>
          <cell r="D3281" t="str">
            <v>VIG,SEG,PROTECAO MONIT DE BENS E PESSOAS</v>
          </cell>
          <cell r="E3281" t="str">
            <v>SV</v>
          </cell>
        </row>
        <row r="3282">
          <cell r="C3282">
            <v>3003261</v>
          </cell>
          <cell r="D3282" t="str">
            <v>SEGURANÇA BENS PESSOA NÃO ELETRÔNICO</v>
          </cell>
          <cell r="E3282" t="str">
            <v>UN</v>
          </cell>
        </row>
        <row r="3283">
          <cell r="C3283">
            <v>3003262</v>
          </cell>
          <cell r="D3283" t="str">
            <v>SEGURANÇA BENS PESSOAS MONIT ELETR</v>
          </cell>
          <cell r="E3283" t="str">
            <v>CX</v>
          </cell>
        </row>
        <row r="3284">
          <cell r="C3284">
            <v>3003263</v>
          </cell>
          <cell r="D3284" t="str">
            <v>SEGURANÇA BENS PESSOAS MONIT ELETR</v>
          </cell>
          <cell r="E3284" t="str">
            <v>DIA</v>
          </cell>
        </row>
        <row r="3285">
          <cell r="C3285">
            <v>3003264</v>
          </cell>
          <cell r="D3285" t="str">
            <v>SEGURANÇA BENS PESSOAS MONIT ELETR</v>
          </cell>
          <cell r="E3285" t="str">
            <v>H</v>
          </cell>
        </row>
        <row r="3286">
          <cell r="C3286">
            <v>3003265</v>
          </cell>
          <cell r="D3286" t="str">
            <v>SEGURANÇA BENS PESSOAS MONIT ELETR</v>
          </cell>
          <cell r="E3286" t="str">
            <v>M</v>
          </cell>
        </row>
        <row r="3287">
          <cell r="C3287">
            <v>3003266</v>
          </cell>
          <cell r="D3287" t="str">
            <v>SEGURANÇA BENS PESSOAS MONIT ELETR</v>
          </cell>
          <cell r="E3287" t="str">
            <v>M2</v>
          </cell>
        </row>
        <row r="3288">
          <cell r="C3288">
            <v>3003267</v>
          </cell>
          <cell r="D3288" t="str">
            <v>SEGURANÇA BENS PESSOAS MONIT ELETR</v>
          </cell>
          <cell r="E3288" t="str">
            <v>MES</v>
          </cell>
        </row>
        <row r="3289">
          <cell r="C3289">
            <v>3003268</v>
          </cell>
          <cell r="D3289" t="str">
            <v>SEGURANÇA BENS PESSOAS MONIT ELETR</v>
          </cell>
          <cell r="E3289" t="str">
            <v>PAR</v>
          </cell>
        </row>
        <row r="3290">
          <cell r="C3290">
            <v>3003269</v>
          </cell>
          <cell r="D3290" t="str">
            <v>SEGURANÇA BENS PESSOAS MONIT ELETR</v>
          </cell>
          <cell r="E3290" t="str">
            <v>PC</v>
          </cell>
        </row>
        <row r="3291">
          <cell r="C3291">
            <v>3003270</v>
          </cell>
          <cell r="D3291" t="str">
            <v>VIG/SEG PRESTADOS POR MEIO D MONIT ELETR</v>
          </cell>
          <cell r="E3291" t="str">
            <v>SV</v>
          </cell>
        </row>
        <row r="3292">
          <cell r="C3292">
            <v>3003271</v>
          </cell>
          <cell r="D3292" t="str">
            <v>SEGURANÇA BENS PESSOAS MONIT ELETR</v>
          </cell>
          <cell r="E3292" t="str">
            <v>UN</v>
          </cell>
        </row>
        <row r="3293">
          <cell r="C3293">
            <v>3003272</v>
          </cell>
          <cell r="D3293" t="str">
            <v>SEGURANÇA PESSOAL</v>
          </cell>
          <cell r="E3293" t="str">
            <v>UN</v>
          </cell>
        </row>
        <row r="3294">
          <cell r="C3294">
            <v>3003273</v>
          </cell>
          <cell r="D3294" t="str">
            <v>SERRALHERIA DE PEÇAS EM AÇO CARBONO</v>
          </cell>
          <cell r="E3294" t="str">
            <v>KG</v>
          </cell>
        </row>
        <row r="3295">
          <cell r="C3295">
            <v>3003274</v>
          </cell>
          <cell r="D3295" t="str">
            <v>SERRALHERIA DE PEÇAS EM AÇO CARBONO</v>
          </cell>
          <cell r="E3295" t="str">
            <v>M</v>
          </cell>
        </row>
        <row r="3296">
          <cell r="C3296">
            <v>3003275</v>
          </cell>
          <cell r="D3296" t="str">
            <v>SERRALHERIA DE PEÇAS EM AÇO CARBONO</v>
          </cell>
          <cell r="E3296" t="str">
            <v>M2</v>
          </cell>
        </row>
        <row r="3297">
          <cell r="C3297">
            <v>3003276</v>
          </cell>
          <cell r="D3297" t="str">
            <v>SERRALHERIA DE PEÇAS EM AÇO CARBONO</v>
          </cell>
          <cell r="E3297" t="str">
            <v>M3</v>
          </cell>
        </row>
        <row r="3298">
          <cell r="C3298">
            <v>3003277</v>
          </cell>
          <cell r="D3298" t="str">
            <v>SERRALHERIA DE PEÇAS EM AÇO CARBONO</v>
          </cell>
          <cell r="E3298" t="str">
            <v>UN</v>
          </cell>
        </row>
        <row r="3299">
          <cell r="C3299">
            <v>3003278</v>
          </cell>
          <cell r="D3299" t="str">
            <v>SERRALHERIA DE PEÇAS EM ALUMÍNIO</v>
          </cell>
          <cell r="E3299" t="str">
            <v>KG</v>
          </cell>
        </row>
        <row r="3300">
          <cell r="C3300">
            <v>3003279</v>
          </cell>
          <cell r="D3300" t="str">
            <v>SERRALHERIA DE PEÇAS EM ALUNÍNIO</v>
          </cell>
          <cell r="E3300" t="str">
            <v>M2</v>
          </cell>
        </row>
        <row r="3301">
          <cell r="C3301">
            <v>3003280</v>
          </cell>
          <cell r="D3301" t="str">
            <v>SERRALHERIA DE PEÇAS EM ALUMÍNIO</v>
          </cell>
          <cell r="E3301" t="str">
            <v>UN</v>
          </cell>
        </row>
        <row r="3302">
          <cell r="C3302">
            <v>3003281</v>
          </cell>
          <cell r="D3302" t="str">
            <v>SERRALHERIA</v>
          </cell>
          <cell r="E3302" t="str">
            <v>H</v>
          </cell>
        </row>
        <row r="3303">
          <cell r="C3303">
            <v>3003282</v>
          </cell>
          <cell r="D3303" t="str">
            <v>SERRALHERIA</v>
          </cell>
          <cell r="E3303" t="str">
            <v>KG</v>
          </cell>
        </row>
        <row r="3304">
          <cell r="C3304">
            <v>3003283</v>
          </cell>
          <cell r="D3304" t="str">
            <v>SERRALHERIA</v>
          </cell>
          <cell r="E3304" t="str">
            <v>M</v>
          </cell>
        </row>
        <row r="3305">
          <cell r="C3305">
            <v>3003284</v>
          </cell>
          <cell r="D3305" t="str">
            <v>SERRALHERIA</v>
          </cell>
          <cell r="E3305" t="str">
            <v>M2</v>
          </cell>
        </row>
        <row r="3306">
          <cell r="C3306">
            <v>3003285</v>
          </cell>
          <cell r="D3306" t="str">
            <v>SERRALHERIA</v>
          </cell>
          <cell r="E3306" t="str">
            <v>M3</v>
          </cell>
        </row>
        <row r="3307">
          <cell r="C3307">
            <v>3003286</v>
          </cell>
          <cell r="D3307" t="str">
            <v>SERRALHERIA</v>
          </cell>
          <cell r="E3307" t="str">
            <v>UN</v>
          </cell>
        </row>
        <row r="3308">
          <cell r="C3308">
            <v>3003287</v>
          </cell>
          <cell r="D3308" t="str">
            <v>SERV CASA HOSPEDES, INCLUINDO HOSPEDAGEM</v>
          </cell>
          <cell r="E3308" t="str">
            <v>H</v>
          </cell>
        </row>
        <row r="3309">
          <cell r="C3309">
            <v>3003288</v>
          </cell>
          <cell r="D3309" t="str">
            <v>SERV CASA HOSPEDES, INCLUINDO HOSPEDAGEM</v>
          </cell>
          <cell r="E3309" t="str">
            <v>KMS</v>
          </cell>
        </row>
        <row r="3310">
          <cell r="C3310">
            <v>3003289</v>
          </cell>
          <cell r="D3310" t="str">
            <v>SERV CASA HOSPEDES, INCLUINDO HOSPEDAGEM</v>
          </cell>
          <cell r="E3310" t="str">
            <v>SV</v>
          </cell>
        </row>
        <row r="3311">
          <cell r="C3311">
            <v>3003290</v>
          </cell>
          <cell r="D3311" t="str">
            <v>SERV CASA HOSPEDES, INCLUINDO HOSPEDAGEM</v>
          </cell>
          <cell r="E3311" t="str">
            <v>UN</v>
          </cell>
        </row>
        <row r="3312">
          <cell r="C3312">
            <v>3003291</v>
          </cell>
          <cell r="D3312" t="str">
            <v>SERV DE FRANQUIAS (FRANCHISING).</v>
          </cell>
          <cell r="E3312" t="str">
            <v>UN</v>
          </cell>
        </row>
        <row r="3313">
          <cell r="C3313">
            <v>3003292</v>
          </cell>
          <cell r="D3313" t="str">
            <v>SERVIÇO DE AGENCIAMENTO DE VIAGEM</v>
          </cell>
          <cell r="E3313" t="str">
            <v>DIA</v>
          </cell>
        </row>
        <row r="3314">
          <cell r="C3314">
            <v>3003293</v>
          </cell>
          <cell r="D3314" t="str">
            <v>AGENCIAM,ORG,INTERMED,EXEC PROGR TURISMO</v>
          </cell>
          <cell r="E3314" t="str">
            <v>SV</v>
          </cell>
        </row>
        <row r="3315">
          <cell r="C3315">
            <v>3003294</v>
          </cell>
          <cell r="D3315" t="str">
            <v>AGENCIAM,ORG,INTERMED,EXEC PROGR TURISMO</v>
          </cell>
          <cell r="E3315" t="str">
            <v>SV</v>
          </cell>
        </row>
        <row r="3316">
          <cell r="C3316">
            <v>3003295</v>
          </cell>
          <cell r="D3316" t="str">
            <v>SERVIÇO DE AGENCIAMENTO DE VIAGEM</v>
          </cell>
          <cell r="E3316" t="str">
            <v>UN</v>
          </cell>
        </row>
        <row r="3317">
          <cell r="C3317">
            <v>3003296</v>
          </cell>
          <cell r="D3317" t="str">
            <v>SERVIÇO DE ANÁLISE DE FALHA</v>
          </cell>
          <cell r="E3317" t="str">
            <v>UN</v>
          </cell>
        </row>
        <row r="3318">
          <cell r="C3318">
            <v>3003297</v>
          </cell>
          <cell r="D3318" t="str">
            <v>SERVIÇO DE ANÁLISE DE VIBRAÇÃO</v>
          </cell>
          <cell r="E3318" t="str">
            <v>H</v>
          </cell>
        </row>
        <row r="3319">
          <cell r="C3319">
            <v>3003298</v>
          </cell>
          <cell r="D3319" t="str">
            <v>PERICIA;LAUDO;EXAMES;ANALISE TECNICA</v>
          </cell>
          <cell r="E3319" t="str">
            <v>SV</v>
          </cell>
        </row>
        <row r="3320">
          <cell r="C3320">
            <v>3003299</v>
          </cell>
          <cell r="D3320" t="str">
            <v>SERVIÇO DE ANÁLISE DE VIBRAÇÃO</v>
          </cell>
          <cell r="E3320" t="str">
            <v>UN</v>
          </cell>
        </row>
        <row r="3321">
          <cell r="C3321">
            <v>3003300</v>
          </cell>
          <cell r="D3321" t="str">
            <v>PERICIA;LAUDO;EXAMES;ANALISE TECNICA</v>
          </cell>
          <cell r="E3321" t="str">
            <v>SV</v>
          </cell>
        </row>
        <row r="3322">
          <cell r="C3322">
            <v>3003301</v>
          </cell>
          <cell r="D3322" t="str">
            <v>SERVIÇO DE ANÁLISE PETROGRÁFICA</v>
          </cell>
          <cell r="E3322" t="str">
            <v>UN</v>
          </cell>
        </row>
        <row r="3323">
          <cell r="C3323">
            <v>3003302</v>
          </cell>
          <cell r="D3323" t="str">
            <v>SERVIÇO DE ANDAIME (LOCAÇÃO C SERVIÇO)</v>
          </cell>
          <cell r="E3323" t="str">
            <v>DIA</v>
          </cell>
        </row>
        <row r="3324">
          <cell r="C3324">
            <v>3003303</v>
          </cell>
          <cell r="D3324" t="str">
            <v>SERVIÃ‡O DE ANDAIME (LOCAÃ‡ÃƒO C SERVIÃ‡</v>
          </cell>
          <cell r="E3324" t="str">
            <v>H</v>
          </cell>
        </row>
        <row r="3325">
          <cell r="C3325">
            <v>3003304</v>
          </cell>
          <cell r="D3325" t="str">
            <v>SERVIÇO DE ANDAIME (LOCAÇÃO C SERVIÇO)</v>
          </cell>
          <cell r="E3325" t="str">
            <v>KMS</v>
          </cell>
        </row>
        <row r="3326">
          <cell r="C3326">
            <v>3003305</v>
          </cell>
          <cell r="D3326" t="str">
            <v>SERVIÃ‡O DE ANDAIME (LOCAÃ‡ÃƒO C SERVIÃ‡</v>
          </cell>
          <cell r="E3326" t="str">
            <v>M</v>
          </cell>
        </row>
        <row r="3327">
          <cell r="C3327">
            <v>3003306</v>
          </cell>
          <cell r="D3327" t="str">
            <v>SERVIÃ‡O DE ANDAIME (LOCAÃ‡ÃƒO C SERVIÃ‡</v>
          </cell>
          <cell r="E3327" t="str">
            <v>M2</v>
          </cell>
        </row>
        <row r="3328">
          <cell r="C3328">
            <v>3003307</v>
          </cell>
          <cell r="D3328" t="str">
            <v>SERVIÃ‡O DE ANDAIME (LOCAÃ‡ÃƒO C SERVIÃ‡</v>
          </cell>
          <cell r="E3328" t="str">
            <v>M3</v>
          </cell>
        </row>
        <row r="3329">
          <cell r="C3329">
            <v>3003308</v>
          </cell>
          <cell r="D3329" t="str">
            <v>SERVIÃ‡O DE ANDAIME (LOCAÃ‡ÃƒO C SERVIÃ‡</v>
          </cell>
          <cell r="E3329" t="str">
            <v>MES</v>
          </cell>
        </row>
        <row r="3330">
          <cell r="C3330">
            <v>3003309</v>
          </cell>
          <cell r="D3330" t="str">
            <v>SRV DE ANDAIME (LOCACAO COM SRV)</v>
          </cell>
          <cell r="E3330" t="str">
            <v>SV</v>
          </cell>
        </row>
        <row r="3331">
          <cell r="C3331">
            <v>3003310</v>
          </cell>
          <cell r="D3331" t="str">
            <v>SERVIÃ‡O DE ANDAIME (LOCAÃ‡ÃƒO C SERVIÃ‡</v>
          </cell>
          <cell r="E3331" t="str">
            <v>UN</v>
          </cell>
        </row>
        <row r="3332">
          <cell r="C3332">
            <v>3003311</v>
          </cell>
          <cell r="D3332" t="str">
            <v>SERVIÇO DE ARQUEAÇÃO DE NAVIO</v>
          </cell>
          <cell r="E3332" t="str">
            <v>SV</v>
          </cell>
        </row>
        <row r="3333">
          <cell r="C3333">
            <v>3003312</v>
          </cell>
          <cell r="D3333" t="str">
            <v>SERVIÇO DE ARQUEAÇÃO DE NAVIO</v>
          </cell>
          <cell r="E3333" t="str">
            <v>UN</v>
          </cell>
        </row>
        <row r="3334">
          <cell r="C3334">
            <v>3003313</v>
          </cell>
          <cell r="D3334" t="str">
            <v>SERVIÇO DE ASSESSORIA AMBIENTAL</v>
          </cell>
          <cell r="E3334" t="str">
            <v>DIA</v>
          </cell>
        </row>
        <row r="3335">
          <cell r="C3335">
            <v>3003314</v>
          </cell>
          <cell r="D3335" t="str">
            <v>CONSULTORIA E ASSESSORIA EM MEIO AMBIENT</v>
          </cell>
          <cell r="E3335" t="str">
            <v>dm3</v>
          </cell>
        </row>
        <row r="3336">
          <cell r="C3336">
            <v>3003315</v>
          </cell>
          <cell r="D3336" t="str">
            <v>SERVIÃ‡O DE ASSESSORIA AMBIENTAL</v>
          </cell>
          <cell r="E3336" t="str">
            <v>H</v>
          </cell>
        </row>
        <row r="3337">
          <cell r="C3337">
            <v>3003316</v>
          </cell>
          <cell r="D3337" t="str">
            <v>CONSULTORIA E ASSESSORIA EM MEIO AMBIENT</v>
          </cell>
          <cell r="E3337" t="str">
            <v>HA</v>
          </cell>
        </row>
        <row r="3338">
          <cell r="C3338">
            <v>3003317</v>
          </cell>
          <cell r="D3338" t="str">
            <v>CONSULTORIA E ASSESSORIA EM MEIO AMBIENT</v>
          </cell>
          <cell r="E3338" t="str">
            <v>KG</v>
          </cell>
        </row>
        <row r="3339">
          <cell r="C3339">
            <v>3003318</v>
          </cell>
          <cell r="D3339" t="str">
            <v>CONSULTORIA E ASSESSORIA EM MEIO AMBIENT</v>
          </cell>
          <cell r="E3339" t="str">
            <v>KMS</v>
          </cell>
        </row>
        <row r="3340">
          <cell r="C3340">
            <v>3003319</v>
          </cell>
          <cell r="D3340" t="str">
            <v>CONSULTORIA E ASSESSORIA EM MEIO AMBIENT</v>
          </cell>
          <cell r="E3340" t="str">
            <v>M</v>
          </cell>
        </row>
        <row r="3341">
          <cell r="C3341">
            <v>3003320</v>
          </cell>
          <cell r="D3341" t="str">
            <v>CONSULTORIA E ASSESSORIA EM MEIO AMBIENT</v>
          </cell>
          <cell r="E3341" t="str">
            <v>M2</v>
          </cell>
        </row>
        <row r="3342">
          <cell r="C3342">
            <v>3003321</v>
          </cell>
          <cell r="D3342" t="str">
            <v>CONSULTORIA E ASSESSORIA EM MEIO AMBIENT</v>
          </cell>
          <cell r="E3342" t="str">
            <v>M3</v>
          </cell>
        </row>
        <row r="3343">
          <cell r="C3343">
            <v>3003322</v>
          </cell>
          <cell r="D3343" t="str">
            <v>CONSULTORIA E ASSESSORIA EM MEIO AMBIENT</v>
          </cell>
          <cell r="E3343" t="str">
            <v>MES</v>
          </cell>
        </row>
        <row r="3344">
          <cell r="C3344">
            <v>3003323</v>
          </cell>
          <cell r="D3344" t="str">
            <v>ASSESSORIA OU CONSULTORIA DE QQ NATUREZA</v>
          </cell>
          <cell r="E3344" t="str">
            <v>SV</v>
          </cell>
        </row>
        <row r="3345">
          <cell r="C3345">
            <v>3003324</v>
          </cell>
          <cell r="D3345" t="str">
            <v>CONSULTORIA E ASSESSORIA EM MEIO AMBIENT</v>
          </cell>
          <cell r="E3345" t="str">
            <v>TO</v>
          </cell>
        </row>
        <row r="3346">
          <cell r="C3346">
            <v>3003325</v>
          </cell>
          <cell r="D3346" t="str">
            <v>SERVIÇO DE ASSESSORIA AMBIENTAL</v>
          </cell>
          <cell r="E3346" t="str">
            <v>UN</v>
          </cell>
        </row>
        <row r="3347">
          <cell r="C3347">
            <v>3003326</v>
          </cell>
          <cell r="D3347" t="str">
            <v>SERVIÇO DE BIOLOGIA E QUÍMICA</v>
          </cell>
          <cell r="E3347" t="str">
            <v>UN</v>
          </cell>
        </row>
        <row r="3348">
          <cell r="C3348">
            <v>3003327</v>
          </cell>
          <cell r="D3348" t="str">
            <v>SERVIÇO DE BIOTECNOLOGIA</v>
          </cell>
          <cell r="E3348" t="str">
            <v>UN</v>
          </cell>
        </row>
        <row r="3349">
          <cell r="C3349">
            <v>3003328</v>
          </cell>
          <cell r="D3349" t="str">
            <v>SERVIÇO DE CÃO DE GUARDA</v>
          </cell>
          <cell r="E3349" t="str">
            <v>UN</v>
          </cell>
        </row>
        <row r="3350">
          <cell r="C3350">
            <v>3003329</v>
          </cell>
          <cell r="D3350" t="str">
            <v>SERVIÇO DE CARPINTARIA PESADA</v>
          </cell>
          <cell r="E3350" t="str">
            <v>UN</v>
          </cell>
        </row>
        <row r="3351">
          <cell r="C3351">
            <v>3003330</v>
          </cell>
          <cell r="D3351" t="str">
            <v>FLOREST,DESMANT,ADUBACAO,ROCA,CONTR PRAG</v>
          </cell>
          <cell r="E3351" t="str">
            <v>SV</v>
          </cell>
        </row>
        <row r="3352">
          <cell r="C3352">
            <v>3003331</v>
          </cell>
          <cell r="D3352" t="str">
            <v>SERVIÇO DE CERTIFICAÇÃO DE PRODUTO</v>
          </cell>
          <cell r="E3352" t="str">
            <v>UN</v>
          </cell>
        </row>
        <row r="3353">
          <cell r="C3353">
            <v>3003332</v>
          </cell>
          <cell r="D3353" t="str">
            <v>SERVIÇO DE COLETA E GESTÃO DE RESÍDUOS</v>
          </cell>
          <cell r="E3353" t="str">
            <v>DIA</v>
          </cell>
        </row>
        <row r="3354">
          <cell r="C3354">
            <v>3003333</v>
          </cell>
          <cell r="D3354" t="str">
            <v>SERVIÇO DE COLETA E GESTÃO DE RESÍDUOS</v>
          </cell>
          <cell r="E3354" t="str">
            <v>H</v>
          </cell>
        </row>
        <row r="3355">
          <cell r="C3355">
            <v>3003334</v>
          </cell>
          <cell r="D3355" t="str">
            <v>SERVIÇO DE COLETA E GESTÃO DE RESÍDUOS</v>
          </cell>
          <cell r="E3355" t="str">
            <v>KG</v>
          </cell>
        </row>
        <row r="3356">
          <cell r="C3356">
            <v>3003335</v>
          </cell>
          <cell r="D3356" t="str">
            <v>SERVIÇO DE COLETA E GESTÃO DE RESÍDUOS</v>
          </cell>
          <cell r="E3356" t="str">
            <v>KMS</v>
          </cell>
        </row>
        <row r="3357">
          <cell r="C3357">
            <v>3003336</v>
          </cell>
          <cell r="D3357" t="str">
            <v>SERVIÇO DE COLETA E GESTÃO DE RESÍDUOS</v>
          </cell>
          <cell r="E3357" t="str">
            <v>M</v>
          </cell>
        </row>
        <row r="3358">
          <cell r="C3358">
            <v>3003337</v>
          </cell>
          <cell r="D3358" t="str">
            <v>SERVIÇO DE COLETA E GESTÃO DE RESÍDUOS</v>
          </cell>
          <cell r="E3358" t="str">
            <v>M2</v>
          </cell>
        </row>
        <row r="3359">
          <cell r="C3359">
            <v>3003338</v>
          </cell>
          <cell r="D3359" t="str">
            <v>SERVIÇO DE COLETA E GESTÃO DE RESÍDUOS</v>
          </cell>
          <cell r="E3359" t="str">
            <v>M3</v>
          </cell>
        </row>
        <row r="3360">
          <cell r="C3360">
            <v>3003339</v>
          </cell>
          <cell r="D3360" t="str">
            <v>SERVIÇO DE COLETA E GESTÃO DE RESÍDUOS</v>
          </cell>
          <cell r="E3360" t="str">
            <v>MES</v>
          </cell>
        </row>
        <row r="3361">
          <cell r="C3361">
            <v>3003340</v>
          </cell>
          <cell r="D3361" t="str">
            <v>SERVIÇO DE COLETA E GESTÃO DE RESÍDUOS</v>
          </cell>
          <cell r="E3361" t="str">
            <v>PC</v>
          </cell>
        </row>
        <row r="3362">
          <cell r="C3362">
            <v>3003341</v>
          </cell>
          <cell r="D3362" t="str">
            <v>SERVIÇO DE COLETA E GESTÃO DE RESÍDUOS</v>
          </cell>
          <cell r="E3362" t="str">
            <v>SV</v>
          </cell>
        </row>
        <row r="3363">
          <cell r="C3363">
            <v>3003342</v>
          </cell>
          <cell r="D3363" t="str">
            <v>SERVIÇO DE COLETA E GESTÃO DE RESÍDUOS</v>
          </cell>
          <cell r="E3363" t="str">
            <v>TO</v>
          </cell>
        </row>
        <row r="3364">
          <cell r="C3364">
            <v>3003343</v>
          </cell>
          <cell r="D3364" t="str">
            <v>SERVIÇO DE COLETA E GESTÃO DE RESÍDUOS</v>
          </cell>
          <cell r="E3364" t="str">
            <v>UN</v>
          </cell>
        </row>
        <row r="3365">
          <cell r="C3365">
            <v>3003344</v>
          </cell>
          <cell r="D3365" t="str">
            <v>SERVIÇO DE COMUNICAÇÃO VISUAL</v>
          </cell>
          <cell r="E3365" t="str">
            <v>M2</v>
          </cell>
        </row>
        <row r="3366">
          <cell r="C3366">
            <v>3003345</v>
          </cell>
          <cell r="D3366" t="str">
            <v>SERVIÇO DE COMUNICAÇÃO VISUAL</v>
          </cell>
          <cell r="E3366" t="str">
            <v>UN</v>
          </cell>
        </row>
        <row r="3367">
          <cell r="C3367">
            <v>3003346</v>
          </cell>
          <cell r="D3367" t="str">
            <v>SERVIÇO DE CONSTRUÇÃO DE ARMAZÉNS</v>
          </cell>
          <cell r="E3367" t="str">
            <v>UN</v>
          </cell>
        </row>
        <row r="3368">
          <cell r="C3368">
            <v>3003347</v>
          </cell>
          <cell r="D3368" t="str">
            <v>SERVIÇO DE CONSTRUÇÃO DE TUNEIS</v>
          </cell>
          <cell r="E3368" t="str">
            <v>UN</v>
          </cell>
        </row>
        <row r="3369">
          <cell r="C3369">
            <v>3003348</v>
          </cell>
          <cell r="D3369" t="str">
            <v>SERVIÇO DE CONSULTORIA EM LOGÍSTICA</v>
          </cell>
          <cell r="E3369" t="str">
            <v>H</v>
          </cell>
        </row>
        <row r="3370">
          <cell r="C3370">
            <v>3003349</v>
          </cell>
          <cell r="D3370" t="str">
            <v>SERVIÇO DE CONSULTORIA EM LOGÍSTICA</v>
          </cell>
          <cell r="E3370" t="str">
            <v>MES</v>
          </cell>
        </row>
        <row r="3371">
          <cell r="C3371">
            <v>3003350</v>
          </cell>
          <cell r="D3371" t="str">
            <v>ASSESSORIA OU CONSULTORIA DE QQ NATUREZA</v>
          </cell>
          <cell r="E3371" t="str">
            <v>SV</v>
          </cell>
        </row>
        <row r="3372">
          <cell r="C3372">
            <v>3003351</v>
          </cell>
          <cell r="D3372" t="str">
            <v>SERVIÇO DE CONSULTORIA EM LOGÍSTICA</v>
          </cell>
          <cell r="E3372" t="str">
            <v>UN</v>
          </cell>
        </row>
        <row r="3373">
          <cell r="C3373">
            <v>3003352</v>
          </cell>
          <cell r="D3373" t="str">
            <v>SERVIÇO DE DESMATAMENTO</v>
          </cell>
          <cell r="E3373" t="str">
            <v>DIA</v>
          </cell>
        </row>
        <row r="3374">
          <cell r="C3374">
            <v>3003353</v>
          </cell>
          <cell r="D3374" t="str">
            <v>SERVIÇO DE DESMATAMENTO</v>
          </cell>
          <cell r="E3374" t="str">
            <v>H</v>
          </cell>
        </row>
        <row r="3375">
          <cell r="C3375">
            <v>3003354</v>
          </cell>
          <cell r="D3375" t="str">
            <v>SERVIÇO DE DESMATAMENTO</v>
          </cell>
          <cell r="E3375" t="str">
            <v>HA</v>
          </cell>
        </row>
        <row r="3376">
          <cell r="C3376">
            <v>3003355</v>
          </cell>
          <cell r="D3376" t="str">
            <v>SERVIÇO DE DESMATAMENTO</v>
          </cell>
          <cell r="E3376" t="str">
            <v>M2</v>
          </cell>
        </row>
        <row r="3377">
          <cell r="C3377">
            <v>3003356</v>
          </cell>
          <cell r="D3377" t="str">
            <v>SERVIÇO DE DESMATAMENTO</v>
          </cell>
          <cell r="E3377" t="str">
            <v>M3</v>
          </cell>
        </row>
        <row r="3378">
          <cell r="C3378">
            <v>3003357</v>
          </cell>
          <cell r="D3378" t="str">
            <v>SERVIÇO DE DESMATAMENTO</v>
          </cell>
          <cell r="E3378" t="str">
            <v>MES</v>
          </cell>
        </row>
        <row r="3379">
          <cell r="C3379">
            <v>3003358</v>
          </cell>
          <cell r="D3379" t="str">
            <v>SERVIÇO DE DESMATAMENTO</v>
          </cell>
          <cell r="E3379" t="str">
            <v>SV</v>
          </cell>
        </row>
        <row r="3380">
          <cell r="C3380">
            <v>3003359</v>
          </cell>
          <cell r="D3380" t="str">
            <v>SERVIÇO DE DESMATAMENTO</v>
          </cell>
          <cell r="E3380" t="str">
            <v>UN</v>
          </cell>
        </row>
        <row r="3381">
          <cell r="C3381">
            <v>3003360</v>
          </cell>
          <cell r="D3381" t="str">
            <v>SERVIÇO DE DESMONTE DE ROCHA</v>
          </cell>
          <cell r="E3381" t="str">
            <v>KG</v>
          </cell>
        </row>
        <row r="3382">
          <cell r="C3382">
            <v>3003361</v>
          </cell>
          <cell r="D3382" t="str">
            <v>SERVIÇO DE DESMONTE DE ROCHA</v>
          </cell>
          <cell r="E3382" t="str">
            <v>M3</v>
          </cell>
        </row>
        <row r="3383">
          <cell r="C3383">
            <v>3003362</v>
          </cell>
          <cell r="D3383" t="str">
            <v>AGENC,CORRET,INTERM BENS MOVEIS,IMOVEIS</v>
          </cell>
          <cell r="E3383" t="str">
            <v>SV</v>
          </cell>
        </row>
        <row r="3384">
          <cell r="C3384">
            <v>3003363</v>
          </cell>
          <cell r="D3384" t="str">
            <v>SERVIÇO DE ENGENHARIA DE AUTOMAÇÃO</v>
          </cell>
          <cell r="E3384" t="str">
            <v>DIA</v>
          </cell>
        </row>
        <row r="3385">
          <cell r="C3385">
            <v>3003364</v>
          </cell>
          <cell r="D3385" t="str">
            <v>SERVIÇO DE ENGENHARIA DE AUTOMAÇÃO</v>
          </cell>
          <cell r="E3385" t="str">
            <v>H</v>
          </cell>
        </row>
        <row r="3386">
          <cell r="C3386">
            <v>3003365</v>
          </cell>
          <cell r="D3386" t="str">
            <v>SERVIÇO DE ENGENHARIA DE AUTOMAÇÃO</v>
          </cell>
          <cell r="E3386" t="str">
            <v>MES</v>
          </cell>
        </row>
        <row r="3387">
          <cell r="C3387">
            <v>3003366</v>
          </cell>
          <cell r="D3387" t="str">
            <v>ENG,ARQUIT,URB,PAISAG,DECOR INTERIORES</v>
          </cell>
          <cell r="E3387" t="str">
            <v>SV</v>
          </cell>
        </row>
        <row r="3388">
          <cell r="C3388">
            <v>3003367</v>
          </cell>
          <cell r="D3388" t="str">
            <v>SERVIÇO DE ENGENHARIA DE AUTOMAÇÃO</v>
          </cell>
          <cell r="E3388" t="str">
            <v>UN</v>
          </cell>
        </row>
        <row r="3389">
          <cell r="C3389">
            <v>3003368</v>
          </cell>
          <cell r="D3389" t="str">
            <v>SERVIÇO DE ENROLAMENTO DE MOTOR ELÉTRICO</v>
          </cell>
          <cell r="E3389" t="str">
            <v>UN</v>
          </cell>
        </row>
        <row r="3390">
          <cell r="C3390">
            <v>3003369</v>
          </cell>
          <cell r="D3390" t="str">
            <v>SERVIÇO DE FITOTECNIA</v>
          </cell>
          <cell r="E3390" t="str">
            <v>UN</v>
          </cell>
        </row>
        <row r="3391">
          <cell r="C3391">
            <v>3003370</v>
          </cell>
          <cell r="D3391" t="str">
            <v>SERVIÇO DE FLORESTAMENTO</v>
          </cell>
          <cell r="E3391" t="str">
            <v>HA</v>
          </cell>
        </row>
        <row r="3392">
          <cell r="C3392">
            <v>3003371</v>
          </cell>
          <cell r="D3392" t="str">
            <v>SERVIÇO DE FLORESTAMENTO</v>
          </cell>
          <cell r="E3392" t="str">
            <v>M2</v>
          </cell>
        </row>
        <row r="3393">
          <cell r="C3393">
            <v>3003372</v>
          </cell>
          <cell r="D3393" t="str">
            <v>SERVIÇO DE FLORESTAMENTO</v>
          </cell>
          <cell r="E3393" t="str">
            <v>Mil</v>
          </cell>
        </row>
        <row r="3394">
          <cell r="C3394">
            <v>3003373</v>
          </cell>
          <cell r="D3394" t="str">
            <v>FLOREST,DESMANT,ADUBACAO,ROCA,CONTR PRAG</v>
          </cell>
          <cell r="E3394" t="str">
            <v>SV</v>
          </cell>
        </row>
        <row r="3395">
          <cell r="C3395">
            <v>3003374</v>
          </cell>
          <cell r="D3395" t="str">
            <v>SERVIÇO DE FLORESTAMENTO</v>
          </cell>
          <cell r="E3395" t="str">
            <v>TO</v>
          </cell>
        </row>
        <row r="3396">
          <cell r="C3396">
            <v>3003375</v>
          </cell>
          <cell r="D3396" t="str">
            <v>SERVIÇO DE FLORESTAMENTO</v>
          </cell>
          <cell r="E3396" t="str">
            <v>UN</v>
          </cell>
        </row>
        <row r="3397">
          <cell r="C3397">
            <v>3003376</v>
          </cell>
          <cell r="D3397" t="str">
            <v>SERVIÇO DE FOTOGRAFIA AÉREA</v>
          </cell>
          <cell r="E3397" t="str">
            <v>DIA</v>
          </cell>
        </row>
        <row r="3398">
          <cell r="C3398">
            <v>3003377</v>
          </cell>
          <cell r="D3398" t="str">
            <v>SERVIÇO DE FOTOGRAFIA AÉREA</v>
          </cell>
          <cell r="E3398" t="str">
            <v>UN</v>
          </cell>
        </row>
        <row r="3399">
          <cell r="C3399">
            <v>3003378</v>
          </cell>
          <cell r="D3399" t="str">
            <v>SERVIÇO DE FOTOGRAMETRIA</v>
          </cell>
          <cell r="E3399" t="str">
            <v>HA</v>
          </cell>
        </row>
        <row r="3400">
          <cell r="C3400">
            <v>3003379</v>
          </cell>
          <cell r="D3400" t="str">
            <v>SERVIÇO DE FOTOGRAMETRIA</v>
          </cell>
          <cell r="E3400" t="str">
            <v>KM2</v>
          </cell>
        </row>
        <row r="3401">
          <cell r="C3401">
            <v>3003380</v>
          </cell>
          <cell r="D3401" t="str">
            <v>SERVIÇO DE FOTOGRAMETRIA</v>
          </cell>
          <cell r="E3401" t="str">
            <v>KMS</v>
          </cell>
        </row>
        <row r="3402">
          <cell r="C3402">
            <v>3003381</v>
          </cell>
          <cell r="D3402" t="str">
            <v>SERVIÇO DE FOTOGRAMETRIA</v>
          </cell>
          <cell r="E3402" t="str">
            <v>UN</v>
          </cell>
        </row>
        <row r="3403">
          <cell r="C3403">
            <v>3003382</v>
          </cell>
          <cell r="D3403" t="str">
            <v>SERVIÃ‡O DE FUNDAÃ‡ÃƒO DIVERSAS</v>
          </cell>
          <cell r="E3403" t="str">
            <v>KG</v>
          </cell>
        </row>
        <row r="3404">
          <cell r="C3404">
            <v>3003383</v>
          </cell>
          <cell r="D3404" t="str">
            <v>SERVIÃ‡O DE FUNDAÃ‡ÃƒO DIVERSAS</v>
          </cell>
          <cell r="E3404" t="str">
            <v>M</v>
          </cell>
        </row>
        <row r="3405">
          <cell r="C3405">
            <v>3003384</v>
          </cell>
          <cell r="D3405" t="str">
            <v>SERVIÃ‡O DE FUNDAÃ‡ÃƒO DIVERSAS</v>
          </cell>
          <cell r="E3405" t="str">
            <v>M2</v>
          </cell>
        </row>
        <row r="3406">
          <cell r="C3406">
            <v>3003385</v>
          </cell>
          <cell r="D3406" t="str">
            <v>SERVIÃ‡O DE FUNDAÃ‡ÃƒO DIVERSAS</v>
          </cell>
          <cell r="E3406" t="str">
            <v>M3</v>
          </cell>
        </row>
        <row r="3407">
          <cell r="C3407">
            <v>3003386</v>
          </cell>
          <cell r="D3407" t="str">
            <v>DEMAIS SERVICOS DE CONSTRUCAO CIVIL</v>
          </cell>
          <cell r="E3407" t="str">
            <v>SV</v>
          </cell>
        </row>
        <row r="3408">
          <cell r="C3408">
            <v>3003387</v>
          </cell>
          <cell r="D3408" t="str">
            <v>SERVIÃ‡O DE FUNDAÃ‡ÃƒO DIVERSAS</v>
          </cell>
          <cell r="E3408" t="str">
            <v>UN</v>
          </cell>
        </row>
        <row r="3409">
          <cell r="C3409">
            <v>3003388</v>
          </cell>
          <cell r="D3409" t="str">
            <v>SERVIÇO DE GERENCIAMENTO DE COMBUSTIVEL</v>
          </cell>
          <cell r="E3409" t="str">
            <v>M3</v>
          </cell>
        </row>
        <row r="3410">
          <cell r="C3410">
            <v>3003389</v>
          </cell>
          <cell r="D3410" t="str">
            <v>GERENC, FISCALIZACAO E ACOMPANHAMENTO</v>
          </cell>
          <cell r="E3410" t="str">
            <v>SV</v>
          </cell>
        </row>
        <row r="3411">
          <cell r="C3411">
            <v>3003390</v>
          </cell>
          <cell r="D3411" t="str">
            <v>GERENC, FISCALIZACAO E ACOMPANHAMENTO</v>
          </cell>
          <cell r="E3411" t="str">
            <v>SV</v>
          </cell>
        </row>
        <row r="3412">
          <cell r="C3412">
            <v>3003391</v>
          </cell>
          <cell r="D3412" t="str">
            <v>SERVIÇO DE GERENCIAMENTO DE COMBUSTIVEL</v>
          </cell>
          <cell r="E3412" t="str">
            <v>UN</v>
          </cell>
        </row>
        <row r="3413">
          <cell r="C3413">
            <v>3003392</v>
          </cell>
          <cell r="D3413" t="str">
            <v>SERVIÇO DE GESTÃO</v>
          </cell>
          <cell r="E3413" t="str">
            <v>H</v>
          </cell>
        </row>
        <row r="3414">
          <cell r="C3414">
            <v>3003393</v>
          </cell>
          <cell r="D3414" t="str">
            <v>SERVIÇO DE GESTÃO</v>
          </cell>
          <cell r="E3414" t="str">
            <v>MES</v>
          </cell>
        </row>
        <row r="3415">
          <cell r="C3415">
            <v>3003394</v>
          </cell>
          <cell r="D3415" t="str">
            <v>ADM GERAL,DE BENS,NEGOCIOS DE TERCEIROS</v>
          </cell>
          <cell r="E3415" t="str">
            <v>SV</v>
          </cell>
        </row>
        <row r="3416">
          <cell r="C3416">
            <v>3003395</v>
          </cell>
          <cell r="D3416" t="str">
            <v>SERVIÇO DE GESTÃO</v>
          </cell>
          <cell r="E3416" t="str">
            <v>UN</v>
          </cell>
        </row>
        <row r="3417">
          <cell r="C3417">
            <v>3003396</v>
          </cell>
          <cell r="D3417" t="str">
            <v>SERVICO; ICAMENTO; CARGA</v>
          </cell>
          <cell r="E3417" t="str">
            <v>DIA</v>
          </cell>
        </row>
        <row r="3418">
          <cell r="C3418">
            <v>3003397</v>
          </cell>
          <cell r="D3418" t="str">
            <v>SERVICO ICAMENTO CARGA; HORA</v>
          </cell>
          <cell r="E3418" t="str">
            <v>H</v>
          </cell>
        </row>
        <row r="3419">
          <cell r="C3419">
            <v>3003398</v>
          </cell>
          <cell r="D3419" t="str">
            <v>SERVICO DE ICAMENTO DE CARGA - KS</v>
          </cell>
          <cell r="E3419" t="str">
            <v>KMS</v>
          </cell>
        </row>
        <row r="3420">
          <cell r="C3420">
            <v>3003399</v>
          </cell>
          <cell r="D3420" t="str">
            <v>SERVICO ICAMENTO CARGA; MESES</v>
          </cell>
          <cell r="E3420" t="str">
            <v>MES</v>
          </cell>
        </row>
        <row r="3421">
          <cell r="C3421">
            <v>3003400</v>
          </cell>
          <cell r="D3421" t="str">
            <v>MOV MAT,CARGA,DESCARGA,ARRUM,ARMAZENAM</v>
          </cell>
          <cell r="E3421" t="str">
            <v>SV</v>
          </cell>
        </row>
        <row r="3422">
          <cell r="C3422">
            <v>3003401</v>
          </cell>
          <cell r="D3422" t="str">
            <v>MOV MAT,CARGA,DESCARGA,ARRUM,ARMAZENAM</v>
          </cell>
          <cell r="E3422" t="str">
            <v>SV</v>
          </cell>
        </row>
        <row r="3423">
          <cell r="C3423">
            <v>3003402</v>
          </cell>
          <cell r="D3423" t="str">
            <v>SERVICO; ICAMENTO; CARGA; TON</v>
          </cell>
          <cell r="E3423" t="str">
            <v>TO</v>
          </cell>
        </row>
        <row r="3424">
          <cell r="C3424">
            <v>3003403</v>
          </cell>
          <cell r="D3424" t="str">
            <v>SERVICO ICAMENTO CARGA; UNIDADE</v>
          </cell>
          <cell r="E3424" t="str">
            <v>UN</v>
          </cell>
        </row>
        <row r="3425">
          <cell r="C3425">
            <v>3003404</v>
          </cell>
          <cell r="D3425" t="str">
            <v>INSP,CALIB,BALANC D MAQS,EQUIP,PNEUS</v>
          </cell>
          <cell r="E3425" t="str">
            <v>SV</v>
          </cell>
        </row>
        <row r="3426">
          <cell r="C3426">
            <v>3003405</v>
          </cell>
          <cell r="D3426" t="str">
            <v>SERVIÃ‡O DE INSPEÃ‡ÃƒO A LASER</v>
          </cell>
          <cell r="E3426" t="str">
            <v>UN</v>
          </cell>
        </row>
        <row r="3427">
          <cell r="C3427">
            <v>3003406</v>
          </cell>
          <cell r="D3427" t="str">
            <v>INSP,CALIB,BALANC D MAQS,EQUIP,PNEUS</v>
          </cell>
          <cell r="E3427" t="str">
            <v>SV</v>
          </cell>
        </row>
        <row r="3428">
          <cell r="C3428">
            <v>3003407</v>
          </cell>
          <cell r="D3428" t="str">
            <v>INSP,CALIB,BALANC D MAQS,EQUIP,PNEUS</v>
          </cell>
          <cell r="E3428" t="str">
            <v>SV</v>
          </cell>
        </row>
        <row r="3429">
          <cell r="C3429">
            <v>3003408</v>
          </cell>
          <cell r="D3429" t="str">
            <v>SERVIÃ‡O DE INSPEÃ‡ÃƒO DE NÃ�VEL DE RUÃ�</v>
          </cell>
          <cell r="E3429" t="str">
            <v>UN</v>
          </cell>
        </row>
        <row r="3430">
          <cell r="C3430">
            <v>3003409</v>
          </cell>
          <cell r="D3430" t="str">
            <v>INSP,CALIB,BALANC D MAQS,EQUIP,PNEUS</v>
          </cell>
          <cell r="E3430" t="str">
            <v>SV</v>
          </cell>
        </row>
        <row r="3431">
          <cell r="C3431">
            <v>3003410</v>
          </cell>
          <cell r="D3431" t="str">
            <v>SERVIÃ‡O DE INSPEÃ‡ÃƒO DE TUBULAÃ‡ÃƒO</v>
          </cell>
          <cell r="E3431" t="str">
            <v>UN</v>
          </cell>
        </row>
        <row r="3432">
          <cell r="C3432">
            <v>3003411</v>
          </cell>
          <cell r="D3432" t="str">
            <v>INSP,CALIB,BALANC D MAQS,EQUIP,PNEUS</v>
          </cell>
          <cell r="E3432" t="str">
            <v>SV</v>
          </cell>
        </row>
        <row r="3433">
          <cell r="C3433">
            <v>3003412</v>
          </cell>
          <cell r="D3433" t="str">
            <v>SERVIÃ‡O DE INSPEÃ‡ÃƒO EM METAL</v>
          </cell>
          <cell r="E3433" t="str">
            <v>UN</v>
          </cell>
        </row>
        <row r="3434">
          <cell r="C3434">
            <v>3003413</v>
          </cell>
          <cell r="D3434" t="str">
            <v>SERVIÃ‡O DE INSPEÃ‡ÃƒO POR ULTRA SOM</v>
          </cell>
          <cell r="E3434" t="str">
            <v>M</v>
          </cell>
        </row>
        <row r="3435">
          <cell r="C3435">
            <v>3003414</v>
          </cell>
          <cell r="D3435" t="str">
            <v>SUPORTE TECNICO EM INFORMATICA</v>
          </cell>
          <cell r="E3435" t="str">
            <v>SV</v>
          </cell>
        </row>
        <row r="3436">
          <cell r="C3436">
            <v>3003415</v>
          </cell>
          <cell r="D3436" t="str">
            <v>SERVIÃ‡O DE INSPEÃ‡ÃƒO POR ULTRA SOM</v>
          </cell>
          <cell r="E3436" t="str">
            <v>UN</v>
          </cell>
        </row>
        <row r="3437">
          <cell r="C3437">
            <v>3003416</v>
          </cell>
          <cell r="D3437" t="str">
            <v>SERVIÇO DE INSPEÇÃO TERMOGRÁFICA</v>
          </cell>
          <cell r="E3437" t="str">
            <v>UN</v>
          </cell>
        </row>
        <row r="3438">
          <cell r="C3438">
            <v>3003417</v>
          </cell>
          <cell r="D3438" t="str">
            <v>SERVIÇO DE INSTALAÇÃO E MONTAGEM PAINÉIS</v>
          </cell>
          <cell r="E3438" t="str">
            <v>H</v>
          </cell>
        </row>
        <row r="3439">
          <cell r="C3439">
            <v>3003418</v>
          </cell>
          <cell r="D3439" t="str">
            <v>INSTAL,MONT DE PROD,PC,EQUIPS DE OBRAS</v>
          </cell>
          <cell r="E3439" t="str">
            <v>SV</v>
          </cell>
        </row>
        <row r="3440">
          <cell r="C3440">
            <v>3003419</v>
          </cell>
          <cell r="D3440" t="str">
            <v>SERVIÇO DE INSTALAÇÃO E MONTAGEM PAINÉIS</v>
          </cell>
          <cell r="E3440" t="str">
            <v>UN</v>
          </cell>
        </row>
        <row r="3441">
          <cell r="C3441">
            <v>3003420</v>
          </cell>
          <cell r="D3441" t="str">
            <v>SERVIÇO DE INVESTIGAÇÃO GEOTÉCNICA</v>
          </cell>
          <cell r="E3441" t="str">
            <v>DIA</v>
          </cell>
        </row>
        <row r="3442">
          <cell r="C3442">
            <v>3003421</v>
          </cell>
          <cell r="D3442" t="str">
            <v>SERVIÇO DE INVESTIGAÇÃO GEOTÉCNICA</v>
          </cell>
          <cell r="E3442" t="str">
            <v>H</v>
          </cell>
        </row>
        <row r="3443">
          <cell r="C3443">
            <v>3003422</v>
          </cell>
          <cell r="D3443" t="str">
            <v>SERVIÇO DE INVESTIGAÇÃO GEOTÉCNICA</v>
          </cell>
          <cell r="E3443" t="str">
            <v>HA</v>
          </cell>
        </row>
        <row r="3444">
          <cell r="C3444">
            <v>3003423</v>
          </cell>
          <cell r="D3444" t="str">
            <v>SERVIÇO DE INVESTIGAÇÃO GEOTÉCNICA</v>
          </cell>
          <cell r="E3444" t="str">
            <v>KG</v>
          </cell>
        </row>
        <row r="3445">
          <cell r="C3445">
            <v>3003424</v>
          </cell>
          <cell r="D3445" t="str">
            <v>SERVIÇO DE INVESTIGAÇÃO GEOTÉCNICA</v>
          </cell>
          <cell r="E3445" t="str">
            <v>KMS</v>
          </cell>
        </row>
        <row r="3446">
          <cell r="C3446">
            <v>3003425</v>
          </cell>
          <cell r="D3446" t="str">
            <v>SERVIÇO DE INVESTIGAÇÃO GEOTÉCNICA</v>
          </cell>
          <cell r="E3446" t="str">
            <v>M</v>
          </cell>
        </row>
        <row r="3447">
          <cell r="C3447">
            <v>3003426</v>
          </cell>
          <cell r="D3447" t="str">
            <v>SERVIÇO DE INVESTIGAÇÃO GEOTÉCNICA</v>
          </cell>
          <cell r="E3447" t="str">
            <v>M3</v>
          </cell>
        </row>
        <row r="3448">
          <cell r="C3448">
            <v>3003427</v>
          </cell>
          <cell r="D3448" t="str">
            <v>SERVIÇO DE INVESTIGAÇÃO GEOTÉCNICA</v>
          </cell>
          <cell r="E3448" t="str">
            <v>MES</v>
          </cell>
        </row>
        <row r="3449">
          <cell r="C3449">
            <v>3003428</v>
          </cell>
          <cell r="D3449" t="str">
            <v>AEROFOTOGR,CARTOGRAF,MAP,GEOL,IMAG SAT</v>
          </cell>
          <cell r="E3449" t="str">
            <v>SV</v>
          </cell>
        </row>
        <row r="3450">
          <cell r="C3450">
            <v>3003429</v>
          </cell>
          <cell r="D3450" t="str">
            <v>SERVIÇO DE INVESTIGAÇÃO GEOTÉCNICA</v>
          </cell>
          <cell r="E3450" t="str">
            <v>UN</v>
          </cell>
        </row>
        <row r="3451">
          <cell r="C3451">
            <v>3003430</v>
          </cell>
          <cell r="D3451" t="str">
            <v>SERVIÇO DE JARDINAGEM</v>
          </cell>
          <cell r="E3451" t="str">
            <v>H</v>
          </cell>
        </row>
        <row r="3452">
          <cell r="C3452">
            <v>3003431</v>
          </cell>
          <cell r="D3452" t="str">
            <v>SERVIÇO DE JARDINAGEM</v>
          </cell>
          <cell r="E3452" t="str">
            <v>KG</v>
          </cell>
        </row>
        <row r="3453">
          <cell r="C3453">
            <v>3003432</v>
          </cell>
          <cell r="D3453" t="str">
            <v>SERVIÇO DE JARDINAGEM</v>
          </cell>
          <cell r="E3453" t="str">
            <v>M</v>
          </cell>
        </row>
        <row r="3454">
          <cell r="C3454">
            <v>3003433</v>
          </cell>
          <cell r="D3454" t="str">
            <v>SERVIÇO DE JARDINAGEM</v>
          </cell>
          <cell r="E3454" t="str">
            <v>M2</v>
          </cell>
        </row>
        <row r="3455">
          <cell r="C3455">
            <v>3003434</v>
          </cell>
          <cell r="D3455" t="str">
            <v>SERVIÇO DE JARDINAGEM</v>
          </cell>
          <cell r="E3455" t="str">
            <v>M3</v>
          </cell>
        </row>
        <row r="3456">
          <cell r="C3456">
            <v>3003435</v>
          </cell>
          <cell r="D3456" t="str">
            <v>SERVIÇO DE JARDINAGEM</v>
          </cell>
          <cell r="E3456" t="str">
            <v>MES</v>
          </cell>
        </row>
        <row r="3457">
          <cell r="C3457">
            <v>3003436</v>
          </cell>
          <cell r="D3457" t="str">
            <v>DECORACAO E JARDINAGEM</v>
          </cell>
          <cell r="E3457" t="str">
            <v>SV</v>
          </cell>
        </row>
        <row r="3458">
          <cell r="C3458">
            <v>3003437</v>
          </cell>
          <cell r="D3458" t="str">
            <v>SERVIÇO DE JARDINAGEM</v>
          </cell>
          <cell r="E3458" t="str">
            <v>UN</v>
          </cell>
        </row>
        <row r="3459">
          <cell r="C3459">
            <v>3003438</v>
          </cell>
          <cell r="D3459" t="str">
            <v>AEROFOTOGR,CARTOGRAF,MAP,GEOL,IMAG SAT</v>
          </cell>
          <cell r="E3459" t="str">
            <v>SV</v>
          </cell>
        </row>
        <row r="3460">
          <cell r="C3460">
            <v>3003439</v>
          </cell>
          <cell r="D3460" t="str">
            <v>SERVIÇO DE LIMPEZA DE FOSSA E TUBULAÇÃO</v>
          </cell>
          <cell r="E3460" t="str">
            <v>DIA</v>
          </cell>
        </row>
        <row r="3461">
          <cell r="C3461">
            <v>3003440</v>
          </cell>
          <cell r="D3461" t="str">
            <v>SERVIÇO DE LIMPEZA DE FOSSA E TUBULAÇÃO</v>
          </cell>
          <cell r="E3461" t="str">
            <v>H</v>
          </cell>
        </row>
        <row r="3462">
          <cell r="C3462">
            <v>3003441</v>
          </cell>
          <cell r="D3462" t="str">
            <v>SERVIÇO DE LIMPEZA DE FOSSA E TUBULAÇÃO</v>
          </cell>
          <cell r="E3462" t="str">
            <v>KG</v>
          </cell>
        </row>
        <row r="3463">
          <cell r="C3463">
            <v>3003442</v>
          </cell>
          <cell r="D3463" t="str">
            <v>SERVIÇO DE LIMPEZA DE FOSSA E TUBULAÇÃO</v>
          </cell>
          <cell r="E3463" t="str">
            <v>M</v>
          </cell>
        </row>
        <row r="3464">
          <cell r="C3464">
            <v>3003443</v>
          </cell>
          <cell r="D3464" t="str">
            <v>SERVIÇO DE LIMPEZA DE FOSSA E TUBULAÇÃO</v>
          </cell>
          <cell r="E3464" t="str">
            <v>M3</v>
          </cell>
        </row>
        <row r="3465">
          <cell r="C3465">
            <v>3003444</v>
          </cell>
          <cell r="D3465" t="str">
            <v>SERV D LIMP DECORRENTES D OBRIG LEGAIS</v>
          </cell>
          <cell r="E3465" t="str">
            <v>SV</v>
          </cell>
        </row>
        <row r="3466">
          <cell r="C3466">
            <v>3003445</v>
          </cell>
          <cell r="D3466" t="str">
            <v>LIMPEZA EM GERAL</v>
          </cell>
          <cell r="E3466" t="str">
            <v>SV</v>
          </cell>
        </row>
        <row r="3467">
          <cell r="C3467">
            <v>3003446</v>
          </cell>
          <cell r="D3467" t="str">
            <v>SERVIÇO DE LIMPEZA DE FOSSA E TUBULAÇÃO</v>
          </cell>
          <cell r="E3467" t="str">
            <v>UN</v>
          </cell>
        </row>
        <row r="3468">
          <cell r="C3468">
            <v>3003447</v>
          </cell>
          <cell r="D3468" t="str">
            <v>LIMP D MAQ,VEICULO,EQUIP,MOTOR,ELEVADOR</v>
          </cell>
          <cell r="E3468" t="str">
            <v>SV</v>
          </cell>
        </row>
        <row r="3469">
          <cell r="C3469">
            <v>3003448</v>
          </cell>
          <cell r="D3469" t="str">
            <v>SERVIÇO DE LIMPEZA DE VEÍCULO LEVE</v>
          </cell>
          <cell r="E3469" t="str">
            <v>UN</v>
          </cell>
        </row>
        <row r="3470">
          <cell r="C3470">
            <v>3003449</v>
          </cell>
          <cell r="D3470" t="str">
            <v>SERVIÇO DE LIMPEZA DE VEÍCULO PESADO</v>
          </cell>
          <cell r="E3470" t="str">
            <v>H</v>
          </cell>
        </row>
        <row r="3471">
          <cell r="C3471">
            <v>3003450</v>
          </cell>
          <cell r="D3471" t="str">
            <v>SERVIÇO DE LIMPEZA DE VEÍCULO PESADO</v>
          </cell>
          <cell r="E3471" t="str">
            <v>M2</v>
          </cell>
        </row>
        <row r="3472">
          <cell r="C3472">
            <v>3003451</v>
          </cell>
          <cell r="D3472" t="str">
            <v>SERVIÇO DE LIMPEZA DE VEÍCULO PESADO</v>
          </cell>
          <cell r="E3472" t="str">
            <v>MES</v>
          </cell>
        </row>
        <row r="3473">
          <cell r="C3473">
            <v>3003452</v>
          </cell>
          <cell r="D3473" t="str">
            <v>SERVIÇO DE LIMPEZA DE VEÍCULO PESADO</v>
          </cell>
          <cell r="E3473" t="str">
            <v>SV</v>
          </cell>
        </row>
        <row r="3474">
          <cell r="C3474">
            <v>3003453</v>
          </cell>
          <cell r="D3474" t="str">
            <v>SERVIÇO DE LIMPEZA DE VEÍCULO PESADO</v>
          </cell>
          <cell r="E3474" t="str">
            <v>UN</v>
          </cell>
        </row>
        <row r="3475">
          <cell r="C3475">
            <v>3003454</v>
          </cell>
          <cell r="D3475" t="str">
            <v>SERVIÃ‡O DE LIMPEZA INDUSTRIAL MECANIZAD</v>
          </cell>
          <cell r="E3475" t="str">
            <v>H</v>
          </cell>
        </row>
        <row r="3476">
          <cell r="C3476">
            <v>3003455</v>
          </cell>
          <cell r="D3476" t="str">
            <v>SERVIÃ‡O DE LIMPEZA INDUSTRIAL MECANIZAD</v>
          </cell>
          <cell r="E3476" t="str">
            <v>KMS</v>
          </cell>
        </row>
        <row r="3477">
          <cell r="C3477">
            <v>3003456</v>
          </cell>
          <cell r="D3477" t="str">
            <v>SERVIÇO DE LIMPEZA INDUSTRIAL MECANIZADA</v>
          </cell>
          <cell r="E3477" t="str">
            <v>M</v>
          </cell>
        </row>
        <row r="3478">
          <cell r="C3478">
            <v>3003457</v>
          </cell>
          <cell r="D3478" t="str">
            <v>SERVIÃ‡O DE LIMPEZA INDUSTRIAL MECANIZAD</v>
          </cell>
          <cell r="E3478" t="str">
            <v>M2</v>
          </cell>
        </row>
        <row r="3479">
          <cell r="C3479">
            <v>3003458</v>
          </cell>
          <cell r="D3479" t="str">
            <v>SERVIÃ‡O DE LIMPEZA INDUSTRIAL MECANIZAD</v>
          </cell>
          <cell r="E3479" t="str">
            <v>MES</v>
          </cell>
        </row>
        <row r="3480">
          <cell r="C3480">
            <v>3003459</v>
          </cell>
          <cell r="D3480" t="str">
            <v>LIMP D MAQ,VEICULO,EQUIP,MOTOR,ELEVADOR</v>
          </cell>
          <cell r="E3480" t="str">
            <v>SV</v>
          </cell>
        </row>
        <row r="3481">
          <cell r="C3481">
            <v>3003460</v>
          </cell>
          <cell r="D3481" t="str">
            <v>SERVIÃ‡O DE LIMPEZA INDUSTRIAL MECANIZAD</v>
          </cell>
          <cell r="E3481" t="str">
            <v>UN</v>
          </cell>
        </row>
        <row r="3482">
          <cell r="C3482">
            <v>3003461</v>
          </cell>
          <cell r="D3482" t="str">
            <v>SERVIÇO DE LOCAÇÃO BEBEROURO</v>
          </cell>
          <cell r="E3482" t="str">
            <v>UN</v>
          </cell>
        </row>
        <row r="3483">
          <cell r="C3483">
            <v>3003462</v>
          </cell>
          <cell r="D3483" t="str">
            <v>SERVIÇO DE LOCAÇÃO CAFETEIRA</v>
          </cell>
          <cell r="E3483" t="str">
            <v>MES</v>
          </cell>
        </row>
        <row r="3484">
          <cell r="C3484">
            <v>3003463</v>
          </cell>
          <cell r="D3484" t="str">
            <v>LOC D VEICULOS,BENS MOVEIS S CESSAO MDO</v>
          </cell>
          <cell r="E3484" t="str">
            <v>SV</v>
          </cell>
        </row>
        <row r="3485">
          <cell r="C3485">
            <v>3003464</v>
          </cell>
          <cell r="D3485" t="str">
            <v>SERV LOCACAO CAFETEIRA</v>
          </cell>
          <cell r="E3485" t="str">
            <v>UN</v>
          </cell>
        </row>
        <row r="3486">
          <cell r="C3486">
            <v>3003465</v>
          </cell>
          <cell r="D3486" t="str">
            <v>SERVIÇO DE LOCAÇÃO DE ANDAIME</v>
          </cell>
          <cell r="E3486" t="str">
            <v>DIA</v>
          </cell>
        </row>
        <row r="3487">
          <cell r="C3487">
            <v>3003466</v>
          </cell>
          <cell r="D3487" t="str">
            <v>SERVIÃ‡O DE LOCAÃ‡ÃƒO DE ANDAIME</v>
          </cell>
          <cell r="E3487" t="str">
            <v>KMS</v>
          </cell>
        </row>
        <row r="3488">
          <cell r="C3488">
            <v>3003467</v>
          </cell>
          <cell r="D3488" t="str">
            <v>SERVIÃ‡O DE LOCAÃ‡ÃƒO DE ANDAIME</v>
          </cell>
          <cell r="E3488" t="str">
            <v>M</v>
          </cell>
        </row>
        <row r="3489">
          <cell r="C3489">
            <v>3003468</v>
          </cell>
          <cell r="D3489" t="str">
            <v>SERVIÃ‡O DE LOCAÃ‡ÃƒO DE ANDAIME</v>
          </cell>
          <cell r="E3489" t="str">
            <v>M2</v>
          </cell>
        </row>
        <row r="3490">
          <cell r="C3490">
            <v>3003469</v>
          </cell>
          <cell r="D3490" t="str">
            <v>SERVIÃ‡O DE LOCAÃ‡ÃƒO DE ANDAIME</v>
          </cell>
          <cell r="E3490" t="str">
            <v>M3</v>
          </cell>
        </row>
        <row r="3491">
          <cell r="C3491">
            <v>3003470</v>
          </cell>
          <cell r="D3491" t="str">
            <v>SERVIÇO DE LOCAÇÃO DE ANDAIME</v>
          </cell>
          <cell r="E3491" t="str">
            <v>MES</v>
          </cell>
        </row>
        <row r="3492">
          <cell r="C3492">
            <v>3003471</v>
          </cell>
          <cell r="D3492" t="str">
            <v>SERVIÃ‡O DE LOCAÃ‡ÃƒO DE ANDAIME</v>
          </cell>
          <cell r="E3492" t="str">
            <v>SV</v>
          </cell>
        </row>
        <row r="3493">
          <cell r="C3493">
            <v>3003472</v>
          </cell>
          <cell r="D3493" t="str">
            <v>SERVIÃ‡O DE LOCAÃ‡ÃƒO DE ANDAIME</v>
          </cell>
          <cell r="E3493" t="str">
            <v>UN</v>
          </cell>
        </row>
        <row r="3494">
          <cell r="C3494">
            <v>3003473</v>
          </cell>
          <cell r="D3494" t="str">
            <v>SERVIÇO DE LOCAÇÃO DE HANGAR</v>
          </cell>
          <cell r="E3494" t="str">
            <v>ANO</v>
          </cell>
        </row>
        <row r="3495">
          <cell r="C3495">
            <v>3003474</v>
          </cell>
          <cell r="D3495" t="str">
            <v>SERVIÇO DE LOCAÇÃO DE HANGAR</v>
          </cell>
          <cell r="E3495" t="str">
            <v>MES</v>
          </cell>
        </row>
        <row r="3496">
          <cell r="C3496">
            <v>3003475</v>
          </cell>
          <cell r="D3496" t="str">
            <v>LOCACAO/ARRENDAMENTO DE IMOVEIS</v>
          </cell>
          <cell r="E3496" t="str">
            <v>SV</v>
          </cell>
        </row>
        <row r="3497">
          <cell r="C3497">
            <v>3003476</v>
          </cell>
          <cell r="D3497" t="str">
            <v>SERVIÇO DE LOCAÇÃO DE HANGAR</v>
          </cell>
          <cell r="E3497" t="str">
            <v>TO</v>
          </cell>
        </row>
        <row r="3498">
          <cell r="C3498">
            <v>3003477</v>
          </cell>
          <cell r="D3498" t="str">
            <v>SERVIÇO DE LOCAÇÃO DE HANGAR</v>
          </cell>
          <cell r="E3498" t="str">
            <v>UN</v>
          </cell>
        </row>
        <row r="3499">
          <cell r="C3499">
            <v>3003478</v>
          </cell>
          <cell r="D3499" t="str">
            <v>SERVIÇO DE LOCAÇÃO DE MULTIFUNCIONAIS</v>
          </cell>
          <cell r="E3499" t="str">
            <v>DIA</v>
          </cell>
        </row>
        <row r="3500">
          <cell r="C3500">
            <v>3003479</v>
          </cell>
          <cell r="D3500" t="str">
            <v>SERVIÇO DE LOCAÇÃO DE MULTIFUNCIONAIS</v>
          </cell>
          <cell r="E3500" t="str">
            <v>MES</v>
          </cell>
        </row>
        <row r="3501">
          <cell r="C3501">
            <v>3003480</v>
          </cell>
          <cell r="D3501" t="str">
            <v>LOC D VEICULOS,BENS MOVEIS S CESSAO MDO</v>
          </cell>
          <cell r="E3501" t="str">
            <v>SV</v>
          </cell>
        </row>
        <row r="3502">
          <cell r="C3502">
            <v>3003481</v>
          </cell>
          <cell r="D3502" t="str">
            <v>SERVIÇO DE LOCAÇÃO DE MULTIFUNCIONAIS</v>
          </cell>
          <cell r="E3502" t="str">
            <v>UN</v>
          </cell>
        </row>
        <row r="3503">
          <cell r="C3503">
            <v>3003482</v>
          </cell>
          <cell r="D3503" t="str">
            <v>SERVIÇO DE LOCAÇÃO DE SILO</v>
          </cell>
          <cell r="E3503" t="str">
            <v>UN</v>
          </cell>
        </row>
        <row r="3504">
          <cell r="C3504">
            <v>3003483</v>
          </cell>
          <cell r="D3504" t="str">
            <v>SERVIÇO DE LOCAÇÃO DE TRATOR AGRÍCOLA</v>
          </cell>
          <cell r="E3504" t="str">
            <v>UN</v>
          </cell>
        </row>
        <row r="3505">
          <cell r="C3505">
            <v>3003484</v>
          </cell>
          <cell r="D3505" t="str">
            <v>LOC D VEICULOS,BENS MOVEIS S CESSAO MDO</v>
          </cell>
          <cell r="E3505" t="str">
            <v>SV</v>
          </cell>
        </row>
        <row r="3506">
          <cell r="C3506">
            <v>3003485</v>
          </cell>
          <cell r="D3506" t="str">
            <v>LOC D VEICULOS,BENS MOVEIS S CESSAO MDO</v>
          </cell>
          <cell r="E3506" t="str">
            <v>SV</v>
          </cell>
        </row>
        <row r="3507">
          <cell r="C3507">
            <v>3003486</v>
          </cell>
          <cell r="D3507" t="str">
            <v>SERVIÇO DE MANURENÇÃO DE COMPRESSOR</v>
          </cell>
          <cell r="E3507" t="str">
            <v>DIA</v>
          </cell>
        </row>
        <row r="3508">
          <cell r="C3508">
            <v>3003487</v>
          </cell>
          <cell r="D3508" t="str">
            <v>SERVIÇO DE MANURENÇÃO DE COMPRESSOR</v>
          </cell>
          <cell r="E3508" t="str">
            <v>H</v>
          </cell>
        </row>
        <row r="3509">
          <cell r="C3509">
            <v>3003488</v>
          </cell>
          <cell r="D3509" t="str">
            <v>SERVIÇO DE MANURENÇÃO DE COMPRESSOR</v>
          </cell>
          <cell r="E3509" t="str">
            <v>KMS</v>
          </cell>
        </row>
        <row r="3510">
          <cell r="C3510">
            <v>3003489</v>
          </cell>
          <cell r="D3510" t="str">
            <v>SERVIÇO DE MANURENÇÃO DE COMPRESSOR</v>
          </cell>
          <cell r="E3510" t="str">
            <v>PC</v>
          </cell>
        </row>
        <row r="3511">
          <cell r="C3511">
            <v>3003490</v>
          </cell>
          <cell r="D3511" t="str">
            <v>SERVIÇO DE MANURENÇÃO DE COMPRESSOR</v>
          </cell>
          <cell r="E3511" t="str">
            <v>SV</v>
          </cell>
        </row>
        <row r="3512">
          <cell r="C3512">
            <v>3003491</v>
          </cell>
          <cell r="D3512" t="str">
            <v>SERVIÇO DE MANURENÇÃO DE COMPRESSOR</v>
          </cell>
          <cell r="E3512" t="str">
            <v>UN</v>
          </cell>
        </row>
        <row r="3513">
          <cell r="C3513">
            <v>3003492</v>
          </cell>
          <cell r="D3513" t="str">
            <v>SERVIÇO DE MANUTENÇÃO BOBINA ELÉTRICA</v>
          </cell>
          <cell r="E3513" t="str">
            <v>UN</v>
          </cell>
        </row>
        <row r="3514">
          <cell r="C3514">
            <v>3003493</v>
          </cell>
          <cell r="D3514" t="str">
            <v>SERVIÇO DE MANUTENÇÃO DE ÁREAS VERDES</v>
          </cell>
          <cell r="E3514" t="str">
            <v>DIA</v>
          </cell>
        </row>
        <row r="3515">
          <cell r="C3515">
            <v>3003494</v>
          </cell>
          <cell r="D3515" t="str">
            <v>SERVIÇO DE MANUTENÇÃO DE ÁREAS VERDES</v>
          </cell>
          <cell r="E3515" t="str">
            <v>H</v>
          </cell>
        </row>
        <row r="3516">
          <cell r="C3516">
            <v>3003495</v>
          </cell>
          <cell r="D3516" t="str">
            <v>SERVIÇO DE MANUTENÇÃO DE ÁREAS VERDES</v>
          </cell>
          <cell r="E3516" t="str">
            <v>HA</v>
          </cell>
        </row>
        <row r="3517">
          <cell r="C3517">
            <v>3003496</v>
          </cell>
          <cell r="D3517" t="str">
            <v>SERVIÇO DE MANUTENÇÃO DE ÁREAS VERDES</v>
          </cell>
          <cell r="E3517" t="str">
            <v>KG</v>
          </cell>
        </row>
        <row r="3518">
          <cell r="C3518">
            <v>3003497</v>
          </cell>
          <cell r="D3518" t="str">
            <v>SERVIÇO DE MANUTENÇÃO DE ÁREAS VERDES</v>
          </cell>
          <cell r="E3518" t="str">
            <v>KMS</v>
          </cell>
        </row>
        <row r="3519">
          <cell r="C3519">
            <v>3003498</v>
          </cell>
          <cell r="D3519" t="str">
            <v>SERVIÇO DE MANUTENÇÃO DE ÁREAS VERDES</v>
          </cell>
          <cell r="E3519" t="str">
            <v>M</v>
          </cell>
        </row>
        <row r="3520">
          <cell r="C3520">
            <v>3003499</v>
          </cell>
          <cell r="D3520" t="str">
            <v>SERVIÇO DE MANUTENÇÃO DE ÁREAS VERDES</v>
          </cell>
          <cell r="E3520" t="str">
            <v>M2</v>
          </cell>
        </row>
        <row r="3521">
          <cell r="C3521">
            <v>3003500</v>
          </cell>
          <cell r="D3521" t="str">
            <v>SERVIÇO DE MANUTENÇÃO DE ÁREAS VERDES</v>
          </cell>
          <cell r="E3521" t="str">
            <v>M3</v>
          </cell>
        </row>
        <row r="3522">
          <cell r="C3522">
            <v>3003501</v>
          </cell>
          <cell r="D3522" t="str">
            <v>SERVIÇO DE MANUTENÇÃO DE ÁREAS VERDES</v>
          </cell>
          <cell r="E3522" t="str">
            <v>MES</v>
          </cell>
        </row>
        <row r="3523">
          <cell r="C3523">
            <v>3003502</v>
          </cell>
          <cell r="D3523" t="str">
            <v>MANUT D VIAS,LOGRADOUROS PUBLICOS E CONG</v>
          </cell>
          <cell r="E3523" t="str">
            <v>SV</v>
          </cell>
        </row>
        <row r="3524">
          <cell r="C3524">
            <v>3003503</v>
          </cell>
          <cell r="D3524" t="str">
            <v>SERVIÇO DE MANUTENÇÃO DE ÁREAS VERDES</v>
          </cell>
          <cell r="E3524" t="str">
            <v>TO</v>
          </cell>
        </row>
        <row r="3525">
          <cell r="C3525">
            <v>3003504</v>
          </cell>
          <cell r="D3525" t="str">
            <v>SERVIÇO DE MANUTENÇÃO DE ÁREAS VERDES</v>
          </cell>
          <cell r="E3525" t="str">
            <v>UN</v>
          </cell>
        </row>
        <row r="3526">
          <cell r="C3526">
            <v>3003505</v>
          </cell>
          <cell r="D3526" t="str">
            <v>SERVIÇO DE MANUTENÇÃO DE BOMBA EM GERAL</v>
          </cell>
          <cell r="E3526" t="str">
            <v>DIA</v>
          </cell>
        </row>
        <row r="3527">
          <cell r="C3527">
            <v>3003506</v>
          </cell>
          <cell r="D3527" t="str">
            <v>SERVIÇO DE MANUTENÇÃO DE BOMBA EM GERAL</v>
          </cell>
          <cell r="E3527" t="str">
            <v>H</v>
          </cell>
        </row>
        <row r="3528">
          <cell r="C3528">
            <v>3003507</v>
          </cell>
          <cell r="D3528" t="str">
            <v>SERVIÇO DE MANUTENÇÃO DE BOMBA EM GERAL</v>
          </cell>
          <cell r="E3528" t="str">
            <v>JG</v>
          </cell>
        </row>
        <row r="3529">
          <cell r="C3529">
            <v>3003508</v>
          </cell>
          <cell r="D3529" t="str">
            <v>MANUT CONSERV MAQS,EQUIPS MOV,PC,MOTORES</v>
          </cell>
          <cell r="E3529" t="str">
            <v>SV</v>
          </cell>
        </row>
        <row r="3530">
          <cell r="C3530">
            <v>3003509</v>
          </cell>
          <cell r="D3530" t="str">
            <v>SERVIÇO DE MANUTENÇÃO DE BOMBA EM GERAL</v>
          </cell>
          <cell r="E3530" t="str">
            <v>L</v>
          </cell>
        </row>
        <row r="3531">
          <cell r="C3531">
            <v>3003510</v>
          </cell>
          <cell r="D3531" t="str">
            <v>SERVIÇO DE MANUTENÇÃO DE BOMBA EM GERAL</v>
          </cell>
          <cell r="E3531" t="str">
            <v>M</v>
          </cell>
        </row>
        <row r="3532">
          <cell r="C3532">
            <v>3003511</v>
          </cell>
          <cell r="D3532" t="str">
            <v>SERVIÇO DE MANUTENÇÃO DE BOMBA EM GERAL</v>
          </cell>
          <cell r="E3532" t="str">
            <v>M2</v>
          </cell>
        </row>
        <row r="3533">
          <cell r="C3533">
            <v>3003512</v>
          </cell>
          <cell r="D3533" t="str">
            <v>SERVIÇO DE MANUTENÇÃO DE BOMBA EM GERAL</v>
          </cell>
          <cell r="E3533" t="str">
            <v>PC</v>
          </cell>
        </row>
        <row r="3534">
          <cell r="C3534">
            <v>3003513</v>
          </cell>
          <cell r="D3534" t="str">
            <v>SERVIÇO DE MANUTENÇÃO DE BOMBA EM GERAL</v>
          </cell>
          <cell r="E3534" t="str">
            <v>SV</v>
          </cell>
        </row>
        <row r="3535">
          <cell r="C3535">
            <v>3003514</v>
          </cell>
          <cell r="D3535" t="str">
            <v>SERVIÇO DE MANUTENÇÃO DE BOMBA EM GERAL</v>
          </cell>
          <cell r="E3535" t="str">
            <v>UN</v>
          </cell>
        </row>
        <row r="3536">
          <cell r="C3536">
            <v>3003515</v>
          </cell>
          <cell r="D3536" t="str">
            <v>SERVIÇO DE MANUTENÇÃO DE EFVM</v>
          </cell>
          <cell r="E3536" t="str">
            <v>H</v>
          </cell>
        </row>
        <row r="3537">
          <cell r="C3537">
            <v>3003516</v>
          </cell>
          <cell r="D3537" t="str">
            <v>SERVIÇO DE MANUTENÇÃO DE EFVM</v>
          </cell>
          <cell r="E3537" t="str">
            <v>M</v>
          </cell>
        </row>
        <row r="3538">
          <cell r="C3538">
            <v>3003517</v>
          </cell>
          <cell r="D3538" t="str">
            <v>SERVIÇO DE MANUTENÇÃO DE EFVM</v>
          </cell>
          <cell r="E3538" t="str">
            <v>M2</v>
          </cell>
        </row>
        <row r="3539">
          <cell r="C3539">
            <v>3003518</v>
          </cell>
          <cell r="D3539" t="str">
            <v>SERVIÇO DE MANUTENÇÃO DE EFVM</v>
          </cell>
          <cell r="E3539" t="str">
            <v>M3</v>
          </cell>
        </row>
        <row r="3540">
          <cell r="C3540">
            <v>3003519</v>
          </cell>
          <cell r="D3540" t="str">
            <v>MANUT D VIAS,LOGRADOUROS PUBLICOS E CONG</v>
          </cell>
          <cell r="E3540" t="str">
            <v>SV</v>
          </cell>
        </row>
        <row r="3541">
          <cell r="C3541">
            <v>3003520</v>
          </cell>
          <cell r="D3541" t="str">
            <v>SERVIÇO DE MANUTENÇÃO DE EFVM</v>
          </cell>
          <cell r="E3541" t="str">
            <v>UN</v>
          </cell>
        </row>
        <row r="3542">
          <cell r="C3542">
            <v>3003521</v>
          </cell>
          <cell r="D3542" t="str">
            <v>SERVIÇO DE MANUTENÇÃO DE EMBARCAÇÃO</v>
          </cell>
          <cell r="E3542" t="str">
            <v>UN</v>
          </cell>
        </row>
        <row r="3543">
          <cell r="C3543">
            <v>3003522</v>
          </cell>
          <cell r="D3543" t="str">
            <v>SERVIÇO DE MANUTENÇÃO DE PAINEL ELÉTRICO</v>
          </cell>
          <cell r="E3543" t="str">
            <v>H</v>
          </cell>
        </row>
        <row r="3544">
          <cell r="C3544">
            <v>3003523</v>
          </cell>
          <cell r="D3544" t="str">
            <v>SERVIÇO DE MANUTENÇÃO DE PAINEL ELÉTRICO</v>
          </cell>
          <cell r="E3544" t="str">
            <v>KMS</v>
          </cell>
        </row>
        <row r="3545">
          <cell r="C3545">
            <v>3003524</v>
          </cell>
          <cell r="D3545" t="str">
            <v>SERVIÇO DE MANUTENÇÃO DE PAINEL ELÉTRICO</v>
          </cell>
          <cell r="E3545" t="str">
            <v>M</v>
          </cell>
        </row>
        <row r="3546">
          <cell r="C3546">
            <v>3003525</v>
          </cell>
          <cell r="D3546" t="str">
            <v>SERVIÇO DE MANUTENÇÃO DE PAINEL ELÉTRICO</v>
          </cell>
          <cell r="E3546" t="str">
            <v>M2</v>
          </cell>
        </row>
        <row r="3547">
          <cell r="C3547">
            <v>3003526</v>
          </cell>
          <cell r="D3547" t="str">
            <v>MANUT CONSERV MAQS,EQUIPS MOV,PC,MOTORES</v>
          </cell>
          <cell r="E3547" t="str">
            <v>SV</v>
          </cell>
        </row>
        <row r="3548">
          <cell r="C3548">
            <v>3003527</v>
          </cell>
          <cell r="D3548" t="str">
            <v>SERVIÇO DE MANUTENÇÃO DE PAINEL ELÉTRICO</v>
          </cell>
          <cell r="E3548" t="str">
            <v>UN</v>
          </cell>
        </row>
        <row r="3549">
          <cell r="C3549">
            <v>3003528</v>
          </cell>
          <cell r="D3549" t="str">
            <v>SERVIÇO DE MANUTENÇÃO DE RADIADOR</v>
          </cell>
          <cell r="E3549" t="str">
            <v>PC</v>
          </cell>
        </row>
        <row r="3550">
          <cell r="C3550">
            <v>3003529</v>
          </cell>
          <cell r="D3550" t="str">
            <v>SERVIÇO DE MANUTENÇÃO DE RADIADOR</v>
          </cell>
          <cell r="E3550" t="str">
            <v>UN</v>
          </cell>
        </row>
        <row r="3551">
          <cell r="C3551">
            <v>3003530</v>
          </cell>
          <cell r="D3551" t="str">
            <v>MANUT CONSERV MAQS,EQUIPS MOV,PC,MOTORES</v>
          </cell>
          <cell r="E3551" t="str">
            <v>SV</v>
          </cell>
        </row>
        <row r="3552">
          <cell r="C3552">
            <v>3003531</v>
          </cell>
          <cell r="D3552" t="str">
            <v>MANUT CONSERV MAQS,EQUIPS MOV,PC,MOTORES</v>
          </cell>
          <cell r="E3552" t="str">
            <v>SV</v>
          </cell>
        </row>
        <row r="3553">
          <cell r="C3553">
            <v>3003532</v>
          </cell>
          <cell r="D3553" t="str">
            <v>MANUT CONSERV MAQS,EQUIPS MOV,PC,MOTORES</v>
          </cell>
          <cell r="E3553" t="str">
            <v>SV</v>
          </cell>
        </row>
        <row r="3554">
          <cell r="C3554">
            <v>3003533</v>
          </cell>
          <cell r="D3554" t="str">
            <v>MANUT CONSERV MAQS,EQUIPS MOV,PC,MOTORES</v>
          </cell>
          <cell r="E3554" t="str">
            <v>SV</v>
          </cell>
        </row>
        <row r="3555">
          <cell r="C3555">
            <v>3003534</v>
          </cell>
          <cell r="D3555" t="str">
            <v>MANUT CONSERV MAQS,EQUIPS MOV,PC,MOTORES</v>
          </cell>
          <cell r="E3555" t="str">
            <v>SV</v>
          </cell>
        </row>
        <row r="3556">
          <cell r="C3556">
            <v>3003535</v>
          </cell>
          <cell r="D3556" t="str">
            <v>MANUT CONSERV MAQS,EQUIPS MOV,PC,MOTORES</v>
          </cell>
          <cell r="E3556" t="str">
            <v>SV</v>
          </cell>
        </row>
        <row r="3557">
          <cell r="C3557">
            <v>3003536</v>
          </cell>
          <cell r="D3557" t="str">
            <v>SERVIÇO DE MANUTENÇÃO DE RECUPERADORA</v>
          </cell>
          <cell r="E3557" t="str">
            <v>UN</v>
          </cell>
        </row>
        <row r="3558">
          <cell r="C3558">
            <v>3003537</v>
          </cell>
          <cell r="D3558" t="str">
            <v>SERVIÇO DE MANUTENÇÃO DE SUBESTAÇÃO</v>
          </cell>
          <cell r="E3558" t="str">
            <v>L</v>
          </cell>
        </row>
        <row r="3559">
          <cell r="C3559">
            <v>3003538</v>
          </cell>
          <cell r="D3559" t="str">
            <v>SERVIÇO DE MANUTENÇÃO DE SUBESTAÇÃO</v>
          </cell>
          <cell r="E3559" t="str">
            <v>M</v>
          </cell>
        </row>
        <row r="3560">
          <cell r="C3560">
            <v>3003539</v>
          </cell>
          <cell r="D3560" t="str">
            <v>SERVIÇO DE MANUTENÇÃO DE SUBESTAÇÃO</v>
          </cell>
          <cell r="E3560" t="str">
            <v>M2</v>
          </cell>
        </row>
        <row r="3561">
          <cell r="C3561">
            <v>3003540</v>
          </cell>
          <cell r="D3561" t="str">
            <v>SERVIÇO DE MANUTENÇÃO DE SUBESTAÇÃO</v>
          </cell>
          <cell r="E3561" t="str">
            <v>SV</v>
          </cell>
        </row>
        <row r="3562">
          <cell r="C3562">
            <v>3003541</v>
          </cell>
          <cell r="D3562" t="str">
            <v>SERVIÇO DE MANUTENÇÃO DE SUBESTAÇÃO</v>
          </cell>
          <cell r="E3562" t="str">
            <v>UN</v>
          </cell>
        </row>
        <row r="3563">
          <cell r="C3563">
            <v>3003542</v>
          </cell>
          <cell r="D3563" t="str">
            <v>SERVIÇO DE MANUTENÇÃO DE TALHA</v>
          </cell>
          <cell r="E3563" t="str">
            <v>H</v>
          </cell>
        </row>
        <row r="3564">
          <cell r="C3564">
            <v>3003543</v>
          </cell>
          <cell r="D3564" t="str">
            <v>SERVIÇO DE MANUTENÇÃO DE TALHA</v>
          </cell>
          <cell r="E3564" t="str">
            <v>PC</v>
          </cell>
        </row>
        <row r="3565">
          <cell r="C3565">
            <v>3003544</v>
          </cell>
          <cell r="D3565" t="str">
            <v>SERVIÇO DE MANUTENÇÃO DE TALHA</v>
          </cell>
          <cell r="E3565" t="str">
            <v>SV</v>
          </cell>
        </row>
        <row r="3566">
          <cell r="C3566">
            <v>3003545</v>
          </cell>
          <cell r="D3566" t="str">
            <v>SERVIÇO DE MANUTENÇÃO DE TALHA</v>
          </cell>
          <cell r="E3566" t="str">
            <v>UN</v>
          </cell>
        </row>
        <row r="3567">
          <cell r="C3567">
            <v>3003546</v>
          </cell>
          <cell r="D3567" t="str">
            <v>SERVIÇO DE MANUTENÇÃO DE TRANSFORMADOR</v>
          </cell>
          <cell r="E3567" t="str">
            <v>L</v>
          </cell>
        </row>
        <row r="3568">
          <cell r="C3568">
            <v>3003547</v>
          </cell>
          <cell r="D3568" t="str">
            <v>MANUT CONSERV MAQS,EQUIPS MOV,PC,MOTORES</v>
          </cell>
          <cell r="E3568" t="str">
            <v>SV</v>
          </cell>
        </row>
        <row r="3569">
          <cell r="C3569">
            <v>3003548</v>
          </cell>
          <cell r="D3569" t="str">
            <v>SERVIÇO DE MANUTENÇÃO DE TRANSFORMADOR</v>
          </cell>
          <cell r="E3569" t="str">
            <v>SV</v>
          </cell>
        </row>
        <row r="3570">
          <cell r="C3570">
            <v>3003549</v>
          </cell>
          <cell r="D3570" t="str">
            <v>SERVIÇO DE MANUTENÇÃO DE TRANSFORMADOR</v>
          </cell>
          <cell r="E3570" t="str">
            <v>UN</v>
          </cell>
        </row>
        <row r="3571">
          <cell r="C3571">
            <v>3003550</v>
          </cell>
          <cell r="D3571" t="str">
            <v>SERVIÇO DE MANUTENÇÃO DE TUBO E DUTO</v>
          </cell>
          <cell r="E3571" t="str">
            <v>M</v>
          </cell>
        </row>
        <row r="3572">
          <cell r="C3572">
            <v>3003551</v>
          </cell>
          <cell r="D3572" t="str">
            <v>SERVIÇO DE MANUTENÇÃO DE TUBO E DUTO</v>
          </cell>
          <cell r="E3572" t="str">
            <v>PC</v>
          </cell>
        </row>
        <row r="3573">
          <cell r="C3573">
            <v>3003552</v>
          </cell>
          <cell r="D3573" t="str">
            <v>MANUT CONSERV MAQS,EQUIPS MOV,PC,MOTORES</v>
          </cell>
          <cell r="E3573" t="str">
            <v>SV</v>
          </cell>
        </row>
        <row r="3574">
          <cell r="C3574">
            <v>3003553</v>
          </cell>
          <cell r="D3574" t="str">
            <v>SERVIÇO DE MANUTENÇÃO DE TUBO E DUTO</v>
          </cell>
          <cell r="E3574" t="str">
            <v>UN</v>
          </cell>
        </row>
        <row r="3575">
          <cell r="C3575">
            <v>3003554</v>
          </cell>
          <cell r="D3575" t="str">
            <v>SERVIÇO DE MANUTENÇÃO DE TURBINA</v>
          </cell>
          <cell r="E3575" t="str">
            <v>H</v>
          </cell>
        </row>
        <row r="3576">
          <cell r="C3576">
            <v>3003555</v>
          </cell>
          <cell r="D3576" t="str">
            <v>MANUT CONSERV MAQS,EQUIPS MOV,PC,MOTORES</v>
          </cell>
          <cell r="E3576" t="str">
            <v>SV</v>
          </cell>
        </row>
        <row r="3577">
          <cell r="C3577">
            <v>3003556</v>
          </cell>
          <cell r="D3577" t="str">
            <v>MANUT CONSERV MAQS,EQUIPS MOV,PC,MOTORES</v>
          </cell>
          <cell r="E3577" t="str">
            <v>SV</v>
          </cell>
        </row>
        <row r="3578">
          <cell r="C3578">
            <v>3003557</v>
          </cell>
          <cell r="D3578" t="str">
            <v>SERVIÇO DE MANUTENÇÃO DE TURBINA</v>
          </cell>
          <cell r="E3578" t="str">
            <v>UN</v>
          </cell>
        </row>
        <row r="3579">
          <cell r="C3579">
            <v>3003558</v>
          </cell>
          <cell r="D3579" t="str">
            <v>SERVIÇO DE MANUTENÇÃO DE TV E VÍDEO</v>
          </cell>
          <cell r="E3579" t="str">
            <v>UN</v>
          </cell>
        </row>
        <row r="3580">
          <cell r="C3580">
            <v>3003559</v>
          </cell>
          <cell r="D3580" t="str">
            <v>MANUT CONSERV MAQS,EQUIPS MOV,PC,MOTORES</v>
          </cell>
          <cell r="E3580" t="str">
            <v>SV</v>
          </cell>
        </row>
        <row r="3581">
          <cell r="C3581">
            <v>3003560</v>
          </cell>
          <cell r="D3581" t="str">
            <v>SERVIÇO DE MANUTENÇÃO DE VEÍCULO LEVE</v>
          </cell>
          <cell r="E3581" t="str">
            <v>UN</v>
          </cell>
        </row>
        <row r="3582">
          <cell r="C3582">
            <v>3003561</v>
          </cell>
          <cell r="D3582" t="str">
            <v>SERVIÇO DE MANUTENÇÃO HIDRÁULICA</v>
          </cell>
          <cell r="E3582" t="str">
            <v>DIA</v>
          </cell>
        </row>
        <row r="3583">
          <cell r="C3583">
            <v>3003562</v>
          </cell>
          <cell r="D3583" t="str">
            <v>SERVIÇO DE MANUTENÇÃO HIDRÁULICA</v>
          </cell>
          <cell r="E3583" t="str">
            <v>JG</v>
          </cell>
        </row>
        <row r="3584">
          <cell r="C3584">
            <v>3003563</v>
          </cell>
          <cell r="D3584" t="str">
            <v>SERVIÇO DE MANUTENÇÃO HIDRÁULICA</v>
          </cell>
          <cell r="E3584" t="str">
            <v>KG</v>
          </cell>
        </row>
        <row r="3585">
          <cell r="C3585">
            <v>3003564</v>
          </cell>
          <cell r="D3585" t="str">
            <v>SERVIÇO DE MANUTENÇÃO HIDRÁULICA</v>
          </cell>
          <cell r="E3585" t="str">
            <v>L</v>
          </cell>
        </row>
        <row r="3586">
          <cell r="C3586">
            <v>3003565</v>
          </cell>
          <cell r="D3586" t="str">
            <v>SERVIÇO DE MANUTENÇÃO HIDRÁULICA</v>
          </cell>
          <cell r="E3586" t="str">
            <v>M</v>
          </cell>
        </row>
        <row r="3587">
          <cell r="C3587">
            <v>3003566</v>
          </cell>
          <cell r="D3587" t="str">
            <v>SERVIÇO DE MANUTENÇÃO HIDRÁULICA</v>
          </cell>
          <cell r="E3587" t="str">
            <v>M2</v>
          </cell>
        </row>
        <row r="3588">
          <cell r="C3588">
            <v>3003567</v>
          </cell>
          <cell r="D3588" t="str">
            <v>SERVIÇO DE MANUTENÇÃO HIDRÁULICA</v>
          </cell>
          <cell r="E3588" t="str">
            <v>M3</v>
          </cell>
        </row>
        <row r="3589">
          <cell r="C3589">
            <v>3003568</v>
          </cell>
          <cell r="D3589" t="str">
            <v>SERVIÇO DE MANUTENÇÃO HIDRÁULICA</v>
          </cell>
          <cell r="E3589" t="str">
            <v>MES</v>
          </cell>
        </row>
        <row r="3590">
          <cell r="C3590">
            <v>3003569</v>
          </cell>
          <cell r="D3590" t="str">
            <v>SERVIÇO DE MANUTENÇÃO HIDRÁULICA</v>
          </cell>
          <cell r="E3590" t="str">
            <v>PC</v>
          </cell>
        </row>
        <row r="3591">
          <cell r="C3591">
            <v>3003570</v>
          </cell>
          <cell r="D3591" t="str">
            <v>SERVIÇO DE MANUTENÇÃO HIDRÁULICA</v>
          </cell>
          <cell r="E3591" t="str">
            <v>SEM</v>
          </cell>
        </row>
        <row r="3592">
          <cell r="C3592">
            <v>3003571</v>
          </cell>
          <cell r="D3592" t="str">
            <v>COLOC,INSTAL TAPETE E CONG,MANUT PREDIAL</v>
          </cell>
          <cell r="E3592" t="str">
            <v>SV</v>
          </cell>
        </row>
        <row r="3593">
          <cell r="C3593">
            <v>3003572</v>
          </cell>
          <cell r="D3593" t="str">
            <v>SERVIÇO DE MANUTENÇÃO HIDRÁULICA</v>
          </cell>
          <cell r="E3593" t="str">
            <v>UN</v>
          </cell>
        </row>
        <row r="3594">
          <cell r="C3594">
            <v>3003573</v>
          </cell>
          <cell r="D3594" t="str">
            <v>SERVIÃ‡O DE MANUTENÃ‡ÃƒO PREDIAL CIVIL</v>
          </cell>
          <cell r="E3594" t="str">
            <v>CX</v>
          </cell>
        </row>
        <row r="3595">
          <cell r="C3595">
            <v>3003574</v>
          </cell>
          <cell r="D3595" t="str">
            <v>SERVIÃ‡O DE MANUTENÃ‡ÃƒO PREDIAL CIVIL</v>
          </cell>
          <cell r="E3595" t="str">
            <v>DIA</v>
          </cell>
        </row>
        <row r="3596">
          <cell r="C3596">
            <v>3003575</v>
          </cell>
          <cell r="D3596" t="str">
            <v>SERVIÇO DE MANUTENÇÃO PREDIAL CIVIL</v>
          </cell>
          <cell r="E3596" t="str">
            <v>dm3</v>
          </cell>
        </row>
        <row r="3597">
          <cell r="C3597">
            <v>3003576</v>
          </cell>
          <cell r="D3597" t="str">
            <v>SERVIÃ‡O DE MANUTENÃ‡ÃƒO PREDIAL CIVIL</v>
          </cell>
          <cell r="E3597" t="str">
            <v>GAL</v>
          </cell>
        </row>
        <row r="3598">
          <cell r="C3598">
            <v>3003577</v>
          </cell>
          <cell r="D3598" t="str">
            <v>SERVIÃ‡O DE MANUTENÃ‡ÃƒO PREDIAL CIVIL</v>
          </cell>
          <cell r="E3598" t="str">
            <v>H</v>
          </cell>
        </row>
        <row r="3599">
          <cell r="C3599">
            <v>3003578</v>
          </cell>
          <cell r="D3599" t="str">
            <v>SERVIÃ‡O DE MANUTENÃ‡ÃƒO PREDIAL CIVIL</v>
          </cell>
          <cell r="E3599" t="str">
            <v>HA</v>
          </cell>
        </row>
        <row r="3600">
          <cell r="C3600">
            <v>3003579</v>
          </cell>
          <cell r="D3600" t="str">
            <v>SERVIÃ‡O DE MANUTENÃ‡ÃƒO PREDIAL CIVIL</v>
          </cell>
          <cell r="E3600" t="str">
            <v>JG</v>
          </cell>
        </row>
        <row r="3601">
          <cell r="C3601">
            <v>3003580</v>
          </cell>
          <cell r="D3601" t="str">
            <v>SERVIÃ‡O DE MANUTENÃ‡ÃƒO PREDIAL CIVIL</v>
          </cell>
          <cell r="E3601" t="str">
            <v>KG</v>
          </cell>
        </row>
        <row r="3602">
          <cell r="C3602">
            <v>3003581</v>
          </cell>
          <cell r="D3602" t="str">
            <v>SERVIÃ‡O DE MANUTENÃ‡ÃƒO PREDIAL CIVIL</v>
          </cell>
          <cell r="E3602" t="str">
            <v>KMS</v>
          </cell>
        </row>
        <row r="3603">
          <cell r="C3603">
            <v>3003582</v>
          </cell>
          <cell r="D3603" t="str">
            <v>SERVIÇO DE MANUTENÇÃO PREDIAL CIVIL</v>
          </cell>
          <cell r="E3603" t="str">
            <v>KWH</v>
          </cell>
        </row>
        <row r="3604">
          <cell r="C3604">
            <v>3003583</v>
          </cell>
          <cell r="D3604" t="str">
            <v>SERVIÃ‡O DE MANUTENÃ‡ÃƒO PREDIAL CIVIL</v>
          </cell>
          <cell r="E3604" t="str">
            <v>L</v>
          </cell>
        </row>
        <row r="3605">
          <cell r="C3605">
            <v>3003584</v>
          </cell>
          <cell r="D3605" t="str">
            <v>SERVIÃ‡O DE MANUTENÃ‡ÃƒO PREDIAL CIVIL</v>
          </cell>
          <cell r="E3605" t="str">
            <v>M</v>
          </cell>
        </row>
        <row r="3606">
          <cell r="C3606">
            <v>3003585</v>
          </cell>
          <cell r="D3606" t="str">
            <v>SERVIÇO DE MANUTENÇÃO PREDIAL CIVIL</v>
          </cell>
          <cell r="E3606" t="str">
            <v>M/S</v>
          </cell>
        </row>
        <row r="3607">
          <cell r="C3607">
            <v>3003586</v>
          </cell>
          <cell r="D3607" t="str">
            <v>SERVIÃ‡O DE MANUTENÃ‡ÃƒO PREDIAL CIVIL</v>
          </cell>
          <cell r="E3607" t="str">
            <v>M2</v>
          </cell>
        </row>
        <row r="3608">
          <cell r="C3608">
            <v>3003587</v>
          </cell>
          <cell r="D3608" t="str">
            <v>SERVIÃ‡O DE MANUTENÃ‡ÃƒO PREDIAL CIVIL</v>
          </cell>
          <cell r="E3608" t="str">
            <v>M3</v>
          </cell>
        </row>
        <row r="3609">
          <cell r="C3609">
            <v>3003588</v>
          </cell>
          <cell r="D3609" t="str">
            <v>SERVIÃ‡O DE MANUTENÃ‡ÃƒO PREDIAL CIVIL</v>
          </cell>
          <cell r="E3609" t="str">
            <v>MES</v>
          </cell>
        </row>
        <row r="3610">
          <cell r="C3610">
            <v>3003589</v>
          </cell>
          <cell r="D3610" t="str">
            <v>SERVIÇO DE MANUTENÇÃO PREDIAL CIVIL</v>
          </cell>
          <cell r="E3610" t="str">
            <v>ML</v>
          </cell>
        </row>
        <row r="3611">
          <cell r="C3611">
            <v>3003590</v>
          </cell>
          <cell r="D3611" t="str">
            <v>SERVIÃ‡O DE MANUTENÃ‡ÃƒO PREDIAL CIVIL</v>
          </cell>
          <cell r="E3611" t="str">
            <v>PC</v>
          </cell>
        </row>
        <row r="3612">
          <cell r="C3612">
            <v>3003591</v>
          </cell>
          <cell r="D3612" t="str">
            <v>SERVIÃ‡O DE MANUTENÃ‡ÃƒO PREDIAL CIVIL</v>
          </cell>
          <cell r="E3612" t="str">
            <v>SEM</v>
          </cell>
        </row>
        <row r="3613">
          <cell r="C3613">
            <v>3003592</v>
          </cell>
          <cell r="D3613" t="str">
            <v>REFOR EDIFICIOS,ESTRADAS,PONTES,PORTOS</v>
          </cell>
          <cell r="E3613" t="str">
            <v>SV</v>
          </cell>
        </row>
        <row r="3614">
          <cell r="C3614">
            <v>3003593</v>
          </cell>
          <cell r="D3614" t="str">
            <v>SERVIÃ‡O DE MANUTENÃ‡ÃƒO PREDIAL CIVIL</v>
          </cell>
          <cell r="E3614" t="str">
            <v>TO</v>
          </cell>
        </row>
        <row r="3615">
          <cell r="C3615">
            <v>3003594</v>
          </cell>
          <cell r="D3615" t="str">
            <v>SERVIÃ‡O DE MANUTENÃ‡ÃƒO PREDIAL CIVIL</v>
          </cell>
          <cell r="E3615" t="str">
            <v>UN</v>
          </cell>
        </row>
        <row r="3616">
          <cell r="C3616">
            <v>3003595</v>
          </cell>
          <cell r="D3616" t="str">
            <v>SERVIÇO DE MANUTENÇÃO PREDIAL ELÉTRICA</v>
          </cell>
          <cell r="E3616" t="str">
            <v>DIA</v>
          </cell>
        </row>
        <row r="3617">
          <cell r="C3617">
            <v>3003596</v>
          </cell>
          <cell r="D3617" t="str">
            <v>SERVIÇO DE MANUTENÇÃO PREDIAL ELÉTRICA</v>
          </cell>
          <cell r="E3617" t="str">
            <v>H</v>
          </cell>
        </row>
        <row r="3618">
          <cell r="C3618">
            <v>3003597</v>
          </cell>
          <cell r="D3618" t="str">
            <v>SERVIÇO DE MANUTENÇÃO PREDIAL ELÉTRICA</v>
          </cell>
          <cell r="E3618" t="str">
            <v>JG</v>
          </cell>
        </row>
        <row r="3619">
          <cell r="C3619">
            <v>3003598</v>
          </cell>
          <cell r="D3619" t="str">
            <v>SERVIÇO DE MANUTENÇÃO PREDIAL ELÉTRICA</v>
          </cell>
          <cell r="E3619" t="str">
            <v>KG</v>
          </cell>
        </row>
        <row r="3620">
          <cell r="C3620">
            <v>3003599</v>
          </cell>
          <cell r="D3620" t="str">
            <v>SERVIÇO DE MANUTENÇÃO PREDIAL ELÉTRICA</v>
          </cell>
          <cell r="E3620" t="str">
            <v>KMS</v>
          </cell>
        </row>
        <row r="3621">
          <cell r="C3621">
            <v>3003600</v>
          </cell>
          <cell r="D3621" t="str">
            <v>SERVIÇO DE MANUTENÇÃO PREDIAL ELÉTRICA</v>
          </cell>
          <cell r="E3621" t="str">
            <v>M</v>
          </cell>
        </row>
        <row r="3622">
          <cell r="C3622">
            <v>3003601</v>
          </cell>
          <cell r="D3622" t="str">
            <v>SERVIÇO DE MANUTENÇÃO PREDIAL ELÉTRICA</v>
          </cell>
          <cell r="E3622" t="str">
            <v>M2</v>
          </cell>
        </row>
        <row r="3623">
          <cell r="C3623">
            <v>3003602</v>
          </cell>
          <cell r="D3623" t="str">
            <v>SERVIÇO DE MANUTENÇÃO PREDIAL ELÉTRICA</v>
          </cell>
          <cell r="E3623" t="str">
            <v>M3</v>
          </cell>
        </row>
        <row r="3624">
          <cell r="C3624">
            <v>3003603</v>
          </cell>
          <cell r="D3624" t="str">
            <v>SERVIÇO DE MANUTENÇÃO PREDIAL ELÉTRICA</v>
          </cell>
          <cell r="E3624" t="str">
            <v>MES</v>
          </cell>
        </row>
        <row r="3625">
          <cell r="C3625">
            <v>3003604</v>
          </cell>
          <cell r="D3625" t="str">
            <v>SERVIÇO DE MANUTENÇÃO PREDIAL ELÉTRICA</v>
          </cell>
          <cell r="E3625" t="str">
            <v>ML</v>
          </cell>
        </row>
        <row r="3626">
          <cell r="C3626">
            <v>3003605</v>
          </cell>
          <cell r="D3626" t="str">
            <v>SERVIÇO DE MANUTENÇÃO PREDIAL ELÉTRICA</v>
          </cell>
          <cell r="E3626" t="str">
            <v>PC</v>
          </cell>
        </row>
        <row r="3627">
          <cell r="C3627">
            <v>3003606</v>
          </cell>
          <cell r="D3627" t="str">
            <v>SERVIÇO DE MANUTENÇÃO PREDIAL ELÉTRICA</v>
          </cell>
          <cell r="E3627" t="str">
            <v>SV</v>
          </cell>
        </row>
        <row r="3628">
          <cell r="C3628">
            <v>3003607</v>
          </cell>
          <cell r="D3628" t="str">
            <v>SERVIÇO DE MANUTENÇÃO PREDIAL ELÉTRICA</v>
          </cell>
          <cell r="E3628" t="str">
            <v>UN</v>
          </cell>
        </row>
        <row r="3629">
          <cell r="C3629">
            <v>3003608</v>
          </cell>
          <cell r="D3629" t="str">
            <v>SERVIÇO DE MONITORAMENTO AMBIENTAL</v>
          </cell>
          <cell r="E3629" t="str">
            <v>DIA</v>
          </cell>
        </row>
        <row r="3630">
          <cell r="C3630">
            <v>3003609</v>
          </cell>
          <cell r="D3630" t="str">
            <v>SERVIÇO DE MONITORAMENTO AMBIENTAL</v>
          </cell>
          <cell r="E3630" t="str">
            <v>H</v>
          </cell>
        </row>
        <row r="3631">
          <cell r="C3631">
            <v>3003610</v>
          </cell>
          <cell r="D3631" t="str">
            <v>SERVIÇO DE MONITORAMENTO AMBIENTAL</v>
          </cell>
          <cell r="E3631" t="str">
            <v>HA</v>
          </cell>
        </row>
        <row r="3632">
          <cell r="C3632">
            <v>3003611</v>
          </cell>
          <cell r="D3632" t="str">
            <v>SERVIÇO DE MONITORAMENTO AMBIENTAL</v>
          </cell>
          <cell r="E3632" t="str">
            <v>KG</v>
          </cell>
        </row>
        <row r="3633">
          <cell r="C3633">
            <v>3003612</v>
          </cell>
          <cell r="D3633" t="str">
            <v>SERVIÇO DE MONITORAMENTO AMBIENTAL</v>
          </cell>
          <cell r="E3633" t="str">
            <v>M</v>
          </cell>
        </row>
        <row r="3634">
          <cell r="C3634">
            <v>3003613</v>
          </cell>
          <cell r="D3634" t="str">
            <v>SERVIÇO DE MONITORAMENTO AMBIENTAL</v>
          </cell>
          <cell r="E3634" t="str">
            <v>M2</v>
          </cell>
        </row>
        <row r="3635">
          <cell r="C3635">
            <v>3003614</v>
          </cell>
          <cell r="D3635" t="str">
            <v>SERVIÇO DE MONITORAMENTO AMBIENTAL</v>
          </cell>
          <cell r="E3635" t="str">
            <v>M3</v>
          </cell>
        </row>
        <row r="3636">
          <cell r="C3636">
            <v>3003615</v>
          </cell>
          <cell r="D3636" t="str">
            <v>SERVIÇO DE MONITORAMENTO AMBIENTAL</v>
          </cell>
          <cell r="E3636" t="str">
            <v>MES</v>
          </cell>
        </row>
        <row r="3637">
          <cell r="C3637">
            <v>3003616</v>
          </cell>
          <cell r="D3637" t="str">
            <v>PERICIA;LAUDO;EXAMES;ANALISE TECNICA</v>
          </cell>
          <cell r="E3637" t="str">
            <v>SV</v>
          </cell>
        </row>
        <row r="3638">
          <cell r="C3638">
            <v>3003617</v>
          </cell>
          <cell r="D3638" t="str">
            <v>SERVIÇO DE MONITORAMENTO AMBIENTAL</v>
          </cell>
          <cell r="E3638" t="str">
            <v>UN</v>
          </cell>
        </row>
        <row r="3639">
          <cell r="C3639">
            <v>3003618</v>
          </cell>
          <cell r="D3639" t="str">
            <v>SERVIÇO DE MOV DE PASSAGEIROS RODOVIÁRIO</v>
          </cell>
          <cell r="E3639" t="str">
            <v>UN</v>
          </cell>
        </row>
        <row r="3640">
          <cell r="C3640">
            <v>3003619</v>
          </cell>
          <cell r="D3640" t="str">
            <v>MANUT CONSERV MAQS,EQUIPS MOV,PC,MOTORES</v>
          </cell>
          <cell r="E3640" t="str">
            <v>SV</v>
          </cell>
        </row>
        <row r="3641">
          <cell r="C3641">
            <v>3003620</v>
          </cell>
          <cell r="D3641" t="str">
            <v>MANUT CONSERV MAQS,EQUIPS MOV,PC,MOTORES</v>
          </cell>
          <cell r="E3641" t="str">
            <v>SV</v>
          </cell>
        </row>
        <row r="3642">
          <cell r="C3642">
            <v>3003621</v>
          </cell>
          <cell r="D3642" t="str">
            <v>SERVIÇO DE PRODUÇÃO DE VÍDEO</v>
          </cell>
          <cell r="E3642" t="str">
            <v>DIA</v>
          </cell>
        </row>
        <row r="3643">
          <cell r="C3643">
            <v>3003622</v>
          </cell>
          <cell r="D3643" t="str">
            <v>SERVIÇO DE PRODUÇÃO DE VÍDEO</v>
          </cell>
          <cell r="E3643" t="str">
            <v>H</v>
          </cell>
        </row>
        <row r="3644">
          <cell r="C3644">
            <v>3003623</v>
          </cell>
          <cell r="D3644" t="str">
            <v>SERVIÇO DE PRODUÇÃO DE VÍDEO</v>
          </cell>
          <cell r="E3644" t="str">
            <v>MIN</v>
          </cell>
        </row>
        <row r="3645">
          <cell r="C3645">
            <v>3003624</v>
          </cell>
          <cell r="D3645" t="str">
            <v>SERVIÇO DE PRODUÇÃO DE VÍDEO</v>
          </cell>
          <cell r="E3645" t="str">
            <v>SV</v>
          </cell>
        </row>
        <row r="3646">
          <cell r="C3646">
            <v>3003625</v>
          </cell>
          <cell r="D3646" t="str">
            <v>SERVIÇO DE PRODUÇÃO DE VÍDEO</v>
          </cell>
          <cell r="E3646" t="str">
            <v>UN</v>
          </cell>
        </row>
        <row r="3647">
          <cell r="C3647">
            <v>3003626</v>
          </cell>
          <cell r="D3647" t="str">
            <v>SERVIÇO DE REBOCADOR ESCOTEIRO</v>
          </cell>
          <cell r="E3647" t="str">
            <v>SV</v>
          </cell>
        </row>
        <row r="3648">
          <cell r="C3648">
            <v>3003627</v>
          </cell>
          <cell r="D3648" t="str">
            <v>SERVIÇO DE REBOCADOR ESCOTEIRO</v>
          </cell>
          <cell r="E3648" t="str">
            <v>UN</v>
          </cell>
        </row>
        <row r="3649">
          <cell r="C3649">
            <v>3003628</v>
          </cell>
          <cell r="D3649" t="str">
            <v>SERVIÇO DE REFLORESTAMENTO</v>
          </cell>
          <cell r="E3649" t="str">
            <v>DIA</v>
          </cell>
        </row>
        <row r="3650">
          <cell r="C3650">
            <v>3003629</v>
          </cell>
          <cell r="D3650" t="str">
            <v>SERVIÇO DE REFLORESTAMENTO</v>
          </cell>
          <cell r="E3650" t="str">
            <v>H</v>
          </cell>
        </row>
        <row r="3651">
          <cell r="C3651">
            <v>3003630</v>
          </cell>
          <cell r="D3651" t="str">
            <v>SERVIÇO DE REFLORESTAMENTO</v>
          </cell>
          <cell r="E3651" t="str">
            <v>HA</v>
          </cell>
        </row>
        <row r="3652">
          <cell r="C3652">
            <v>3003631</v>
          </cell>
          <cell r="D3652" t="str">
            <v>SERVIÇO DE REFLORESTAMENTO</v>
          </cell>
          <cell r="E3652" t="str">
            <v>KG</v>
          </cell>
        </row>
        <row r="3653">
          <cell r="C3653">
            <v>3003632</v>
          </cell>
          <cell r="D3653" t="str">
            <v>SERVIÇO DE REFLORESTAMENTO</v>
          </cell>
          <cell r="E3653" t="str">
            <v>KMS</v>
          </cell>
        </row>
        <row r="3654">
          <cell r="C3654">
            <v>3003633</v>
          </cell>
          <cell r="D3654" t="str">
            <v>SERVIÇO DE REFLORESTAMENTO</v>
          </cell>
          <cell r="E3654" t="str">
            <v>M</v>
          </cell>
        </row>
        <row r="3655">
          <cell r="C3655">
            <v>3003634</v>
          </cell>
          <cell r="D3655" t="str">
            <v>SERVIÇO DE REFLORESTAMENTO</v>
          </cell>
          <cell r="E3655" t="str">
            <v>M2</v>
          </cell>
        </row>
        <row r="3656">
          <cell r="C3656">
            <v>3003635</v>
          </cell>
          <cell r="D3656" t="str">
            <v>SERVIÇO DE REFLORESTAMENTO</v>
          </cell>
          <cell r="E3656" t="str">
            <v>M3</v>
          </cell>
        </row>
        <row r="3657">
          <cell r="C3657">
            <v>3003636</v>
          </cell>
          <cell r="D3657" t="str">
            <v>SERVIÇO DE REFLORESTAMENTO</v>
          </cell>
          <cell r="E3657" t="str">
            <v>MES</v>
          </cell>
        </row>
        <row r="3658">
          <cell r="C3658">
            <v>3003637</v>
          </cell>
          <cell r="D3658" t="str">
            <v>SERVIÇO DE REFLORESTAMENTO</v>
          </cell>
          <cell r="E3658" t="str">
            <v>SV</v>
          </cell>
        </row>
        <row r="3659">
          <cell r="C3659">
            <v>3003638</v>
          </cell>
          <cell r="D3659" t="str">
            <v>SERVIÇO DE REFLORESTAMENTO</v>
          </cell>
          <cell r="E3659" t="str">
            <v>TO</v>
          </cell>
        </row>
        <row r="3660">
          <cell r="C3660">
            <v>3003639</v>
          </cell>
          <cell r="D3660" t="str">
            <v>SERVIÇO DE REFLORESTAMENTO</v>
          </cell>
          <cell r="E3660" t="str">
            <v>UN</v>
          </cell>
        </row>
        <row r="3661">
          <cell r="C3661">
            <v>3003640</v>
          </cell>
          <cell r="D3661" t="str">
            <v>SERVIÇO DE REFORMA DE COMPONENTES</v>
          </cell>
          <cell r="E3661" t="str">
            <v>G</v>
          </cell>
        </row>
        <row r="3662">
          <cell r="C3662">
            <v>3003641</v>
          </cell>
          <cell r="D3662" t="str">
            <v>SERVIÇO DE REFORMA DE COMPONENTES</v>
          </cell>
          <cell r="E3662" t="str">
            <v>KG</v>
          </cell>
        </row>
        <row r="3663">
          <cell r="C3663">
            <v>3003642</v>
          </cell>
          <cell r="D3663" t="str">
            <v>SERVIÇO DE REFORMA DE COMPONENTES</v>
          </cell>
          <cell r="E3663" t="str">
            <v>MM</v>
          </cell>
        </row>
        <row r="3664">
          <cell r="C3664">
            <v>3003643</v>
          </cell>
          <cell r="D3664" t="str">
            <v>SERVIÇO DE REFORMA DE COMPONENTES</v>
          </cell>
          <cell r="E3664" t="str">
            <v>PC</v>
          </cell>
        </row>
        <row r="3665">
          <cell r="C3665">
            <v>3003644</v>
          </cell>
          <cell r="D3665" t="str">
            <v>CONSERT, REP, RESTAUR, REFOR E BLIND</v>
          </cell>
          <cell r="E3665" t="str">
            <v>SV</v>
          </cell>
        </row>
        <row r="3666">
          <cell r="C3666">
            <v>3003645</v>
          </cell>
          <cell r="D3666" t="str">
            <v>SERVIÇO DE REFORMA DE COMPONENTES</v>
          </cell>
          <cell r="E3666" t="str">
            <v>UN</v>
          </cell>
        </row>
        <row r="3667">
          <cell r="C3667">
            <v>3003646</v>
          </cell>
          <cell r="D3667" t="str">
            <v>STC-MICRO-ROD-C/AR-ADM-EV/EX-INTRA</v>
          </cell>
          <cell r="E3667" t="str">
            <v>DIA</v>
          </cell>
        </row>
        <row r="3668">
          <cell r="C3668">
            <v>3003647</v>
          </cell>
          <cell r="D3668" t="str">
            <v>SERVIÇO DE REPROCESSAMENTO DE BORRACHA</v>
          </cell>
          <cell r="E3668" t="str">
            <v>UN</v>
          </cell>
        </row>
        <row r="3669">
          <cell r="C3669">
            <v>3003648</v>
          </cell>
          <cell r="D3669" t="str">
            <v>SERVIÇO DE REPROCESSAMENTO DE PLÁSTICO</v>
          </cell>
          <cell r="E3669" t="str">
            <v>UN</v>
          </cell>
        </row>
        <row r="3670">
          <cell r="C3670">
            <v>3003649</v>
          </cell>
          <cell r="D3670" t="str">
            <v>SERVIÇO DE REPRODUÇÃO DE MULTIMÍDIA</v>
          </cell>
          <cell r="E3670" t="str">
            <v>UN</v>
          </cell>
        </row>
        <row r="3671">
          <cell r="C3671">
            <v>3003650</v>
          </cell>
          <cell r="D3671" t="str">
            <v>SERVIÃ‡O DE RESTAURANTE</v>
          </cell>
          <cell r="E3671" t="str">
            <v>DIA</v>
          </cell>
        </row>
        <row r="3672">
          <cell r="C3672">
            <v>3003651</v>
          </cell>
          <cell r="D3672" t="str">
            <v>SERVIÇO DE RESTAURANTE</v>
          </cell>
          <cell r="E3672" t="str">
            <v>KG</v>
          </cell>
        </row>
        <row r="3673">
          <cell r="C3673">
            <v>3003652</v>
          </cell>
          <cell r="D3673" t="str">
            <v>SERVIÇO DE RESTAURANTE</v>
          </cell>
          <cell r="E3673" t="str">
            <v>L</v>
          </cell>
        </row>
        <row r="3674">
          <cell r="C3674">
            <v>3003653</v>
          </cell>
          <cell r="D3674" t="str">
            <v>SRV DE COPA COM PREP,MANUSEIO OU DISTRIB</v>
          </cell>
          <cell r="E3674" t="str">
            <v>SV</v>
          </cell>
        </row>
        <row r="3675">
          <cell r="C3675">
            <v>3003654</v>
          </cell>
          <cell r="D3675" t="str">
            <v>SERVIÃ‡O DE RESTAURANTE</v>
          </cell>
          <cell r="E3675" t="str">
            <v>UN</v>
          </cell>
        </row>
        <row r="3676">
          <cell r="C3676">
            <v>3003655</v>
          </cell>
          <cell r="D3676" t="str">
            <v>SERVIÇO DE ROÇO E CAPINA MANUAL</v>
          </cell>
          <cell r="E3676" t="str">
            <v>HA</v>
          </cell>
        </row>
        <row r="3677">
          <cell r="C3677">
            <v>3003656</v>
          </cell>
          <cell r="D3677" t="str">
            <v>SERVIÇO DE ROÇO E CAPINA MANUAL</v>
          </cell>
          <cell r="E3677" t="str">
            <v>M2</v>
          </cell>
        </row>
        <row r="3678">
          <cell r="C3678">
            <v>3003657</v>
          </cell>
          <cell r="D3678" t="str">
            <v>SERVIÇO DE ROÇO E CAPINA MANUAL</v>
          </cell>
          <cell r="E3678" t="str">
            <v>M3</v>
          </cell>
        </row>
        <row r="3679">
          <cell r="C3679">
            <v>3003658</v>
          </cell>
          <cell r="D3679" t="str">
            <v>FLOREST,DESMANT,ADUBACAO,ROCA,CONTR PRAG</v>
          </cell>
          <cell r="E3679" t="str">
            <v>SV</v>
          </cell>
        </row>
        <row r="3680">
          <cell r="C3680">
            <v>3003659</v>
          </cell>
          <cell r="D3680" t="str">
            <v>SERVIÇO DE ROÇO E CAPINA MANUAL</v>
          </cell>
          <cell r="E3680" t="str">
            <v>UN</v>
          </cell>
        </row>
        <row r="3681">
          <cell r="C3681">
            <v>3003660</v>
          </cell>
          <cell r="D3681" t="str">
            <v>SERVIÇO DE ROÇO E CAPINA MECANIZADA</v>
          </cell>
          <cell r="E3681" t="str">
            <v>H</v>
          </cell>
        </row>
        <row r="3682">
          <cell r="C3682">
            <v>3003661</v>
          </cell>
          <cell r="D3682" t="str">
            <v>SERVIÇO DE ROÇO E CAPINA MECANIZADA</v>
          </cell>
          <cell r="E3682" t="str">
            <v>HA</v>
          </cell>
        </row>
        <row r="3683">
          <cell r="C3683">
            <v>3003662</v>
          </cell>
          <cell r="D3683" t="str">
            <v>SERVIÇO DE ROÇO E CAPINA MECANIZADA</v>
          </cell>
          <cell r="E3683" t="str">
            <v>M</v>
          </cell>
        </row>
        <row r="3684">
          <cell r="C3684">
            <v>3003663</v>
          </cell>
          <cell r="D3684" t="str">
            <v>SERVIÇO DE ROÇO E CAPINA MECANIZADA</v>
          </cell>
          <cell r="E3684" t="str">
            <v>M2</v>
          </cell>
        </row>
        <row r="3685">
          <cell r="C3685">
            <v>3003664</v>
          </cell>
          <cell r="D3685" t="str">
            <v>SERVIÇO DE ROÇO E CAPINA MECANIZADA</v>
          </cell>
          <cell r="E3685" t="str">
            <v>M3</v>
          </cell>
        </row>
        <row r="3686">
          <cell r="C3686">
            <v>3003665</v>
          </cell>
          <cell r="D3686" t="str">
            <v>SERVIÇO DE ROÇO E CAPINA MECANIZADA</v>
          </cell>
          <cell r="E3686" t="str">
            <v>SV</v>
          </cell>
        </row>
        <row r="3687">
          <cell r="C3687">
            <v>3003666</v>
          </cell>
          <cell r="D3687" t="str">
            <v>SERVIÇO DE ROÇO E CAPINA MECANIZADA</v>
          </cell>
          <cell r="E3687" t="str">
            <v>UN</v>
          </cell>
        </row>
        <row r="3688">
          <cell r="C3688">
            <v>3003667</v>
          </cell>
          <cell r="D3688" t="str">
            <v>SERVIÇO DE SANITIZAÇÃO DE BANHEIRO</v>
          </cell>
          <cell r="E3688" t="str">
            <v>DIA</v>
          </cell>
        </row>
        <row r="3689">
          <cell r="C3689">
            <v>3003668</v>
          </cell>
          <cell r="D3689" t="str">
            <v>DEDETIZACAO,DESINFECCAO E CONG</v>
          </cell>
          <cell r="E3689" t="str">
            <v>SV</v>
          </cell>
        </row>
        <row r="3690">
          <cell r="C3690">
            <v>3003669</v>
          </cell>
          <cell r="D3690" t="str">
            <v>SERVIÇO DE SANITIZAÇÃO DE BANHEIRO</v>
          </cell>
          <cell r="E3690" t="str">
            <v>KM2</v>
          </cell>
        </row>
        <row r="3691">
          <cell r="C3691">
            <v>3003670</v>
          </cell>
          <cell r="D3691" t="str">
            <v>SERVIÇO DE SANITIZAÇÃO DE BANHEIRO</v>
          </cell>
          <cell r="E3691" t="str">
            <v>KMS</v>
          </cell>
        </row>
        <row r="3692">
          <cell r="C3692">
            <v>3003671</v>
          </cell>
          <cell r="D3692" t="str">
            <v>SERVIÃ‡O DE SANITIZAÃ‡ÃƒO DE BANHEIRO</v>
          </cell>
          <cell r="E3692" t="str">
            <v>L</v>
          </cell>
        </row>
        <row r="3693">
          <cell r="C3693">
            <v>3003672</v>
          </cell>
          <cell r="D3693" t="str">
            <v>SERVIÃ‡O DE SANITIZAÃ‡ÃƒO DE BANHEIRO</v>
          </cell>
          <cell r="E3693" t="str">
            <v>M2</v>
          </cell>
        </row>
        <row r="3694">
          <cell r="C3694">
            <v>3003673</v>
          </cell>
          <cell r="D3694" t="str">
            <v>SERVIÇO DE SANITIZAÇÃO DE BANHEIRO</v>
          </cell>
          <cell r="E3694" t="str">
            <v>M3</v>
          </cell>
        </row>
        <row r="3695">
          <cell r="C3695">
            <v>3003674</v>
          </cell>
          <cell r="D3695" t="str">
            <v>SERVIÃ‡O DE SANITIZAÃ‡ÃƒO DE BANHEIRO</v>
          </cell>
          <cell r="E3695" t="str">
            <v>MES</v>
          </cell>
        </row>
        <row r="3696">
          <cell r="C3696">
            <v>3003675</v>
          </cell>
          <cell r="D3696" t="str">
            <v>DEDETIZACAO,DESINFECCAO E CONG</v>
          </cell>
          <cell r="E3696" t="str">
            <v>SV</v>
          </cell>
        </row>
        <row r="3697">
          <cell r="C3697">
            <v>3003676</v>
          </cell>
          <cell r="D3697" t="str">
            <v>SERVIÃ‡O DE SANITIZAÃ‡ÃƒO DE BANHEIRO</v>
          </cell>
          <cell r="E3697" t="str">
            <v>UN</v>
          </cell>
        </row>
        <row r="3698">
          <cell r="C3698">
            <v>3003677</v>
          </cell>
          <cell r="D3698" t="str">
            <v>SERVIÇO DE SEGURO VIAGEM</v>
          </cell>
          <cell r="E3698" t="str">
            <v>UN</v>
          </cell>
        </row>
        <row r="3699">
          <cell r="C3699">
            <v>3003678</v>
          </cell>
          <cell r="D3699" t="str">
            <v>CARPINT,SERRALH,MAT FORNEC USUARIO FINAL</v>
          </cell>
          <cell r="E3699" t="str">
            <v>SV</v>
          </cell>
        </row>
        <row r="3700">
          <cell r="C3700">
            <v>3003679</v>
          </cell>
          <cell r="D3700" t="str">
            <v>CARPINT,SERRALH,MAT FORNEC USUARIO FINAL</v>
          </cell>
          <cell r="E3700" t="str">
            <v>SV</v>
          </cell>
        </row>
        <row r="3701">
          <cell r="C3701">
            <v>3003680</v>
          </cell>
          <cell r="D3701" t="str">
            <v>SERVIÇO DE SERRALHERIA EM ALUNÍNIO</v>
          </cell>
          <cell r="E3701" t="str">
            <v>M</v>
          </cell>
        </row>
        <row r="3702">
          <cell r="C3702">
            <v>3003681</v>
          </cell>
          <cell r="D3702" t="str">
            <v>SERVIÇO DE SERRALHERIA EM ALUNÍNIO</v>
          </cell>
          <cell r="E3702" t="str">
            <v>M2</v>
          </cell>
        </row>
        <row r="3703">
          <cell r="C3703">
            <v>3003682</v>
          </cell>
          <cell r="D3703" t="str">
            <v>SERVIÇO DE SERRALHERIA EM ALUNÍNIO</v>
          </cell>
          <cell r="E3703" t="str">
            <v>M3</v>
          </cell>
        </row>
        <row r="3704">
          <cell r="C3704">
            <v>3003683</v>
          </cell>
          <cell r="D3704" t="str">
            <v>SERVIÇO DE SERRALHERIA EM ALUNÍNIO</v>
          </cell>
          <cell r="E3704" t="str">
            <v>UN</v>
          </cell>
        </row>
        <row r="3705">
          <cell r="C3705">
            <v>3003684</v>
          </cell>
          <cell r="D3705" t="str">
            <v>SONDAGEM-PERFURACAO-P/OBRA CIVIL-HORA</v>
          </cell>
          <cell r="E3705" t="str">
            <v>H</v>
          </cell>
        </row>
        <row r="3706">
          <cell r="C3706">
            <v>3003685</v>
          </cell>
          <cell r="D3706" t="str">
            <v>SONDAGEM-PERFURACAO-P/OBRA CIVIL-LITROS</v>
          </cell>
          <cell r="E3706" t="str">
            <v>L</v>
          </cell>
        </row>
        <row r="3707">
          <cell r="C3707">
            <v>3003686</v>
          </cell>
          <cell r="D3707" t="str">
            <v>SONDAGEM-PERFURACAO-P/OBRA CIVIL-METRO</v>
          </cell>
          <cell r="E3707" t="str">
            <v>M</v>
          </cell>
        </row>
        <row r="3708">
          <cell r="C3708">
            <v>3003687</v>
          </cell>
          <cell r="D3708" t="str">
            <v>SONDAGEM-PERFURACAO-P/OBRA CIVIL-MESES</v>
          </cell>
          <cell r="E3708" t="str">
            <v>MES</v>
          </cell>
        </row>
        <row r="3709">
          <cell r="C3709">
            <v>3003688</v>
          </cell>
          <cell r="D3709" t="str">
            <v>PERFURACAO D POCOS,EXCT POCOS ARTESIANOS</v>
          </cell>
          <cell r="E3709" t="str">
            <v>SV</v>
          </cell>
        </row>
        <row r="3710">
          <cell r="C3710">
            <v>3003689</v>
          </cell>
          <cell r="D3710" t="str">
            <v>WELDING; DRILL; F/ CIVIL WORK; TONE</v>
          </cell>
          <cell r="E3710" t="str">
            <v>TO</v>
          </cell>
        </row>
        <row r="3711">
          <cell r="C3711">
            <v>3003690</v>
          </cell>
          <cell r="D3711" t="str">
            <v>WELDING; DRILL; F/ CIVIL WORK;UNIT</v>
          </cell>
          <cell r="E3711" t="str">
            <v>UN</v>
          </cell>
        </row>
        <row r="3712">
          <cell r="C3712">
            <v>3003691</v>
          </cell>
          <cell r="D3712" t="str">
            <v>SERVIÃ‡O DE SUPRESSÃƒO VEGETAL</v>
          </cell>
          <cell r="E3712" t="str">
            <v>H</v>
          </cell>
        </row>
        <row r="3713">
          <cell r="C3713">
            <v>3003692</v>
          </cell>
          <cell r="D3713" t="str">
            <v>SERVIÃ‡O DE SUPRESSÃƒO VEGETAL</v>
          </cell>
          <cell r="E3713" t="str">
            <v>HA</v>
          </cell>
        </row>
        <row r="3714">
          <cell r="C3714">
            <v>3003693</v>
          </cell>
          <cell r="D3714" t="str">
            <v>SERVIÃ‡O DE SUPRESSÃƒO VEGETAL</v>
          </cell>
          <cell r="E3714" t="str">
            <v>KMS</v>
          </cell>
        </row>
        <row r="3715">
          <cell r="C3715">
            <v>3003694</v>
          </cell>
          <cell r="D3715" t="str">
            <v>SERVIÇO DE SUPRESSÃO VEGETAL</v>
          </cell>
          <cell r="E3715" t="str">
            <v>M</v>
          </cell>
        </row>
        <row r="3716">
          <cell r="C3716">
            <v>3003695</v>
          </cell>
          <cell r="D3716" t="str">
            <v>SERVIÃ‡O DE SUPRESSÃƒO VEGETAL</v>
          </cell>
          <cell r="E3716" t="str">
            <v>M2</v>
          </cell>
        </row>
        <row r="3717">
          <cell r="C3717">
            <v>3003696</v>
          </cell>
          <cell r="D3717" t="str">
            <v>SERVIÃ‡O DE SUPRESSÃƒO VEGETAL</v>
          </cell>
          <cell r="E3717" t="str">
            <v>M3</v>
          </cell>
        </row>
        <row r="3718">
          <cell r="C3718">
            <v>3003697</v>
          </cell>
          <cell r="D3718" t="str">
            <v>FLOREST,DESMANT,ADUBACAO,ROCA,CONTR PRAG</v>
          </cell>
          <cell r="E3718" t="str">
            <v>SV</v>
          </cell>
        </row>
        <row r="3719">
          <cell r="C3719">
            <v>3003698</v>
          </cell>
          <cell r="D3719" t="str">
            <v>SERVIÇO DE SUPRESSÃO VEGETAL</v>
          </cell>
          <cell r="E3719" t="str">
            <v>TO</v>
          </cell>
        </row>
        <row r="3720">
          <cell r="C3720">
            <v>3003699</v>
          </cell>
          <cell r="D3720" t="str">
            <v>SERVIÃ‡O DE SUPRESSÃƒO VEGETAL</v>
          </cell>
          <cell r="E3720" t="str">
            <v>UN</v>
          </cell>
        </row>
        <row r="3721">
          <cell r="C3721">
            <v>3003700</v>
          </cell>
          <cell r="D3721" t="str">
            <v>SERVIÇO DE TERMINAIS FERROVIÁRIOS</v>
          </cell>
          <cell r="E3721" t="str">
            <v>UN</v>
          </cell>
        </row>
        <row r="3722">
          <cell r="C3722">
            <v>3003701</v>
          </cell>
          <cell r="D3722" t="str">
            <v>SRV TERMINAIS ROD,FERROV,METROV,MOV,MERC</v>
          </cell>
          <cell r="E3722" t="str">
            <v>SV</v>
          </cell>
        </row>
        <row r="3723">
          <cell r="C3723">
            <v>3003702</v>
          </cell>
          <cell r="D3723" t="str">
            <v>SERVIÇO DE TERMINAIS RODOVIÁRIOS</v>
          </cell>
          <cell r="E3723" t="str">
            <v>TO</v>
          </cell>
        </row>
        <row r="3724">
          <cell r="C3724">
            <v>3003703</v>
          </cell>
          <cell r="D3724" t="str">
            <v>SERVIÇO DE TERMINAIS RODOVIÁRIOS</v>
          </cell>
          <cell r="E3724" t="str">
            <v>UN</v>
          </cell>
        </row>
        <row r="3725">
          <cell r="C3725">
            <v>3003704</v>
          </cell>
          <cell r="D3725" t="str">
            <v>INSTRUCAO, TREINAMENTO, PEDAGOG E EDUCAC</v>
          </cell>
          <cell r="E3725" t="str">
            <v>SV</v>
          </cell>
        </row>
        <row r="3726">
          <cell r="C3726">
            <v>3003705</v>
          </cell>
          <cell r="D3726" t="str">
            <v>SERVIÇO DE USINAGEM EM METAL - MÉDIA</v>
          </cell>
          <cell r="E3726" t="str">
            <v>H</v>
          </cell>
        </row>
        <row r="3727">
          <cell r="C3727">
            <v>3003706</v>
          </cell>
          <cell r="D3727" t="str">
            <v>SERVIÇO DE USINAGEM EM METAL - MÉDIA</v>
          </cell>
          <cell r="E3727" t="str">
            <v>UN</v>
          </cell>
        </row>
        <row r="3728">
          <cell r="C3728">
            <v>3003707</v>
          </cell>
          <cell r="D3728" t="str">
            <v>SERVIÇO DE USINAGEM EM METAL - PESADA</v>
          </cell>
          <cell r="E3728" t="str">
            <v>H</v>
          </cell>
        </row>
        <row r="3729">
          <cell r="C3729">
            <v>3003708</v>
          </cell>
          <cell r="D3729" t="str">
            <v>SERVIÇO DE USINAGEM EM METAL - PESADA</v>
          </cell>
          <cell r="E3729" t="str">
            <v>KG</v>
          </cell>
        </row>
        <row r="3730">
          <cell r="C3730">
            <v>3003709</v>
          </cell>
          <cell r="D3730" t="str">
            <v>FORJARIA,FUNDICAO,SERRALHERIA,VULC,USIN</v>
          </cell>
          <cell r="E3730" t="str">
            <v>SV</v>
          </cell>
        </row>
        <row r="3731">
          <cell r="C3731">
            <v>3003710</v>
          </cell>
          <cell r="D3731" t="str">
            <v>SERVIÇO DE USINAGEM EM METAL - PESADA</v>
          </cell>
          <cell r="E3731" t="str">
            <v>UN</v>
          </cell>
        </row>
        <row r="3732">
          <cell r="C3732">
            <v>3003711</v>
          </cell>
          <cell r="D3732" t="str">
            <v>SERVIÇO DE VEICULAÇÃO</v>
          </cell>
          <cell r="E3732" t="str">
            <v>UN</v>
          </cell>
        </row>
        <row r="3733">
          <cell r="C3733">
            <v>3003712</v>
          </cell>
          <cell r="D3733" t="str">
            <v>SERVIÇO DE VULCANIZAÇÃO A FRIO</v>
          </cell>
          <cell r="E3733" t="str">
            <v>M</v>
          </cell>
        </row>
        <row r="3734">
          <cell r="C3734">
            <v>3003713</v>
          </cell>
          <cell r="D3734" t="str">
            <v>SERVIÇO DE VULCANIZAÇÃO A FRIO</v>
          </cell>
          <cell r="E3734" t="str">
            <v>M2</v>
          </cell>
        </row>
        <row r="3735">
          <cell r="C3735">
            <v>3003714</v>
          </cell>
          <cell r="D3735" t="str">
            <v>SERVIÇO DE VULCANIZAÇÃO A FRIO</v>
          </cell>
          <cell r="E3735" t="str">
            <v>UN</v>
          </cell>
        </row>
        <row r="3736">
          <cell r="C3736">
            <v>3003715</v>
          </cell>
          <cell r="D3736" t="str">
            <v>SERVIÇO DESCARGA DE OPERAÇÃO FERROVIÁRIA</v>
          </cell>
          <cell r="E3736" t="str">
            <v>UN</v>
          </cell>
        </row>
        <row r="3737">
          <cell r="C3737">
            <v>3003716</v>
          </cell>
          <cell r="D3737" t="str">
            <v>SERVIÇO EXECUÇÃO DE PROJETO INDUSTRIAL</v>
          </cell>
          <cell r="E3737" t="str">
            <v>H</v>
          </cell>
        </row>
        <row r="3738">
          <cell r="C3738">
            <v>3003717</v>
          </cell>
          <cell r="D3738" t="str">
            <v>SERVIÇO EXECUÇÃO DE PROJETO INDUSTRIAL</v>
          </cell>
          <cell r="E3738" t="str">
            <v>MES</v>
          </cell>
        </row>
        <row r="3739">
          <cell r="C3739">
            <v>3003718</v>
          </cell>
          <cell r="D3739" t="str">
            <v>SERVIÇO EXECUÇÃO DE PROJETO INDUSTRIAL</v>
          </cell>
          <cell r="E3739" t="str">
            <v>SV</v>
          </cell>
        </row>
        <row r="3740">
          <cell r="C3740">
            <v>3003719</v>
          </cell>
          <cell r="D3740" t="str">
            <v>SERVIÇO EXECUÇÃO DE PROJETO INDUSTRIAL</v>
          </cell>
          <cell r="E3740" t="str">
            <v>UN</v>
          </cell>
        </row>
        <row r="3741">
          <cell r="C3741">
            <v>3003720</v>
          </cell>
          <cell r="D3741" t="str">
            <v>FUNILARIA E LANTERNAGEM</v>
          </cell>
          <cell r="E3741" t="str">
            <v>SV</v>
          </cell>
        </row>
        <row r="3742">
          <cell r="C3742">
            <v>3003721</v>
          </cell>
          <cell r="D3742" t="str">
            <v>SERVIÇO LOCAÇÃO DE TANQUES CRIOGÊNICOS</v>
          </cell>
          <cell r="E3742" t="str">
            <v>UN</v>
          </cell>
        </row>
        <row r="3743">
          <cell r="C3743">
            <v>3003722</v>
          </cell>
          <cell r="D3743" t="str">
            <v>SERVIÇO MANUTENÇÃO CARROCERIA DE VEÍCULO</v>
          </cell>
          <cell r="E3743" t="str">
            <v>H</v>
          </cell>
        </row>
        <row r="3744">
          <cell r="C3744">
            <v>3003723</v>
          </cell>
          <cell r="D3744" t="str">
            <v>MANUT CONSERV MAQS,EQUIPS MOV,PC,MOTORES</v>
          </cell>
          <cell r="E3744" t="str">
            <v>SV</v>
          </cell>
        </row>
        <row r="3745">
          <cell r="C3745">
            <v>3003724</v>
          </cell>
          <cell r="D3745" t="str">
            <v>SERVIÇO MANUTENÇÃO CARROCERIA DE VEÍCULO</v>
          </cell>
          <cell r="E3745" t="str">
            <v>KMS</v>
          </cell>
        </row>
        <row r="3746">
          <cell r="C3746">
            <v>3003725</v>
          </cell>
          <cell r="D3746" t="str">
            <v>SERVIÇO MANUTENÇÃO CARROCERIA DE VEÍCULO</v>
          </cell>
          <cell r="E3746" t="str">
            <v>M</v>
          </cell>
        </row>
        <row r="3747">
          <cell r="C3747">
            <v>3003726</v>
          </cell>
          <cell r="D3747" t="str">
            <v>SERVIÇO MANUTENÇÃO CARROCERIA DE VEÍCULO</v>
          </cell>
          <cell r="E3747" t="str">
            <v>M2</v>
          </cell>
        </row>
        <row r="3748">
          <cell r="C3748">
            <v>3003727</v>
          </cell>
          <cell r="D3748" t="str">
            <v>SERVIÇO MANUTENÇÃO CARROCERIA DE VEÍCULO</v>
          </cell>
          <cell r="E3748" t="str">
            <v>SV</v>
          </cell>
        </row>
        <row r="3749">
          <cell r="C3749">
            <v>3003728</v>
          </cell>
          <cell r="D3749" t="str">
            <v>SERVIÇO MANUTENÇÃO CARROCERIA DE VEÍCULO</v>
          </cell>
          <cell r="E3749" t="str">
            <v>UN</v>
          </cell>
        </row>
        <row r="3750">
          <cell r="C3750">
            <v>3003729</v>
          </cell>
          <cell r="D3750" t="str">
            <v>SERVIÇO MANUTENÇÃO DE BALANÇA RODOVIÁRIA</v>
          </cell>
          <cell r="E3750" t="str">
            <v>H</v>
          </cell>
        </row>
        <row r="3751">
          <cell r="C3751">
            <v>3003730</v>
          </cell>
          <cell r="D3751" t="str">
            <v>SERVIÇO MANUTENÇÃO DE BALANÇA RODOVIÁRIA</v>
          </cell>
          <cell r="E3751" t="str">
            <v>KMS</v>
          </cell>
        </row>
        <row r="3752">
          <cell r="C3752">
            <v>3003731</v>
          </cell>
          <cell r="D3752" t="str">
            <v>MANUT CONSERV MAQS,EQUIPS MOV,PC,MOTORES</v>
          </cell>
          <cell r="E3752" t="str">
            <v>SV</v>
          </cell>
        </row>
        <row r="3753">
          <cell r="C3753">
            <v>3003732</v>
          </cell>
          <cell r="D3753" t="str">
            <v>SERVIÇO MANUTENÇÃO DE BALANÇA RODOVIÁRIA</v>
          </cell>
          <cell r="E3753" t="str">
            <v>PC</v>
          </cell>
        </row>
        <row r="3754">
          <cell r="C3754">
            <v>3003733</v>
          </cell>
          <cell r="D3754" t="str">
            <v>MANUT CONSERV MAQS,EQUIPS MOV,PC,MOTORES</v>
          </cell>
          <cell r="E3754" t="str">
            <v>SV</v>
          </cell>
        </row>
        <row r="3755">
          <cell r="C3755">
            <v>3003734</v>
          </cell>
          <cell r="D3755" t="str">
            <v>SERVIÇO MANUTENÇÃO DE BALANÇA RODOVIÁRIA</v>
          </cell>
          <cell r="E3755" t="str">
            <v>UN</v>
          </cell>
        </row>
        <row r="3756">
          <cell r="C3756">
            <v>3003735</v>
          </cell>
          <cell r="D3756" t="str">
            <v>SERVIÇO MANUTENÇÃO DE CALDEIRA E BOILER</v>
          </cell>
          <cell r="E3756" t="str">
            <v>UN</v>
          </cell>
        </row>
        <row r="3757">
          <cell r="C3757">
            <v>3003736</v>
          </cell>
          <cell r="D3757" t="str">
            <v>SERVIÇO MANUTENÇÃO DE CATRACA ELETRÔNICA</v>
          </cell>
          <cell r="E3757" t="str">
            <v>UN</v>
          </cell>
        </row>
        <row r="3758">
          <cell r="C3758">
            <v>3003737</v>
          </cell>
          <cell r="D3758" t="str">
            <v>SERVIÇO MANUTENÇÃO DE FORNO E FORNALHA</v>
          </cell>
          <cell r="E3758" t="str">
            <v>JG</v>
          </cell>
        </row>
        <row r="3759">
          <cell r="C3759">
            <v>3003738</v>
          </cell>
          <cell r="D3759" t="str">
            <v>SERVIÇO MANUTENÇÃO DE FORNO E FORNALHA</v>
          </cell>
          <cell r="E3759" t="str">
            <v>KG</v>
          </cell>
        </row>
        <row r="3760">
          <cell r="C3760">
            <v>3003739</v>
          </cell>
          <cell r="D3760" t="str">
            <v>SERVIÇO MANUTENÇÃO DE FORNO E FORNALHA</v>
          </cell>
          <cell r="E3760" t="str">
            <v>M</v>
          </cell>
        </row>
        <row r="3761">
          <cell r="C3761">
            <v>3003740</v>
          </cell>
          <cell r="D3761" t="str">
            <v>SERVIÇO MANUTENÇÃO DE FORNO E FORNALHA</v>
          </cell>
          <cell r="E3761" t="str">
            <v>M2</v>
          </cell>
        </row>
        <row r="3762">
          <cell r="C3762">
            <v>3003741</v>
          </cell>
          <cell r="D3762" t="str">
            <v>SERVIÇO MANUTENÇÃO DE FORNO E FORNALHA</v>
          </cell>
          <cell r="E3762" t="str">
            <v>PC</v>
          </cell>
        </row>
        <row r="3763">
          <cell r="C3763">
            <v>3003742</v>
          </cell>
          <cell r="D3763" t="str">
            <v>SERVIÇO MANUTENÇÃO DE FORNO E FORNALHA</v>
          </cell>
          <cell r="E3763" t="str">
            <v>UN</v>
          </cell>
        </row>
        <row r="3764">
          <cell r="C3764">
            <v>3003743</v>
          </cell>
          <cell r="D3764" t="str">
            <v>SERVIÇO MANUTENÇÃO DE MÁQUINA DE SOLDA</v>
          </cell>
          <cell r="E3764" t="str">
            <v>UN</v>
          </cell>
        </row>
        <row r="3765">
          <cell r="C3765">
            <v>3003744</v>
          </cell>
          <cell r="D3765" t="str">
            <v>SERVIÇO MANUTENÇÃO DE MÁQUINA OPERATRIZ</v>
          </cell>
          <cell r="E3765" t="str">
            <v>H</v>
          </cell>
        </row>
        <row r="3766">
          <cell r="C3766">
            <v>3003745</v>
          </cell>
          <cell r="D3766" t="str">
            <v>SERVIÇO MANUTENÇÃO DE MÁQUINA OPERATRIZ</v>
          </cell>
          <cell r="E3766" t="str">
            <v>UN</v>
          </cell>
        </row>
        <row r="3767">
          <cell r="C3767">
            <v>3003746</v>
          </cell>
          <cell r="D3767" t="str">
            <v>SERVIÇO MANUTENÇÃO DE MOTOR FERROVIÁRIO</v>
          </cell>
          <cell r="E3767" t="str">
            <v>JG</v>
          </cell>
        </row>
        <row r="3768">
          <cell r="C3768">
            <v>3003747</v>
          </cell>
          <cell r="D3768" t="str">
            <v>SERVIÇO MANUTENÇÃO DE MOTOR FERROVIÁRIO</v>
          </cell>
          <cell r="E3768" t="str">
            <v>PC</v>
          </cell>
        </row>
        <row r="3769">
          <cell r="C3769">
            <v>3003748</v>
          </cell>
          <cell r="D3769" t="str">
            <v>SERVIÇO MANUTENÇÃO DE MOTOR FERROVIÁRIO</v>
          </cell>
          <cell r="E3769" t="str">
            <v>UN</v>
          </cell>
        </row>
        <row r="3770">
          <cell r="C3770">
            <v>3003749</v>
          </cell>
          <cell r="D3770" t="str">
            <v>MANUT CONSERV MAQS,EQUIPS MOV,PC,MOTORES</v>
          </cell>
          <cell r="E3770" t="str">
            <v>SV</v>
          </cell>
        </row>
        <row r="3771">
          <cell r="C3771">
            <v>3003750</v>
          </cell>
          <cell r="D3771" t="str">
            <v>MANUT CONSERV MAQS,EQUIPS MOV,PC,MOTORES</v>
          </cell>
          <cell r="E3771" t="str">
            <v>SV</v>
          </cell>
        </row>
        <row r="3772">
          <cell r="C3772">
            <v>3003751</v>
          </cell>
          <cell r="D3772" t="str">
            <v>MANUT CONSERV MAQS,EQUIPS MOV,PC,MOTORES</v>
          </cell>
          <cell r="E3772" t="str">
            <v>SV</v>
          </cell>
        </row>
        <row r="3773">
          <cell r="C3773">
            <v>3003752</v>
          </cell>
          <cell r="D3773" t="str">
            <v>SERVIÇO MANUTENÇÃO DE SOPRADOR TÉRMICO</v>
          </cell>
          <cell r="E3773" t="str">
            <v>M</v>
          </cell>
        </row>
        <row r="3774">
          <cell r="C3774">
            <v>3003753</v>
          </cell>
          <cell r="D3774" t="str">
            <v>MANUT CONSERV MAQS,EQUIPS MOV,PC,MOTORES</v>
          </cell>
          <cell r="E3774" t="str">
            <v>SV</v>
          </cell>
        </row>
        <row r="3775">
          <cell r="C3775">
            <v>3003754</v>
          </cell>
          <cell r="D3775" t="str">
            <v>MANUT CONSERV MAQS,EQUIPS MOV,PC,MOTORES</v>
          </cell>
          <cell r="E3775" t="str">
            <v>SV</v>
          </cell>
        </row>
        <row r="3776">
          <cell r="C3776">
            <v>3003755</v>
          </cell>
          <cell r="D3776" t="str">
            <v>MANUT CONSERV MAQS,EQUIPS MOV,PC,MOTORES</v>
          </cell>
          <cell r="E3776" t="str">
            <v>SV</v>
          </cell>
        </row>
        <row r="3777">
          <cell r="C3777">
            <v>3003756</v>
          </cell>
          <cell r="D3777" t="str">
            <v>MANUT CONSERV MAQS,EQUIPS MOV,PC,MOTORES</v>
          </cell>
          <cell r="E3777" t="str">
            <v>SV</v>
          </cell>
        </row>
        <row r="3778">
          <cell r="C3778">
            <v>3003757</v>
          </cell>
          <cell r="D3778" t="str">
            <v>SERVIÃ‡O MANUTENÃ‡ÃƒO DE SOPRADOR TÃ‰RMI</v>
          </cell>
          <cell r="E3778" t="str">
            <v>UN</v>
          </cell>
        </row>
        <row r="3779">
          <cell r="C3779">
            <v>3003758</v>
          </cell>
          <cell r="D3779" t="str">
            <v>MANUT CONSERV MAQS,EQUIPS MOV,PC,MOTORES</v>
          </cell>
          <cell r="E3779" t="str">
            <v>SV</v>
          </cell>
        </row>
        <row r="3780">
          <cell r="C3780">
            <v>3003759</v>
          </cell>
          <cell r="D3780" t="str">
            <v>MANUT CONSERV MAQS,EQUIPS MOV,PC,MOTORES</v>
          </cell>
          <cell r="E3780" t="str">
            <v>SV</v>
          </cell>
        </row>
        <row r="3781">
          <cell r="C3781">
            <v>3003760</v>
          </cell>
          <cell r="D3781" t="str">
            <v>SERVIÇO MANUTENÇÃO DE TRUCK FERROVIÁRIO</v>
          </cell>
          <cell r="E3781" t="str">
            <v>UN</v>
          </cell>
        </row>
        <row r="3782">
          <cell r="C3782">
            <v>3003761</v>
          </cell>
          <cell r="D3782" t="str">
            <v>SERVIÇO PAVIMENTAÇÃO - CONSTRUÇÃO</v>
          </cell>
          <cell r="E3782" t="str">
            <v>KG</v>
          </cell>
        </row>
        <row r="3783">
          <cell r="C3783">
            <v>3003762</v>
          </cell>
          <cell r="D3783" t="str">
            <v>SERVIÇO PAVIMENTAÇÃO - CONSTRUÇÃO</v>
          </cell>
          <cell r="E3783" t="str">
            <v>KMS</v>
          </cell>
        </row>
        <row r="3784">
          <cell r="C3784">
            <v>3003763</v>
          </cell>
          <cell r="D3784" t="str">
            <v>SERVIÇO PAVIMENTAÇÃO - CONSTRUÇÃO</v>
          </cell>
          <cell r="E3784" t="str">
            <v>M</v>
          </cell>
        </row>
        <row r="3785">
          <cell r="C3785">
            <v>3003764</v>
          </cell>
          <cell r="D3785" t="str">
            <v>SERVIÇO PAVIMENTAÇÃO - CONSTRUÇÃO</v>
          </cell>
          <cell r="E3785" t="str">
            <v>M2</v>
          </cell>
        </row>
        <row r="3786">
          <cell r="C3786">
            <v>3003765</v>
          </cell>
          <cell r="D3786" t="str">
            <v>SERVIÇO PAVIMENTAÇÃO - CONSTRUÇÃO</v>
          </cell>
          <cell r="E3786" t="str">
            <v>M3</v>
          </cell>
        </row>
        <row r="3787">
          <cell r="C3787">
            <v>3003766</v>
          </cell>
          <cell r="D3787" t="str">
            <v>SERVIÇO PAVIMENTAÇÃO - CONSTRUÇÃO</v>
          </cell>
          <cell r="E3787" t="str">
            <v>MES</v>
          </cell>
        </row>
        <row r="3788">
          <cell r="C3788">
            <v>3003767</v>
          </cell>
          <cell r="D3788" t="str">
            <v>SERVIÇO PAVIMENTAÇÃO - CONSTRUÇÃO</v>
          </cell>
          <cell r="E3788" t="str">
            <v>PC</v>
          </cell>
        </row>
        <row r="3789">
          <cell r="C3789">
            <v>3003768</v>
          </cell>
          <cell r="D3789" t="str">
            <v>PAVIMENTACAO ASFALTICA</v>
          </cell>
          <cell r="E3789" t="str">
            <v>SV</v>
          </cell>
        </row>
        <row r="3790">
          <cell r="C3790">
            <v>3003769</v>
          </cell>
          <cell r="D3790" t="str">
            <v>SERVIÇO PAVIMENTAÇÃO - CONSTRUÇÃO</v>
          </cell>
          <cell r="E3790" t="str">
            <v>TO</v>
          </cell>
        </row>
        <row r="3791">
          <cell r="C3791">
            <v>3003770</v>
          </cell>
          <cell r="D3791" t="str">
            <v>SERVIÇO PAVIMENTAÇÃO - CONSTRUÇÃO</v>
          </cell>
          <cell r="E3791" t="str">
            <v>UN</v>
          </cell>
        </row>
        <row r="3792">
          <cell r="C3792">
            <v>3003771</v>
          </cell>
          <cell r="D3792" t="str">
            <v>SERVIÇO TRANSPORTE DE CARGA POR BARCAÇAS</v>
          </cell>
          <cell r="E3792" t="str">
            <v>UN</v>
          </cell>
        </row>
        <row r="3793">
          <cell r="C3793">
            <v>3003772</v>
          </cell>
          <cell r="D3793" t="str">
            <v>SERVIÇOS ADMINISTRATIVOS AUXILIARES</v>
          </cell>
          <cell r="E3793" t="str">
            <v>DIA</v>
          </cell>
        </row>
        <row r="3794">
          <cell r="C3794">
            <v>3003773</v>
          </cell>
          <cell r="D3794" t="str">
            <v>SERVIÇOS ADMINISTRATIVOS AUXILIARES</v>
          </cell>
          <cell r="E3794" t="str">
            <v>H</v>
          </cell>
        </row>
        <row r="3795">
          <cell r="C3795">
            <v>3003774</v>
          </cell>
          <cell r="D3795" t="str">
            <v>SERVIÇOS ADMINISTRATIVOS AUXILIARES</v>
          </cell>
          <cell r="E3795" t="str">
            <v>JG</v>
          </cell>
        </row>
        <row r="3796">
          <cell r="C3796">
            <v>3003775</v>
          </cell>
          <cell r="D3796" t="str">
            <v>SERVIÇOS ADMINISTRATIVOS AUXILIARES</v>
          </cell>
          <cell r="E3796" t="str">
            <v>M2</v>
          </cell>
        </row>
        <row r="3797">
          <cell r="C3797">
            <v>3003776</v>
          </cell>
          <cell r="D3797" t="str">
            <v>SERVIÇOS ADMINISTRATIVOS AUXILIARES</v>
          </cell>
          <cell r="E3797" t="str">
            <v>MES</v>
          </cell>
        </row>
        <row r="3798">
          <cell r="C3798">
            <v>3003777</v>
          </cell>
          <cell r="D3798" t="str">
            <v>DATILOGRAF,APOIO E INFRA ADM E CONG</v>
          </cell>
          <cell r="E3798" t="str">
            <v>SV</v>
          </cell>
        </row>
        <row r="3799">
          <cell r="C3799">
            <v>3003778</v>
          </cell>
          <cell r="D3799" t="str">
            <v>SERVIÇOS ADMINISTRATIVOS AUXILIARES</v>
          </cell>
          <cell r="E3799" t="str">
            <v>UN</v>
          </cell>
        </row>
        <row r="3800">
          <cell r="C3800">
            <v>3003779</v>
          </cell>
          <cell r="D3800" t="str">
            <v>SERVIÇOS DE AFUGENTAMENTO</v>
          </cell>
          <cell r="E3800" t="str">
            <v>H</v>
          </cell>
        </row>
        <row r="3801">
          <cell r="C3801">
            <v>3003780</v>
          </cell>
          <cell r="D3801" t="str">
            <v>SERVIÇOS DE AFUGENTAMENTO</v>
          </cell>
          <cell r="E3801" t="str">
            <v>HA</v>
          </cell>
        </row>
        <row r="3802">
          <cell r="C3802">
            <v>3003781</v>
          </cell>
          <cell r="D3802" t="str">
            <v>SERVIÇOS DE AFUGENTAMENTO</v>
          </cell>
          <cell r="E3802" t="str">
            <v>KMS</v>
          </cell>
        </row>
        <row r="3803">
          <cell r="C3803">
            <v>3003782</v>
          </cell>
          <cell r="D3803" t="str">
            <v>SERVIÇOS DE AFUGENTAMENTO</v>
          </cell>
          <cell r="E3803" t="str">
            <v>M2</v>
          </cell>
        </row>
        <row r="3804">
          <cell r="C3804">
            <v>3003783</v>
          </cell>
          <cell r="D3804" t="str">
            <v>SERVIÇOS DE AFUGENTAMENTO</v>
          </cell>
          <cell r="E3804" t="str">
            <v>MES</v>
          </cell>
        </row>
        <row r="3805">
          <cell r="C3805">
            <v>3003784</v>
          </cell>
          <cell r="D3805" t="str">
            <v>SERVIÇOS DE AFUGENTAMENTO</v>
          </cell>
          <cell r="E3805" t="str">
            <v>SV</v>
          </cell>
        </row>
        <row r="3806">
          <cell r="C3806">
            <v>3003785</v>
          </cell>
          <cell r="D3806" t="str">
            <v>SERVIÇOS DE AFUGENTAMENTO</v>
          </cell>
          <cell r="E3806" t="str">
            <v>TO</v>
          </cell>
        </row>
        <row r="3807">
          <cell r="C3807">
            <v>3003786</v>
          </cell>
          <cell r="D3807" t="str">
            <v>SERVIÇOS DE AFUGENTAMENTO</v>
          </cell>
          <cell r="E3807" t="str">
            <v>UN</v>
          </cell>
        </row>
        <row r="3808">
          <cell r="C3808">
            <v>3003787</v>
          </cell>
          <cell r="D3808" t="str">
            <v>SERVIÇOS DE AMBULÂNCIA</v>
          </cell>
          <cell r="E3808" t="str">
            <v>H</v>
          </cell>
        </row>
        <row r="3809">
          <cell r="C3809">
            <v>3003788</v>
          </cell>
          <cell r="D3809" t="str">
            <v>HOSPITAIS, LABS, RECUP E SIMILARES</v>
          </cell>
          <cell r="E3809" t="str">
            <v>SV</v>
          </cell>
        </row>
        <row r="3810">
          <cell r="C3810">
            <v>3003789</v>
          </cell>
          <cell r="D3810" t="str">
            <v>SERVIÇOS DE AMBULÂNCIA</v>
          </cell>
          <cell r="E3810" t="str">
            <v>MES</v>
          </cell>
        </row>
        <row r="3811">
          <cell r="C3811">
            <v>3003790</v>
          </cell>
          <cell r="D3811" t="str">
            <v>UNID D ATEND,ASSISTENCIA,TRAT MOVEL,CONG</v>
          </cell>
          <cell r="E3811" t="str">
            <v>SV</v>
          </cell>
        </row>
        <row r="3812">
          <cell r="C3812">
            <v>3003791</v>
          </cell>
          <cell r="D3812" t="str">
            <v>SERVIÇOS DE AMBULÂNCIA</v>
          </cell>
          <cell r="E3812" t="str">
            <v>UN</v>
          </cell>
        </row>
        <row r="3813">
          <cell r="C3813">
            <v>3003792</v>
          </cell>
          <cell r="D3813" t="str">
            <v>SERVIÇOS DE ASSISTÊNCIA SOCIAL</v>
          </cell>
          <cell r="E3813" t="str">
            <v>H</v>
          </cell>
        </row>
        <row r="3814">
          <cell r="C3814">
            <v>3003793</v>
          </cell>
          <cell r="D3814" t="str">
            <v>SERVIÇOS DE ASSISTÊNCIA SOCIAL.</v>
          </cell>
          <cell r="E3814" t="str">
            <v>SV</v>
          </cell>
        </row>
        <row r="3815">
          <cell r="C3815">
            <v>3003794</v>
          </cell>
          <cell r="D3815" t="str">
            <v>SERVIÇOS DE ASSISTÊNCIA SOCIAL</v>
          </cell>
          <cell r="E3815" t="str">
            <v>UN</v>
          </cell>
        </row>
        <row r="3816">
          <cell r="C3816">
            <v>3003795</v>
          </cell>
          <cell r="D3816" t="str">
            <v>SERVIÇOS DE BIBLIOTECONOMIA.</v>
          </cell>
          <cell r="E3816" t="str">
            <v>SV</v>
          </cell>
        </row>
        <row r="3817">
          <cell r="C3817">
            <v>3003796</v>
          </cell>
          <cell r="D3817" t="str">
            <v>SERVIÇOS DE BIBLIOTECONOMIA</v>
          </cell>
          <cell r="E3817" t="str">
            <v>UN</v>
          </cell>
        </row>
        <row r="3818">
          <cell r="C3818">
            <v>3003797</v>
          </cell>
          <cell r="D3818" t="str">
            <v>SERVIÇOS DE CHAVEIROS</v>
          </cell>
          <cell r="E3818" t="str">
            <v>KMS</v>
          </cell>
        </row>
        <row r="3819">
          <cell r="C3819">
            <v>3003798</v>
          </cell>
          <cell r="D3819" t="str">
            <v>SERVIÇOS DE CHAVEIROS</v>
          </cell>
          <cell r="E3819" t="str">
            <v>PC</v>
          </cell>
        </row>
        <row r="3820">
          <cell r="C3820">
            <v>3003799</v>
          </cell>
          <cell r="D3820" t="str">
            <v>SRV D CHAVEIROS,SINALIZACAO VISUAL,CONG</v>
          </cell>
          <cell r="E3820" t="str">
            <v>SV</v>
          </cell>
        </row>
        <row r="3821">
          <cell r="C3821">
            <v>3003800</v>
          </cell>
          <cell r="D3821" t="str">
            <v>SERVIÇOS DE CHAVEIROS</v>
          </cell>
          <cell r="E3821" t="str">
            <v>UN</v>
          </cell>
        </row>
        <row r="3822">
          <cell r="C3822">
            <v>3003801</v>
          </cell>
          <cell r="D3822" t="str">
            <v>SERVIÇOS DE CONFECÇÃO DE CARIMBOS</v>
          </cell>
          <cell r="E3822" t="str">
            <v>UN</v>
          </cell>
        </row>
        <row r="3823">
          <cell r="C3823">
            <v>3003802</v>
          </cell>
          <cell r="D3823" t="str">
            <v>SERVIÇOS DE DESENHOS TÉCNICOS</v>
          </cell>
          <cell r="E3823" t="str">
            <v>H</v>
          </cell>
        </row>
        <row r="3824">
          <cell r="C3824">
            <v>3003803</v>
          </cell>
          <cell r="D3824" t="str">
            <v>SERVIÇOS DE DESENHOS TÉCNICOS</v>
          </cell>
          <cell r="E3824" t="str">
            <v>PC</v>
          </cell>
        </row>
        <row r="3825">
          <cell r="C3825">
            <v>3003804</v>
          </cell>
          <cell r="D3825" t="str">
            <v>DESENHOS TECNICOS</v>
          </cell>
          <cell r="E3825" t="str">
            <v>SV</v>
          </cell>
        </row>
        <row r="3826">
          <cell r="C3826">
            <v>3003805</v>
          </cell>
          <cell r="D3826" t="str">
            <v>SERVIÇOS DE DESENHOS TÉCNICOS</v>
          </cell>
          <cell r="E3826" t="str">
            <v>UN</v>
          </cell>
        </row>
        <row r="3827">
          <cell r="C3827">
            <v>3003806</v>
          </cell>
          <cell r="D3827" t="str">
            <v>DESEMB,DESPACH,EMISSAO VISTO PASSAPORTE</v>
          </cell>
          <cell r="E3827" t="str">
            <v>SV</v>
          </cell>
        </row>
        <row r="3828">
          <cell r="C3828">
            <v>3003807</v>
          </cell>
          <cell r="D3828" t="str">
            <v>SERVIÇOS DE DESPACHANTES ADUANEIRO</v>
          </cell>
          <cell r="E3828" t="str">
            <v>UN</v>
          </cell>
        </row>
        <row r="3829">
          <cell r="C3829">
            <v>3003808</v>
          </cell>
          <cell r="D3829" t="str">
            <v>SERVIÇOS DE DESPACHO DE MINA</v>
          </cell>
          <cell r="E3829" t="str">
            <v>UN</v>
          </cell>
        </row>
        <row r="3830">
          <cell r="C3830">
            <v>3003809</v>
          </cell>
          <cell r="D3830" t="str">
            <v>SERVIÇOS DE DRAGAGEM MECANIZADA EM GERAL</v>
          </cell>
          <cell r="E3830" t="str">
            <v>H</v>
          </cell>
        </row>
        <row r="3831">
          <cell r="C3831">
            <v>3003810</v>
          </cell>
          <cell r="D3831" t="str">
            <v>SERVIÇOS DE DRAGAGEM MECANIZADA EM GERAL</v>
          </cell>
          <cell r="E3831" t="str">
            <v>KMS</v>
          </cell>
        </row>
        <row r="3832">
          <cell r="C3832">
            <v>3003811</v>
          </cell>
          <cell r="D3832" t="str">
            <v>SERVIÇOS DE DRAGAGEM MECANIZADA EM GERAL</v>
          </cell>
          <cell r="E3832" t="str">
            <v>M</v>
          </cell>
        </row>
        <row r="3833">
          <cell r="C3833">
            <v>3003812</v>
          </cell>
          <cell r="D3833" t="str">
            <v>SERVIÇOS DE DRAGAGEM MECANIZADA EM GERAL</v>
          </cell>
          <cell r="E3833" t="str">
            <v>M2</v>
          </cell>
        </row>
        <row r="3834">
          <cell r="C3834">
            <v>3003813</v>
          </cell>
          <cell r="D3834" t="str">
            <v>SERVIÇOS DE DRAGAGEM MECANIZADA EM GERAL</v>
          </cell>
          <cell r="E3834" t="str">
            <v>M3</v>
          </cell>
        </row>
        <row r="3835">
          <cell r="C3835">
            <v>3003814</v>
          </cell>
          <cell r="D3835" t="str">
            <v>SERVIÇOS DE DRAGAGEM MECANIZADA EM GERAL</v>
          </cell>
          <cell r="E3835" t="str">
            <v>MES</v>
          </cell>
        </row>
        <row r="3836">
          <cell r="C3836">
            <v>3003815</v>
          </cell>
          <cell r="D3836" t="str">
            <v>LIMP,DRAGAGEM D RIO,LAGOA,REPRESA E CONG</v>
          </cell>
          <cell r="E3836" t="str">
            <v>SV</v>
          </cell>
        </row>
        <row r="3837">
          <cell r="C3837">
            <v>3003816</v>
          </cell>
          <cell r="D3837" t="str">
            <v>SERVIÇOS DE DRAGAGEM MECANIZADA EM GERAL</v>
          </cell>
          <cell r="E3837" t="str">
            <v>TO</v>
          </cell>
        </row>
        <row r="3838">
          <cell r="C3838">
            <v>3003817</v>
          </cell>
          <cell r="D3838" t="str">
            <v>SERVIÇOS DE DRAGAGEM MECANIZADA EM GERAL</v>
          </cell>
          <cell r="E3838" t="str">
            <v>UN</v>
          </cell>
        </row>
        <row r="3839">
          <cell r="C3839">
            <v>3003818</v>
          </cell>
          <cell r="D3839" t="str">
            <v>SHOW,DANCA,DESFILE,BAILE,CONCERTO E CONG</v>
          </cell>
          <cell r="E3839" t="str">
            <v>SV</v>
          </cell>
        </row>
        <row r="3840">
          <cell r="C3840">
            <v>3003819</v>
          </cell>
          <cell r="D3840" t="str">
            <v>SERVIÇOS DE ENTRETENIMENTO E SIMILARES</v>
          </cell>
          <cell r="E3840" t="str">
            <v>UN</v>
          </cell>
        </row>
        <row r="3841">
          <cell r="C3841">
            <v>3003820</v>
          </cell>
          <cell r="D3841" t="str">
            <v>SERVIÇOS DE ESTUDO E PROJETO OBRA CIVÍL</v>
          </cell>
          <cell r="E3841" t="str">
            <v>DIA</v>
          </cell>
        </row>
        <row r="3842">
          <cell r="C3842">
            <v>3003821</v>
          </cell>
          <cell r="D3842" t="str">
            <v>SERVIÇOS DE ESTUDO E PROJETO OBRA CIVÍL</v>
          </cell>
          <cell r="E3842" t="str">
            <v>dm3</v>
          </cell>
        </row>
        <row r="3843">
          <cell r="C3843">
            <v>3003822</v>
          </cell>
          <cell r="D3843" t="str">
            <v>SERVIÇOS DE ESTUDO E PROJETO OBRA CIVÍL</v>
          </cell>
          <cell r="E3843" t="str">
            <v>H</v>
          </cell>
        </row>
        <row r="3844">
          <cell r="C3844">
            <v>3003823</v>
          </cell>
          <cell r="D3844" t="str">
            <v>SERVIÇOS DE ESTUDO E PROJETO OBRA CIVÍL</v>
          </cell>
          <cell r="E3844" t="str">
            <v>HA</v>
          </cell>
        </row>
        <row r="3845">
          <cell r="C3845">
            <v>3003824</v>
          </cell>
          <cell r="D3845" t="str">
            <v>SERVIÇOS DE ESTUDO E PROJETO OBRA CIVÍL</v>
          </cell>
          <cell r="E3845" t="str">
            <v>KG</v>
          </cell>
        </row>
        <row r="3846">
          <cell r="C3846">
            <v>3003825</v>
          </cell>
          <cell r="D3846" t="str">
            <v>SERVIÇOS DE ESTUDO E PROJETO OBRA CIVÍL</v>
          </cell>
          <cell r="E3846" t="str">
            <v>KMS</v>
          </cell>
        </row>
        <row r="3847">
          <cell r="C3847">
            <v>3003826</v>
          </cell>
          <cell r="D3847" t="str">
            <v>SERVIÇOS DE ESTUDO E PROJETO OBRA CIVÍL</v>
          </cell>
          <cell r="E3847" t="str">
            <v>L</v>
          </cell>
        </row>
        <row r="3848">
          <cell r="C3848">
            <v>3003827</v>
          </cell>
          <cell r="D3848" t="str">
            <v>SERVIÇOS DE ESTUDO E PROJETO OBRA CIVÍL</v>
          </cell>
          <cell r="E3848" t="str">
            <v>M</v>
          </cell>
        </row>
        <row r="3849">
          <cell r="C3849">
            <v>3003828</v>
          </cell>
          <cell r="D3849" t="str">
            <v>SERVIÇOS DE ESTUDO E PROJETO OBRA CIVÍL</v>
          </cell>
          <cell r="E3849" t="str">
            <v>M2</v>
          </cell>
        </row>
        <row r="3850">
          <cell r="C3850">
            <v>3003829</v>
          </cell>
          <cell r="D3850" t="str">
            <v>SERVIÇOS DE ESTUDO E PROJETO OBRA CIVÍL</v>
          </cell>
          <cell r="E3850" t="str">
            <v>M3</v>
          </cell>
        </row>
        <row r="3851">
          <cell r="C3851">
            <v>3003830</v>
          </cell>
          <cell r="D3851" t="str">
            <v>SERVIÇOS DE ESTUDO E PROJETO OBRA CIVÍL</v>
          </cell>
          <cell r="E3851" t="str">
            <v>MES</v>
          </cell>
        </row>
        <row r="3852">
          <cell r="C3852">
            <v>3003831</v>
          </cell>
          <cell r="D3852" t="str">
            <v>SERVIÇOS DE ESTUDO E PROJETO OBRA CIVÍL</v>
          </cell>
          <cell r="E3852" t="str">
            <v>ML</v>
          </cell>
        </row>
        <row r="3853">
          <cell r="C3853">
            <v>3003832</v>
          </cell>
          <cell r="D3853" t="str">
            <v>SERVIÇOS DE ESTUDO E PROJETO OBRA CIVÍL</v>
          </cell>
          <cell r="E3853" t="str">
            <v>PC</v>
          </cell>
        </row>
        <row r="3854">
          <cell r="C3854">
            <v>3003833</v>
          </cell>
          <cell r="D3854" t="str">
            <v>SERVIÇOS DE ESTUDO E PROJETO OBRA CIVÍL</v>
          </cell>
          <cell r="E3854" t="str">
            <v>SV</v>
          </cell>
        </row>
        <row r="3855">
          <cell r="C3855">
            <v>3003834</v>
          </cell>
          <cell r="D3855" t="str">
            <v>SERVIÇOS DE ESTUDO E PROJETO OBRA CIVÍL</v>
          </cell>
          <cell r="E3855" t="str">
            <v>TO</v>
          </cell>
        </row>
        <row r="3856">
          <cell r="C3856">
            <v>3003835</v>
          </cell>
          <cell r="D3856" t="str">
            <v>SERVIÇOS DE ESTUDO E PROJETO OBRA CIVÍL</v>
          </cell>
          <cell r="E3856" t="str">
            <v>UN</v>
          </cell>
        </row>
        <row r="3857">
          <cell r="C3857">
            <v>3003836</v>
          </cell>
          <cell r="D3857" t="str">
            <v>SERVIÇOS DE GUARDA DE SEGURANÇA</v>
          </cell>
          <cell r="E3857" t="str">
            <v>H</v>
          </cell>
        </row>
        <row r="3858">
          <cell r="C3858">
            <v>3003837</v>
          </cell>
          <cell r="D3858" t="str">
            <v>SERVIÇOS DE GUARDA DE SEGURANÇA</v>
          </cell>
          <cell r="E3858" t="str">
            <v>MES</v>
          </cell>
        </row>
        <row r="3859">
          <cell r="C3859">
            <v>3003838</v>
          </cell>
          <cell r="D3859" t="str">
            <v>SERVIÇOS DE GUARDA DE SEGURANÇA</v>
          </cell>
          <cell r="E3859" t="str">
            <v>SV</v>
          </cell>
        </row>
        <row r="3860">
          <cell r="C3860">
            <v>3003839</v>
          </cell>
          <cell r="D3860" t="str">
            <v>SERVIÇOS DE GUARDA DE SEGURANÇA</v>
          </cell>
          <cell r="E3860" t="str">
            <v>UN</v>
          </cell>
        </row>
        <row r="3861">
          <cell r="C3861">
            <v>3003840</v>
          </cell>
          <cell r="D3861" t="str">
            <v>SERVIÃ‡OS DE INFRAESTRUTURA DE AUTOMAÃ‡Ã</v>
          </cell>
          <cell r="E3861" t="str">
            <v>DIA</v>
          </cell>
        </row>
        <row r="3862">
          <cell r="C3862">
            <v>3003841</v>
          </cell>
          <cell r="D3862" t="str">
            <v>SERVIÃ‡OS DE INFRAESTRUTURA DE AUTOMAÃ‡Ã</v>
          </cell>
          <cell r="E3862" t="str">
            <v>H</v>
          </cell>
        </row>
        <row r="3863">
          <cell r="C3863">
            <v>3003842</v>
          </cell>
          <cell r="D3863" t="str">
            <v>SERVIÃ‡OS DE INFRAESTRUTURA DE AUTOMAÃ‡Ã</v>
          </cell>
          <cell r="E3863" t="str">
            <v>MES</v>
          </cell>
        </row>
        <row r="3864">
          <cell r="C3864">
            <v>3003843</v>
          </cell>
          <cell r="D3864" t="str">
            <v>AUTOMACAO</v>
          </cell>
          <cell r="E3864" t="str">
            <v>SV</v>
          </cell>
        </row>
        <row r="3865">
          <cell r="C3865">
            <v>3003844</v>
          </cell>
          <cell r="D3865" t="str">
            <v>SERVIÃ‡OS DE INFRAESTRUTURA DE AUTOMAÃ‡Ã</v>
          </cell>
          <cell r="E3865" t="str">
            <v>UN</v>
          </cell>
        </row>
        <row r="3866">
          <cell r="C3866">
            <v>3003845</v>
          </cell>
          <cell r="D3866" t="str">
            <v>SERVIÇOS DE LIMPEZA INDUSTRIAL MANUAL</v>
          </cell>
          <cell r="E3866" t="str">
            <v>DIA</v>
          </cell>
        </row>
        <row r="3867">
          <cell r="C3867">
            <v>3003846</v>
          </cell>
          <cell r="D3867" t="str">
            <v>SERVIÇOS DE LIMPEZA INDUSTRIAL MANUAL</v>
          </cell>
          <cell r="E3867" t="str">
            <v>H</v>
          </cell>
        </row>
        <row r="3868">
          <cell r="C3868">
            <v>3003847</v>
          </cell>
          <cell r="D3868" t="str">
            <v>SERVIÇOS DE LIMPEZA INDUSTRIAL MANUAL</v>
          </cell>
          <cell r="E3868" t="str">
            <v>KG</v>
          </cell>
        </row>
        <row r="3869">
          <cell r="C3869">
            <v>3003848</v>
          </cell>
          <cell r="D3869" t="str">
            <v>SERVIÇOS DE LIMPEZA INDUSTRIAL MANUAL</v>
          </cell>
          <cell r="E3869" t="str">
            <v>KMS</v>
          </cell>
        </row>
        <row r="3870">
          <cell r="C3870">
            <v>3003849</v>
          </cell>
          <cell r="D3870" t="str">
            <v>SERVIÇOS DE LIMPEZA INDUSTRIAL MANUAL</v>
          </cell>
          <cell r="E3870" t="str">
            <v>M</v>
          </cell>
        </row>
        <row r="3871">
          <cell r="C3871">
            <v>3003850</v>
          </cell>
          <cell r="D3871" t="str">
            <v>SERVIÇOS DE LIMPEZA INDUSTRIAL MANUAL</v>
          </cell>
          <cell r="E3871" t="str">
            <v>M2</v>
          </cell>
        </row>
        <row r="3872">
          <cell r="C3872">
            <v>3003851</v>
          </cell>
          <cell r="D3872" t="str">
            <v>SERVIÇOS DE LIMPEZA INDUSTRIAL MANUAL</v>
          </cell>
          <cell r="E3872" t="str">
            <v>M3</v>
          </cell>
        </row>
        <row r="3873">
          <cell r="C3873">
            <v>3003852</v>
          </cell>
          <cell r="D3873" t="str">
            <v>SERVIÇOS DE LIMPEZA INDUSTRIAL MANUAL</v>
          </cell>
          <cell r="E3873" t="str">
            <v>MES</v>
          </cell>
        </row>
        <row r="3874">
          <cell r="C3874">
            <v>3003853</v>
          </cell>
          <cell r="D3874" t="str">
            <v>SERVIÇOS DE LIMPEZA INDUSTRIAL MANUAL</v>
          </cell>
          <cell r="E3874" t="str">
            <v>MM</v>
          </cell>
        </row>
        <row r="3875">
          <cell r="C3875">
            <v>3003854</v>
          </cell>
          <cell r="D3875" t="str">
            <v>SERVIÇOS DE LIMPEZA INDUSTRIAL MANUAL</v>
          </cell>
          <cell r="E3875" t="str">
            <v>PC</v>
          </cell>
        </row>
        <row r="3876">
          <cell r="C3876">
            <v>3003855</v>
          </cell>
          <cell r="D3876" t="str">
            <v>SERVIÇOS DE LIMPEZA INDUSTRIAL MANUAL</v>
          </cell>
          <cell r="E3876" t="str">
            <v>SV</v>
          </cell>
        </row>
        <row r="3877">
          <cell r="C3877">
            <v>3003856</v>
          </cell>
          <cell r="D3877" t="str">
            <v>SERVIÇOS DE LIMPEZA INDUSTRIAL MANUAL</v>
          </cell>
          <cell r="E3877" t="str">
            <v>UN</v>
          </cell>
        </row>
        <row r="3878">
          <cell r="C3878">
            <v>3003857</v>
          </cell>
          <cell r="D3878" t="str">
            <v>SERVIÇOS DE LIMPEZA PREDIAL EM GERAL</v>
          </cell>
          <cell r="E3878" t="str">
            <v>H</v>
          </cell>
        </row>
        <row r="3879">
          <cell r="C3879">
            <v>3003858</v>
          </cell>
          <cell r="D3879" t="str">
            <v>SERVIÇOS DE LIMPEZA PREDIAL EM GERAL</v>
          </cell>
          <cell r="E3879" t="str">
            <v>M2</v>
          </cell>
        </row>
        <row r="3880">
          <cell r="C3880">
            <v>3003859</v>
          </cell>
          <cell r="D3880" t="str">
            <v>SERVIÇOS DE LIMPEZA PREDIAL EM GERAL</v>
          </cell>
          <cell r="E3880" t="str">
            <v>M3</v>
          </cell>
        </row>
        <row r="3881">
          <cell r="C3881">
            <v>3003860</v>
          </cell>
          <cell r="D3881" t="str">
            <v>SERVIÇOS DE LIMPEZA PREDIAL EM GERAL</v>
          </cell>
          <cell r="E3881" t="str">
            <v>MES</v>
          </cell>
        </row>
        <row r="3882">
          <cell r="C3882">
            <v>3003861</v>
          </cell>
          <cell r="D3882" t="str">
            <v>LIMPEZA EM GERAL.</v>
          </cell>
          <cell r="E3882" t="str">
            <v>SV</v>
          </cell>
        </row>
        <row r="3883">
          <cell r="C3883">
            <v>3003862</v>
          </cell>
          <cell r="D3883" t="str">
            <v>SERVIÇOS DE LIMPEZA PREDIAL EM GERAL</v>
          </cell>
          <cell r="E3883" t="str">
            <v>UN</v>
          </cell>
        </row>
        <row r="3884">
          <cell r="C3884">
            <v>3003863</v>
          </cell>
          <cell r="D3884" t="str">
            <v>SERVIÇOS DE METEOROLOGIA</v>
          </cell>
          <cell r="E3884" t="str">
            <v>DIA</v>
          </cell>
        </row>
        <row r="3885">
          <cell r="C3885">
            <v>3003864</v>
          </cell>
          <cell r="D3885" t="str">
            <v>SERVIÇOS DE METEOROLOGIA</v>
          </cell>
          <cell r="E3885" t="str">
            <v>MES</v>
          </cell>
        </row>
        <row r="3886">
          <cell r="C3886">
            <v>3003865</v>
          </cell>
          <cell r="D3886" t="str">
            <v>SERVIÇOS DE METEOROLOGIA.</v>
          </cell>
          <cell r="E3886" t="str">
            <v>SV</v>
          </cell>
        </row>
        <row r="3887">
          <cell r="C3887">
            <v>3003866</v>
          </cell>
          <cell r="D3887" t="str">
            <v>SERVIÇOS DE METEOROLOGIA</v>
          </cell>
          <cell r="E3887" t="str">
            <v>UN</v>
          </cell>
        </row>
        <row r="3888">
          <cell r="C3888">
            <v>3003867</v>
          </cell>
          <cell r="D3888" t="str">
            <v>SERVIÃ‡OS DE MOVIMENTAÃ‡ÃƒO INTERNA</v>
          </cell>
          <cell r="E3888" t="str">
            <v>H</v>
          </cell>
        </row>
        <row r="3889">
          <cell r="C3889">
            <v>3003868</v>
          </cell>
          <cell r="D3889" t="str">
            <v>MOV MAT,CARGA,DESCARGA,ARRUM,ARMAZENAM</v>
          </cell>
          <cell r="E3889" t="str">
            <v>SV</v>
          </cell>
        </row>
        <row r="3890">
          <cell r="C3890">
            <v>3003869</v>
          </cell>
          <cell r="D3890" t="str">
            <v>MOV MAT,CARGA,DESCARGA,ARRUM,ARMAZENAM</v>
          </cell>
          <cell r="E3890" t="str">
            <v>SV</v>
          </cell>
        </row>
        <row r="3891">
          <cell r="C3891">
            <v>3003870</v>
          </cell>
          <cell r="D3891" t="str">
            <v>SERVIÃ‡OS DE MOVIMENTAÃ‡ÃƒO INTERNA</v>
          </cell>
          <cell r="E3891" t="str">
            <v>TO</v>
          </cell>
        </row>
        <row r="3892">
          <cell r="C3892">
            <v>3003871</v>
          </cell>
          <cell r="D3892" t="str">
            <v>SERVIÇOS DE MOVIMENTAÇÃO INTERNA</v>
          </cell>
          <cell r="E3892" t="str">
            <v>UN</v>
          </cell>
        </row>
        <row r="3893">
          <cell r="C3893">
            <v>3003872</v>
          </cell>
          <cell r="D3893" t="str">
            <v>SERVIÇOS DE MUSEOLOGIA</v>
          </cell>
          <cell r="E3893" t="str">
            <v>UN</v>
          </cell>
        </row>
        <row r="3894">
          <cell r="C3894">
            <v>3003873</v>
          </cell>
          <cell r="D3894" t="str">
            <v>SRV TERMINAIS ROD,FERROV,METROV,MOV,MERC</v>
          </cell>
          <cell r="E3894" t="str">
            <v>SV</v>
          </cell>
        </row>
        <row r="3895">
          <cell r="C3895">
            <v>3003874</v>
          </cell>
          <cell r="D3895" t="str">
            <v>SERVIÃ‡OS DE PINTURA INDUSTRIAL</v>
          </cell>
          <cell r="E3895" t="str">
            <v>DIA</v>
          </cell>
        </row>
        <row r="3896">
          <cell r="C3896">
            <v>3003875</v>
          </cell>
          <cell r="D3896" t="str">
            <v>SERVIÃ‡OS DE PINTURA INDUSTRIAL</v>
          </cell>
          <cell r="E3896" t="str">
            <v>H</v>
          </cell>
        </row>
        <row r="3897">
          <cell r="C3897">
            <v>3003876</v>
          </cell>
          <cell r="D3897" t="str">
            <v>SERVIÃ‡OS DE PINTURA INDUSTRIAL</v>
          </cell>
          <cell r="E3897" t="str">
            <v>KG</v>
          </cell>
        </row>
        <row r="3898">
          <cell r="C3898">
            <v>3003877</v>
          </cell>
          <cell r="D3898" t="str">
            <v>SERVIÃ‡OS DE PINTURA INDUSTRIAL</v>
          </cell>
          <cell r="E3898" t="str">
            <v>M</v>
          </cell>
        </row>
        <row r="3899">
          <cell r="C3899">
            <v>3003878</v>
          </cell>
          <cell r="D3899" t="str">
            <v>SERVIÃ‡OS DE PINTURA INDUSTRIAL</v>
          </cell>
          <cell r="E3899" t="str">
            <v>M2</v>
          </cell>
        </row>
        <row r="3900">
          <cell r="C3900">
            <v>3003879</v>
          </cell>
          <cell r="D3900" t="str">
            <v>SERVIÃ‡OS DE PINTURA INDUSTRIAL</v>
          </cell>
          <cell r="E3900" t="str">
            <v>M3</v>
          </cell>
        </row>
        <row r="3901">
          <cell r="C3901">
            <v>3003880</v>
          </cell>
          <cell r="D3901" t="str">
            <v>RESTAUR,PINT,CROMAG,BENEF,TING,GALV</v>
          </cell>
          <cell r="E3901" t="str">
            <v>SV</v>
          </cell>
        </row>
        <row r="3902">
          <cell r="C3902">
            <v>3003881</v>
          </cell>
          <cell r="D3902" t="str">
            <v>SERVIÃ‡OS DE PINTURA INDUSTRIAL</v>
          </cell>
          <cell r="E3902" t="str">
            <v>PC</v>
          </cell>
        </row>
        <row r="3903">
          <cell r="C3903">
            <v>3003882</v>
          </cell>
          <cell r="D3903" t="str">
            <v>RESTAUR,PINT,CROMAG,BENEF,TING,GALV</v>
          </cell>
          <cell r="E3903" t="str">
            <v>SV</v>
          </cell>
        </row>
        <row r="3904">
          <cell r="C3904">
            <v>3003883</v>
          </cell>
          <cell r="D3904" t="str">
            <v>SERVIÃ‡OS DE PINTURA INDUSTRIAL</v>
          </cell>
          <cell r="E3904" t="str">
            <v>UN</v>
          </cell>
        </row>
        <row r="3905">
          <cell r="C3905">
            <v>3003884</v>
          </cell>
          <cell r="D3905" t="str">
            <v>SERVIÃ‡OS DE RETIRADA DE FAUNA E FLORA</v>
          </cell>
          <cell r="E3905" t="str">
            <v>SV</v>
          </cell>
        </row>
        <row r="3906">
          <cell r="C3906">
            <v>3003885</v>
          </cell>
          <cell r="D3906" t="str">
            <v>SERVIÇOS DE RETIRADA DE FAUNA E FLORA</v>
          </cell>
          <cell r="E3906" t="str">
            <v>UN</v>
          </cell>
        </row>
        <row r="3907">
          <cell r="C3907">
            <v>3003886</v>
          </cell>
          <cell r="D3907" t="str">
            <v>SERVIÇOS DE ROBÓTICA</v>
          </cell>
          <cell r="E3907" t="str">
            <v>UN</v>
          </cell>
        </row>
        <row r="3908">
          <cell r="C3908">
            <v>3003887</v>
          </cell>
          <cell r="D3908" t="str">
            <v>SERVIÇOS DE SILKSCREEN</v>
          </cell>
          <cell r="E3908" t="str">
            <v>UN</v>
          </cell>
        </row>
        <row r="3909">
          <cell r="C3909">
            <v>3003888</v>
          </cell>
          <cell r="D3909" t="str">
            <v>SERVIÇOS DE SISTEMA DE DESPACHO DE MINA</v>
          </cell>
          <cell r="E3909" t="str">
            <v>H</v>
          </cell>
        </row>
        <row r="3910">
          <cell r="C3910">
            <v>3003889</v>
          </cell>
          <cell r="D3910" t="str">
            <v>SERVIÇOS DE SISTEMA DE DESPACHO DE MINA</v>
          </cell>
          <cell r="E3910" t="str">
            <v>MES</v>
          </cell>
        </row>
        <row r="3911">
          <cell r="C3911">
            <v>3003890</v>
          </cell>
          <cell r="D3911" t="str">
            <v>MANUT CONSERV MAQS,EQUIPS MOV,PC,MOTORES</v>
          </cell>
          <cell r="E3911" t="str">
            <v>SV</v>
          </cell>
        </row>
        <row r="3912">
          <cell r="C3912">
            <v>3003891</v>
          </cell>
          <cell r="D3912" t="str">
            <v>SERVIÇOS DE SISTEMA DE DESPACHO DE MINA</v>
          </cell>
          <cell r="E3912" t="str">
            <v>UN</v>
          </cell>
        </row>
        <row r="3913">
          <cell r="C3913">
            <v>3003892</v>
          </cell>
          <cell r="D3913" t="str">
            <v>SERVIÃ‡OS DE SISTEMA DE MONITORAÃ‡ÃƒO</v>
          </cell>
          <cell r="E3913" t="str">
            <v>HA</v>
          </cell>
        </row>
        <row r="3914">
          <cell r="C3914">
            <v>3003893</v>
          </cell>
          <cell r="D3914" t="str">
            <v>VIG,SEG,PROTECAO MONIT DE BENS E PESSOAS</v>
          </cell>
          <cell r="E3914" t="str">
            <v>SV</v>
          </cell>
        </row>
        <row r="3915">
          <cell r="C3915">
            <v>3003894</v>
          </cell>
          <cell r="D3915" t="str">
            <v>VIG,SEG,PROTECAO MONIT DE BENS E PESSOAS</v>
          </cell>
          <cell r="E3915" t="str">
            <v>SV</v>
          </cell>
        </row>
        <row r="3916">
          <cell r="C3916">
            <v>3003895</v>
          </cell>
          <cell r="D3916" t="str">
            <v>SERVIÇOS DE SISTEMA DE MONITORAÇÃO</v>
          </cell>
          <cell r="E3916" t="str">
            <v>UN</v>
          </cell>
        </row>
        <row r="3917">
          <cell r="C3917">
            <v>3003896</v>
          </cell>
          <cell r="D3917" t="str">
            <v>SERVIÃ‡OS DE SISTEMA DE TELEMETRIA</v>
          </cell>
          <cell r="E3917" t="str">
            <v>H</v>
          </cell>
        </row>
        <row r="3918">
          <cell r="C3918">
            <v>3003897</v>
          </cell>
          <cell r="D3918" t="str">
            <v>SERVIÃ‡OS DE SISTEMA DE TELEMETRIA</v>
          </cell>
          <cell r="E3918" t="str">
            <v>MES</v>
          </cell>
        </row>
        <row r="3919">
          <cell r="C3919">
            <v>3003898</v>
          </cell>
          <cell r="D3919" t="str">
            <v>VIG/SEG PRESTADOS POR MEIO D MONIT ELETR</v>
          </cell>
          <cell r="E3919" t="str">
            <v>SV</v>
          </cell>
        </row>
        <row r="3920">
          <cell r="C3920">
            <v>3003899</v>
          </cell>
          <cell r="D3920" t="str">
            <v>SERVIÃ‡OS DE SISTEMA DE TELEMETRIA</v>
          </cell>
          <cell r="E3920" t="str">
            <v>UN</v>
          </cell>
        </row>
        <row r="3921">
          <cell r="C3921">
            <v>3003900</v>
          </cell>
          <cell r="D3921" t="str">
            <v>SERVIÇOS DE SUBESTAÇÕES ELÉTRICAS</v>
          </cell>
          <cell r="E3921" t="str">
            <v>H</v>
          </cell>
        </row>
        <row r="3922">
          <cell r="C3922">
            <v>3003901</v>
          </cell>
          <cell r="D3922" t="str">
            <v>INSTAL,MONT DE PROD,PC,EQUIPS DE OBRAS</v>
          </cell>
          <cell r="E3922" t="str">
            <v>SV</v>
          </cell>
        </row>
        <row r="3923">
          <cell r="C3923">
            <v>3003902</v>
          </cell>
          <cell r="D3923" t="str">
            <v>SERVIÇOS DE SUBESTAÇÕES ELÉTRICAS</v>
          </cell>
          <cell r="E3923" t="str">
            <v>KMS</v>
          </cell>
        </row>
        <row r="3924">
          <cell r="C3924">
            <v>3003903</v>
          </cell>
          <cell r="D3924" t="str">
            <v>INSTAL,MONT DE PROD,PC,EQUIPS DE OBRAS</v>
          </cell>
          <cell r="E3924" t="str">
            <v>SV</v>
          </cell>
        </row>
        <row r="3925">
          <cell r="C3925">
            <v>3003904</v>
          </cell>
          <cell r="D3925" t="str">
            <v>INSTAL,MONT DE PROD,PC,EQUIPS DE OBRAS</v>
          </cell>
          <cell r="E3925" t="str">
            <v>SV</v>
          </cell>
        </row>
        <row r="3926">
          <cell r="C3926">
            <v>3003905</v>
          </cell>
          <cell r="D3926" t="str">
            <v>INSTAL,MONT DE PROD,PC,EQUIPS DE OBRAS</v>
          </cell>
          <cell r="E3926" t="str">
            <v>SV</v>
          </cell>
        </row>
        <row r="3927">
          <cell r="C3927">
            <v>3003906</v>
          </cell>
          <cell r="D3927" t="str">
            <v>SERVIÇOS DE SUBESTAÇÕES ELÉTRICAS</v>
          </cell>
          <cell r="E3927" t="str">
            <v>UN</v>
          </cell>
        </row>
        <row r="3928">
          <cell r="C3928">
            <v>3003907</v>
          </cell>
          <cell r="D3928" t="str">
            <v>SERVIÇOS DRAGAGEM OU DERROCAGEM FLUVIAL</v>
          </cell>
          <cell r="E3928" t="str">
            <v>H</v>
          </cell>
        </row>
        <row r="3929">
          <cell r="C3929">
            <v>3003908</v>
          </cell>
          <cell r="D3929" t="str">
            <v>SERVIÇOS DRAGAGEM OU DERROCAGEM FLUVIAL</v>
          </cell>
          <cell r="E3929" t="str">
            <v>M2</v>
          </cell>
        </row>
        <row r="3930">
          <cell r="C3930">
            <v>3003909</v>
          </cell>
          <cell r="D3930" t="str">
            <v>SERVIÇOS DRAGAGEM OU DERROCAGEM FLUVIAL</v>
          </cell>
          <cell r="E3930" t="str">
            <v>M3</v>
          </cell>
        </row>
        <row r="3931">
          <cell r="C3931">
            <v>3003910</v>
          </cell>
          <cell r="D3931" t="str">
            <v>SERVIÇOS DRAGAGEM OU DERROCAGEM FLUVIAL</v>
          </cell>
          <cell r="E3931" t="str">
            <v>MES</v>
          </cell>
        </row>
        <row r="3932">
          <cell r="C3932">
            <v>3003911</v>
          </cell>
          <cell r="D3932" t="str">
            <v>LIMP,DRAGAGEM D RIO,LAGOA,REPRESA E CONG</v>
          </cell>
          <cell r="E3932" t="str">
            <v>SV</v>
          </cell>
        </row>
        <row r="3933">
          <cell r="C3933">
            <v>3003912</v>
          </cell>
          <cell r="D3933" t="str">
            <v>SERVIÇOS DRAGAGEM OU DERROCAGEM FLUVIAL</v>
          </cell>
          <cell r="E3933" t="str">
            <v>UN</v>
          </cell>
        </row>
        <row r="3934">
          <cell r="C3934">
            <v>3003913</v>
          </cell>
          <cell r="D3934" t="str">
            <v>SERVIÇOS DRAGAGEM OU DERROCAGEM MARITIMA</v>
          </cell>
          <cell r="E3934" t="str">
            <v>H</v>
          </cell>
        </row>
        <row r="3935">
          <cell r="C3935">
            <v>3003914</v>
          </cell>
          <cell r="D3935" t="str">
            <v>SERVIÇOS DRAGAGEM OU DERROCAGEM MARITIMA</v>
          </cell>
          <cell r="E3935" t="str">
            <v>M</v>
          </cell>
        </row>
        <row r="3936">
          <cell r="C3936">
            <v>3003915</v>
          </cell>
          <cell r="D3936" t="str">
            <v>SERVIÇOS DRAGAGEM OU DERROCAGEM MARITIMA</v>
          </cell>
          <cell r="E3936" t="str">
            <v>M2</v>
          </cell>
        </row>
        <row r="3937">
          <cell r="C3937">
            <v>3003916</v>
          </cell>
          <cell r="D3937" t="str">
            <v>SERVIÇOS DRAGAGEM OU DERROCAGEM MARITIMA</v>
          </cell>
          <cell r="E3937" t="str">
            <v>M3</v>
          </cell>
        </row>
        <row r="3938">
          <cell r="C3938">
            <v>3003917</v>
          </cell>
          <cell r="D3938" t="str">
            <v>SERVIÇOS DRAGAGEM OU DERROCAGEM MARITIMA</v>
          </cell>
          <cell r="E3938" t="str">
            <v>MES</v>
          </cell>
        </row>
        <row r="3939">
          <cell r="C3939">
            <v>3003918</v>
          </cell>
          <cell r="D3939" t="str">
            <v>DEMAIS SERVICOS DE CONSTRUCAO CIVIL</v>
          </cell>
          <cell r="E3939" t="str">
            <v>SV</v>
          </cell>
        </row>
        <row r="3940">
          <cell r="C3940">
            <v>3003919</v>
          </cell>
          <cell r="D3940" t="str">
            <v>SERVIÇOS DRAGAGEM OU DERROCAGEM MARITIMA</v>
          </cell>
          <cell r="E3940" t="str">
            <v>UN</v>
          </cell>
        </row>
        <row r="3941">
          <cell r="C3941">
            <v>3003920</v>
          </cell>
          <cell r="D3941" t="str">
            <v>SERVIÇOS FARMACÊUTICOS.</v>
          </cell>
          <cell r="E3941" t="str">
            <v>SV</v>
          </cell>
        </row>
        <row r="3942">
          <cell r="C3942">
            <v>3003921</v>
          </cell>
          <cell r="D3942" t="str">
            <v>SERVIÇOS GERAIS DE INSTRUMENTAÇÃO</v>
          </cell>
          <cell r="E3942" t="str">
            <v>DIA</v>
          </cell>
        </row>
        <row r="3943">
          <cell r="C3943">
            <v>3003922</v>
          </cell>
          <cell r="D3943" t="str">
            <v>SERVIÇOS GERAIS DE INSTRUMENTAÇÃO</v>
          </cell>
          <cell r="E3943" t="str">
            <v>H</v>
          </cell>
        </row>
        <row r="3944">
          <cell r="C3944">
            <v>3003923</v>
          </cell>
          <cell r="D3944" t="str">
            <v>SERVIÇOS GERAIS DE INSTRUMENTAÇÃO</v>
          </cell>
          <cell r="E3944" t="str">
            <v>KG</v>
          </cell>
        </row>
        <row r="3945">
          <cell r="C3945">
            <v>3003924</v>
          </cell>
          <cell r="D3945" t="str">
            <v>SERVIÇOS GERAIS DE INSTRUMENTAÇÃO</v>
          </cell>
          <cell r="E3945" t="str">
            <v>PC</v>
          </cell>
        </row>
        <row r="3946">
          <cell r="C3946">
            <v>3003925</v>
          </cell>
          <cell r="D3946" t="str">
            <v>MANUT CONSERV MAQS,EQUIPS MOV,PC,MOTORES</v>
          </cell>
          <cell r="E3946" t="str">
            <v>SV</v>
          </cell>
        </row>
        <row r="3947">
          <cell r="C3947">
            <v>3003926</v>
          </cell>
          <cell r="D3947" t="str">
            <v>SERVIÇOS GERAIS DE INSTRUMENTAÇÃO</v>
          </cell>
          <cell r="E3947" t="str">
            <v>UN</v>
          </cell>
        </row>
        <row r="3948">
          <cell r="C3948">
            <v>3003927</v>
          </cell>
          <cell r="D3948" t="str">
            <v>SERVIÇOS LOCAÇÃO DE PESSOAL TEMPORÁRIO</v>
          </cell>
          <cell r="E3948" t="str">
            <v>DIA</v>
          </cell>
        </row>
        <row r="3949">
          <cell r="C3949">
            <v>3003928</v>
          </cell>
          <cell r="D3949" t="str">
            <v>SERVIÇOS LOCAÇÃO DE PESSOAL TEMPORÁRIO</v>
          </cell>
          <cell r="E3949" t="str">
            <v>H</v>
          </cell>
        </row>
        <row r="3950">
          <cell r="C3950">
            <v>3003929</v>
          </cell>
          <cell r="D3950" t="str">
            <v>SERVIÇOS LOCAÇÃO DE PESSOAL TEMPORÁRIO</v>
          </cell>
          <cell r="E3950" t="str">
            <v>M</v>
          </cell>
        </row>
        <row r="3951">
          <cell r="C3951">
            <v>3003930</v>
          </cell>
          <cell r="D3951" t="str">
            <v>SERVIÇOS LOCAÇÃO DE PESSOAL TEMPORÁRIO</v>
          </cell>
          <cell r="E3951" t="str">
            <v>M2</v>
          </cell>
        </row>
        <row r="3952">
          <cell r="C3952">
            <v>3003931</v>
          </cell>
          <cell r="D3952" t="str">
            <v>SERVIÇOS LOCAÇÃO DE PESSOAL TEMPORÁRIO</v>
          </cell>
          <cell r="E3952" t="str">
            <v>MES</v>
          </cell>
        </row>
        <row r="3953">
          <cell r="C3953">
            <v>3003932</v>
          </cell>
          <cell r="D3953" t="str">
            <v>OPER, FORNEC DE MAO-DE-OBRA OU OUTSOURC</v>
          </cell>
          <cell r="E3953" t="str">
            <v>SV</v>
          </cell>
        </row>
        <row r="3954">
          <cell r="C3954">
            <v>3003933</v>
          </cell>
          <cell r="D3954" t="str">
            <v>SERVIÇOS LOCAÇÃO DE PESSOAL TEMPORÁRIO</v>
          </cell>
          <cell r="E3954" t="str">
            <v>UN</v>
          </cell>
        </row>
        <row r="3955">
          <cell r="C3955">
            <v>3003934</v>
          </cell>
          <cell r="D3955" t="str">
            <v>ADM GERAL,DE BENS,NEGOCIOS DE TERCEIROS</v>
          </cell>
          <cell r="E3955" t="str">
            <v>SV</v>
          </cell>
        </row>
        <row r="3956">
          <cell r="C3956">
            <v>3003935</v>
          </cell>
          <cell r="D3956" t="str">
            <v>SERVIÇOS SISTEMA DE GESTÃO DE FERROVIA</v>
          </cell>
          <cell r="E3956" t="str">
            <v>UN</v>
          </cell>
        </row>
        <row r="3957">
          <cell r="C3957">
            <v>3003936</v>
          </cell>
          <cell r="D3957" t="str">
            <v>ADM GERAL,DE BENS,NEGOCIOS DE TERCEIROS</v>
          </cell>
          <cell r="E3957" t="str">
            <v>SV</v>
          </cell>
        </row>
        <row r="3958">
          <cell r="C3958">
            <v>3003937</v>
          </cell>
          <cell r="D3958" t="str">
            <v>SERVIÃ‡OS SISTEMA DE GESTÃƒO DE VEÃ�CULO</v>
          </cell>
          <cell r="E3958" t="str">
            <v>UN</v>
          </cell>
        </row>
        <row r="3959">
          <cell r="C3959">
            <v>3003938</v>
          </cell>
          <cell r="D3959" t="str">
            <v>SERVIÇOS TRANSPORTE NATUREZA MUNICIPAL</v>
          </cell>
          <cell r="E3959" t="str">
            <v>MES</v>
          </cell>
        </row>
        <row r="3960">
          <cell r="C3960">
            <v>3003939</v>
          </cell>
          <cell r="D3960" t="str">
            <v>TRANSPORTE DE CARGAS</v>
          </cell>
          <cell r="E3960" t="str">
            <v>SV</v>
          </cell>
        </row>
        <row r="3961">
          <cell r="C3961">
            <v>3003940</v>
          </cell>
          <cell r="D3961" t="str">
            <v>SERVIÇOS TRANSPORTE NATUREZA MUNICIPAL</v>
          </cell>
          <cell r="E3961" t="str">
            <v>UN</v>
          </cell>
        </row>
        <row r="3962">
          <cell r="C3962">
            <v>3003941</v>
          </cell>
          <cell r="D3962" t="str">
            <v>SISTEMA AUTOMAÃ‡ÃƒO, SIST DE INTEGR, ETC</v>
          </cell>
          <cell r="E3962" t="str">
            <v>H</v>
          </cell>
        </row>
        <row r="3963">
          <cell r="C3963">
            <v>3003942</v>
          </cell>
          <cell r="D3963" t="str">
            <v>SISTEMA AUTOMAÇÃO, SIST DE INTEGR, ETC</v>
          </cell>
          <cell r="E3963" t="str">
            <v>M</v>
          </cell>
        </row>
        <row r="3964">
          <cell r="C3964">
            <v>3003943</v>
          </cell>
          <cell r="D3964" t="str">
            <v>SISTEMA AUTOMAÇÃO, SIST DE INTEGR, ETC</v>
          </cell>
          <cell r="E3964" t="str">
            <v>M2</v>
          </cell>
        </row>
        <row r="3965">
          <cell r="C3965">
            <v>3003944</v>
          </cell>
          <cell r="D3965" t="str">
            <v>SISTEMA AUTOMAÇÃO, SIST DE INTEGR, ETC</v>
          </cell>
          <cell r="E3965" t="str">
            <v>M3</v>
          </cell>
        </row>
        <row r="3966">
          <cell r="C3966">
            <v>3003945</v>
          </cell>
          <cell r="D3966" t="str">
            <v>SISTEMA AUTOMAÇÃO, SIST DE INTEGR, ETC</v>
          </cell>
          <cell r="E3966" t="str">
            <v>PC</v>
          </cell>
        </row>
        <row r="3967">
          <cell r="C3967">
            <v>3003946</v>
          </cell>
          <cell r="D3967" t="str">
            <v>AUTOMACAO</v>
          </cell>
          <cell r="E3967" t="str">
            <v>SV</v>
          </cell>
        </row>
        <row r="3968">
          <cell r="C3968">
            <v>3003947</v>
          </cell>
          <cell r="D3968" t="str">
            <v>SISTEMA AUTOMAÃ‡ÃƒO, SIST DE INTEGR, ETC</v>
          </cell>
          <cell r="E3968" t="str">
            <v>UN</v>
          </cell>
        </row>
        <row r="3969">
          <cell r="C3969">
            <v>3003948</v>
          </cell>
          <cell r="D3969" t="str">
            <v>SISTEMA DE AUTOMAÇÃO P MANUT E SUPORTE</v>
          </cell>
          <cell r="E3969" t="str">
            <v>H</v>
          </cell>
        </row>
        <row r="3970">
          <cell r="C3970">
            <v>3003949</v>
          </cell>
          <cell r="D3970" t="str">
            <v>SISTEMA DE AUTOMAÇÃO P MANUT E SUPORTE</v>
          </cell>
          <cell r="E3970" t="str">
            <v>MES</v>
          </cell>
        </row>
        <row r="3971">
          <cell r="C3971">
            <v>3003950</v>
          </cell>
          <cell r="D3971" t="str">
            <v>SISTEMA DE AUTOMAÇÃO P MANUT E SUPORTE</v>
          </cell>
          <cell r="E3971" t="str">
            <v>PC</v>
          </cell>
        </row>
        <row r="3972">
          <cell r="C3972">
            <v>3003951</v>
          </cell>
          <cell r="D3972" t="str">
            <v>SUPORTE TECNICO EM INFORMATICA</v>
          </cell>
          <cell r="E3972" t="str">
            <v>SV</v>
          </cell>
        </row>
        <row r="3973">
          <cell r="C3973">
            <v>3003952</v>
          </cell>
          <cell r="D3973" t="str">
            <v>SISTEMA DE AUTOMAÇÃO P MANUT E SUPORTE</v>
          </cell>
          <cell r="E3973" t="str">
            <v>UN</v>
          </cell>
        </row>
        <row r="3974">
          <cell r="C3974">
            <v>3003953</v>
          </cell>
          <cell r="D3974" t="str">
            <v>SMOM-MOTORISTA-HORAEXTRA-100%</v>
          </cell>
          <cell r="E3974" t="str">
            <v>H</v>
          </cell>
        </row>
        <row r="3975">
          <cell r="C3975">
            <v>3003954</v>
          </cell>
          <cell r="D3975" t="str">
            <v>SMOM-MOTORISTA-HORAEXTRA-100%</v>
          </cell>
          <cell r="E3975" t="str">
            <v>UN</v>
          </cell>
        </row>
        <row r="3976">
          <cell r="C3976">
            <v>3003955</v>
          </cell>
          <cell r="D3976" t="str">
            <v>SMOM-MOTORISTA-HORAEXTRA-50%</v>
          </cell>
          <cell r="E3976" t="str">
            <v>H</v>
          </cell>
        </row>
        <row r="3977">
          <cell r="C3977">
            <v>3003956</v>
          </cell>
          <cell r="D3977" t="str">
            <v>SMOM-MOTORISTA-HORAEXTRA-50%</v>
          </cell>
          <cell r="E3977" t="str">
            <v>SV</v>
          </cell>
        </row>
        <row r="3978">
          <cell r="C3978">
            <v>3003957</v>
          </cell>
          <cell r="D3978" t="str">
            <v>SMOM-MOTORISTA-HORAEXTRA-50%</v>
          </cell>
          <cell r="E3978" t="str">
            <v>UN</v>
          </cell>
        </row>
        <row r="3979">
          <cell r="C3979">
            <v>3003958</v>
          </cell>
          <cell r="D3979" t="str">
            <v>SMOM-MOTORISTA-HORAEXTRA-AVISO</v>
          </cell>
          <cell r="E3979" t="str">
            <v>H</v>
          </cell>
        </row>
        <row r="3980">
          <cell r="C3980">
            <v>3003959</v>
          </cell>
          <cell r="D3980" t="str">
            <v>SMOM-MOTORISTA-HORAEXTRA-AVISO</v>
          </cell>
          <cell r="E3980" t="str">
            <v>UN</v>
          </cell>
        </row>
        <row r="3981">
          <cell r="C3981">
            <v>3003960</v>
          </cell>
          <cell r="D3981" t="str">
            <v>SMOM-MOTORISTA-REGIMEIII</v>
          </cell>
          <cell r="E3981" t="str">
            <v>UN</v>
          </cell>
        </row>
        <row r="3982">
          <cell r="C3982">
            <v>3003961</v>
          </cell>
          <cell r="D3982" t="str">
            <v>SMOM-MOTORISTA-REGIMEII</v>
          </cell>
          <cell r="E3982" t="str">
            <v>UN</v>
          </cell>
        </row>
        <row r="3983">
          <cell r="C3983">
            <v>3003962</v>
          </cell>
          <cell r="D3983" t="str">
            <v>SMOM-MOTORISTA-REGIMEI</v>
          </cell>
          <cell r="E3983" t="str">
            <v>UN</v>
          </cell>
        </row>
        <row r="3984">
          <cell r="C3984">
            <v>3003963</v>
          </cell>
          <cell r="D3984" t="str">
            <v>SMOM-MOTORISTA-REGIMEIV</v>
          </cell>
          <cell r="E3984" t="str">
            <v>UN</v>
          </cell>
        </row>
        <row r="3985">
          <cell r="C3985">
            <v>3003964</v>
          </cell>
          <cell r="D3985" t="str">
            <v>SMOM-MOTORISTA-REGIMEIX</v>
          </cell>
          <cell r="E3985" t="str">
            <v>UN</v>
          </cell>
        </row>
        <row r="3986">
          <cell r="C3986">
            <v>3003965</v>
          </cell>
          <cell r="D3986" t="str">
            <v>SMOM-MOTORISTA-REGIMEVIII</v>
          </cell>
          <cell r="E3986" t="str">
            <v>UN</v>
          </cell>
        </row>
        <row r="3987">
          <cell r="C3987">
            <v>3003966</v>
          </cell>
          <cell r="D3987" t="str">
            <v>SMOM-MOTORISTA-REGIMEVII</v>
          </cell>
          <cell r="E3987" t="str">
            <v>UN</v>
          </cell>
        </row>
        <row r="3988">
          <cell r="C3988">
            <v>3003967</v>
          </cell>
          <cell r="D3988" t="str">
            <v>SMOM-MOTORISTA-REGIMEVI</v>
          </cell>
          <cell r="E3988" t="str">
            <v>UN</v>
          </cell>
        </row>
        <row r="3989">
          <cell r="C3989">
            <v>3003968</v>
          </cell>
          <cell r="D3989" t="str">
            <v>SMOM-MOTORISTA-REGIMEV</v>
          </cell>
          <cell r="E3989" t="str">
            <v>UN</v>
          </cell>
        </row>
        <row r="3990">
          <cell r="C3990">
            <v>3003969</v>
          </cell>
          <cell r="D3990" t="str">
            <v>SMOM-MOTORISTA-REGIMEXII</v>
          </cell>
          <cell r="E3990" t="str">
            <v>UN</v>
          </cell>
        </row>
        <row r="3991">
          <cell r="C3991">
            <v>3003970</v>
          </cell>
          <cell r="D3991" t="str">
            <v>SMOM-MOTORISTA-REGIMEXI</v>
          </cell>
          <cell r="E3991" t="str">
            <v>UN</v>
          </cell>
        </row>
        <row r="3992">
          <cell r="C3992">
            <v>3003971</v>
          </cell>
          <cell r="D3992" t="str">
            <v>SMOM-MOTORISTA-REGIMEX</v>
          </cell>
          <cell r="E3992" t="str">
            <v>UN</v>
          </cell>
        </row>
        <row r="3993">
          <cell r="C3993">
            <v>3003972</v>
          </cell>
          <cell r="D3993" t="str">
            <v>SOCT-OPERAÇÃOCENTRALTRANSPORTE</v>
          </cell>
          <cell r="E3993" t="str">
            <v>UN</v>
          </cell>
        </row>
        <row r="3994">
          <cell r="C3994">
            <v>3003973</v>
          </cell>
          <cell r="D3994" t="str">
            <v>SOFTWARE - LICENCA E SUPORTE - EIM - SAP</v>
          </cell>
          <cell r="E3994" t="str">
            <v>H</v>
          </cell>
        </row>
        <row r="3995">
          <cell r="C3995">
            <v>3003974</v>
          </cell>
          <cell r="D3995" t="str">
            <v>SOFTWARE - LICENCA E SUPORTE - EIM - SAP</v>
          </cell>
          <cell r="E3995" t="str">
            <v>MES</v>
          </cell>
        </row>
        <row r="3996">
          <cell r="C3996">
            <v>3003975</v>
          </cell>
          <cell r="D3996" t="str">
            <v>SOFTWARE - LICENCA E SUPORTE - EIM - SAP</v>
          </cell>
          <cell r="E3996" t="str">
            <v>UN</v>
          </cell>
        </row>
        <row r="3997">
          <cell r="C3997">
            <v>3003976</v>
          </cell>
          <cell r="D3997" t="str">
            <v>SOFTWARE - LICENCA E SUPORTE - EIM - SAP</v>
          </cell>
          <cell r="E3997" t="str">
            <v>ANO</v>
          </cell>
        </row>
        <row r="3998">
          <cell r="C3998">
            <v>3003977</v>
          </cell>
          <cell r="D3998" t="str">
            <v>SOFTWARE - LICENCA E SUPORTE - EIM - SAP</v>
          </cell>
          <cell r="E3998" t="str">
            <v>DIA</v>
          </cell>
        </row>
        <row r="3999">
          <cell r="C3999">
            <v>3003978</v>
          </cell>
          <cell r="D3999" t="str">
            <v>SOFTWARE - LICENCA E SUPORTE - EIM - SAP</v>
          </cell>
          <cell r="E3999" t="str">
            <v>H</v>
          </cell>
        </row>
        <row r="4000">
          <cell r="C4000">
            <v>3003979</v>
          </cell>
          <cell r="D4000" t="str">
            <v>SOFTWARE - LICENCA E SUPORTE - EIM - SAP</v>
          </cell>
          <cell r="E4000" t="str">
            <v>MES</v>
          </cell>
        </row>
        <row r="4001">
          <cell r="C4001">
            <v>3003980</v>
          </cell>
          <cell r="D4001" t="str">
            <v>SOFTWARE - LICENCA E SUPORTE - EIM - SAP</v>
          </cell>
          <cell r="E4001" t="str">
            <v>SV</v>
          </cell>
        </row>
        <row r="4002">
          <cell r="C4002">
            <v>3003981</v>
          </cell>
          <cell r="D4002" t="str">
            <v>SOFTWARE - LICENCA E SUPORTE - EIM - SAP</v>
          </cell>
          <cell r="E4002" t="str">
            <v>UN</v>
          </cell>
        </row>
        <row r="4003">
          <cell r="C4003">
            <v>3003982</v>
          </cell>
          <cell r="D4003" t="str">
            <v>SONDAGEM</v>
          </cell>
          <cell r="E4003" t="str">
            <v>H</v>
          </cell>
        </row>
        <row r="4004">
          <cell r="C4004">
            <v>3003983</v>
          </cell>
          <cell r="D4004" t="str">
            <v>SONDAGEM</v>
          </cell>
          <cell r="E4004" t="str">
            <v>M</v>
          </cell>
        </row>
        <row r="4005">
          <cell r="C4005">
            <v>3003984</v>
          </cell>
          <cell r="D4005" t="str">
            <v>SONDAGEM</v>
          </cell>
          <cell r="E4005" t="str">
            <v>SV</v>
          </cell>
        </row>
        <row r="4006">
          <cell r="C4006">
            <v>3003985</v>
          </cell>
          <cell r="D4006" t="str">
            <v>SONDAGEM</v>
          </cell>
          <cell r="E4006" t="str">
            <v>UN</v>
          </cell>
        </row>
        <row r="4007">
          <cell r="C4007">
            <v>3003986</v>
          </cell>
          <cell r="D4007" t="str">
            <v>SRV AEROFOTOGRAMETRIA C INTERPRETAÇÃO</v>
          </cell>
          <cell r="E4007" t="str">
            <v>KM2</v>
          </cell>
        </row>
        <row r="4008">
          <cell r="C4008">
            <v>3003987</v>
          </cell>
          <cell r="D4008" t="str">
            <v>LOC D VEICULOS,BENS MOVEIS S CESSAO MDO</v>
          </cell>
          <cell r="E4008" t="str">
            <v>SV</v>
          </cell>
        </row>
        <row r="4009">
          <cell r="C4009">
            <v>3003988</v>
          </cell>
          <cell r="D4009" t="str">
            <v>SRV AEROFOTOGRAMETRIA C INTERPRETAÇÃO</v>
          </cell>
          <cell r="E4009" t="str">
            <v>KMS</v>
          </cell>
        </row>
        <row r="4010">
          <cell r="C4010">
            <v>3003989</v>
          </cell>
          <cell r="D4010" t="str">
            <v>AEROFOTOGR,CARTOGRAF,MAP,GEOL,IMAG SAT</v>
          </cell>
          <cell r="E4010" t="str">
            <v>SV</v>
          </cell>
        </row>
        <row r="4011">
          <cell r="C4011">
            <v>3003990</v>
          </cell>
          <cell r="D4011" t="str">
            <v>SRV AEROFOTOGRAMETRIA C INTERPRETAÇÃO</v>
          </cell>
          <cell r="E4011" t="str">
            <v>UN</v>
          </cell>
        </row>
        <row r="4012">
          <cell r="C4012">
            <v>3003991</v>
          </cell>
          <cell r="D4012" t="str">
            <v>SRV AGENCIAM,CORRETAG INTERM BENS MÓVEIS</v>
          </cell>
          <cell r="E4012" t="str">
            <v>UN</v>
          </cell>
        </row>
        <row r="4013">
          <cell r="C4013">
            <v>3003992</v>
          </cell>
          <cell r="D4013" t="str">
            <v>SRV ALUGUEL CONTAINER P IMPORT E EXPORT</v>
          </cell>
          <cell r="E4013" t="str">
            <v>DIA</v>
          </cell>
        </row>
        <row r="4014">
          <cell r="C4014">
            <v>3003993</v>
          </cell>
          <cell r="D4014" t="str">
            <v>SRV ALUGUEL CONTAINER P IMPORT E EXPORT</v>
          </cell>
          <cell r="E4014" t="str">
            <v>KMS</v>
          </cell>
        </row>
        <row r="4015">
          <cell r="C4015">
            <v>3003994</v>
          </cell>
          <cell r="D4015" t="str">
            <v>SRV ALUGUEL CONTAINER P IMPORT E EXPORT</v>
          </cell>
          <cell r="E4015" t="str">
            <v>M2</v>
          </cell>
        </row>
        <row r="4016">
          <cell r="C4016">
            <v>3003995</v>
          </cell>
          <cell r="D4016" t="str">
            <v>SRV ALUGUEL CONTAINER P IMPORT E EXPORT</v>
          </cell>
          <cell r="E4016" t="str">
            <v>MES</v>
          </cell>
        </row>
        <row r="4017">
          <cell r="C4017">
            <v>3003996</v>
          </cell>
          <cell r="D4017" t="str">
            <v>SRV ALUGUEL CONTAINER P IMPORT E EXPORT</v>
          </cell>
          <cell r="E4017" t="str">
            <v>SV</v>
          </cell>
        </row>
        <row r="4018">
          <cell r="C4018">
            <v>3003997</v>
          </cell>
          <cell r="D4018" t="str">
            <v>SRV ALUGUEL CONTAINER P IMPORT E EXPORT</v>
          </cell>
          <cell r="E4018" t="str">
            <v>UN</v>
          </cell>
        </row>
        <row r="4019">
          <cell r="C4019">
            <v>3003998</v>
          </cell>
          <cell r="D4019" t="str">
            <v>SRV ALUGUEL E INSTAL DE TOLDOS E TENDAS</v>
          </cell>
          <cell r="E4019" t="str">
            <v>DIA</v>
          </cell>
        </row>
        <row r="4020">
          <cell r="C4020">
            <v>3003999</v>
          </cell>
          <cell r="D4020" t="str">
            <v>SRV ALUGUEL E INSTAL DE TOLDOS E TENDAS</v>
          </cell>
          <cell r="E4020" t="str">
            <v>H</v>
          </cell>
        </row>
        <row r="4021">
          <cell r="C4021">
            <v>3004000</v>
          </cell>
          <cell r="D4021" t="str">
            <v>SRV ALUGUEL E INSTAL DE TOLDOS E TENDAS</v>
          </cell>
          <cell r="E4021" t="str">
            <v>JG</v>
          </cell>
        </row>
        <row r="4022">
          <cell r="C4022">
            <v>3004001</v>
          </cell>
          <cell r="D4022" t="str">
            <v>LOC ANDAIME,PALCO,ESTRUT USO TEMPORARIO</v>
          </cell>
          <cell r="E4022" t="str">
            <v>SV</v>
          </cell>
        </row>
        <row r="4023">
          <cell r="C4023">
            <v>3004002</v>
          </cell>
          <cell r="D4023" t="str">
            <v>SRV ALUGUEL E INSTAL DE TOLDOS E TENDAS</v>
          </cell>
          <cell r="E4023" t="str">
            <v>MES</v>
          </cell>
        </row>
        <row r="4024">
          <cell r="C4024">
            <v>3004003</v>
          </cell>
          <cell r="D4024" t="str">
            <v>LOC ANDAIME,PALCO,ESTRUT USO TEMPORARIO</v>
          </cell>
          <cell r="E4024" t="str">
            <v>SV</v>
          </cell>
        </row>
        <row r="4025">
          <cell r="C4025">
            <v>3004004</v>
          </cell>
          <cell r="D4025" t="str">
            <v>SRV ALUGUEL E INSTAL DE TOLDOS E TENDAS</v>
          </cell>
          <cell r="E4025" t="str">
            <v>UN</v>
          </cell>
        </row>
        <row r="4026">
          <cell r="C4026">
            <v>3004005</v>
          </cell>
          <cell r="D4026" t="str">
            <v>EMISSAO,CESSAO,SUBST,REG D CONTR D CRED</v>
          </cell>
          <cell r="E4026" t="str">
            <v>SV</v>
          </cell>
        </row>
        <row r="4027">
          <cell r="C4027">
            <v>3004006</v>
          </cell>
          <cell r="D4027" t="str">
            <v>SRV ANÁLISE E DESENVOLVIMENTO SISTEMAS</v>
          </cell>
          <cell r="E4027" t="str">
            <v>ANO</v>
          </cell>
        </row>
        <row r="4028">
          <cell r="C4028">
            <v>3004007</v>
          </cell>
          <cell r="D4028" t="str">
            <v>SRV ANÁLISE E DESENVOLVIMENTO SISTEMAS</v>
          </cell>
          <cell r="E4028" t="str">
            <v>H</v>
          </cell>
        </row>
        <row r="4029">
          <cell r="C4029">
            <v>3004008</v>
          </cell>
          <cell r="D4029" t="str">
            <v>SRV ANÁLISE E DESENVOLVIMENTO SISTEMAS</v>
          </cell>
          <cell r="E4029" t="str">
            <v>JG</v>
          </cell>
        </row>
        <row r="4030">
          <cell r="C4030">
            <v>3004009</v>
          </cell>
          <cell r="D4030" t="str">
            <v>SRV ANÁLISE E DESENVOLVIMENTO SISTEMAS</v>
          </cell>
          <cell r="E4030" t="str">
            <v>MES</v>
          </cell>
        </row>
        <row r="4031">
          <cell r="C4031">
            <v>3004010</v>
          </cell>
          <cell r="D4031" t="str">
            <v>ANALISE E DESENVOLVIMENTO DE SISTEMAS</v>
          </cell>
          <cell r="E4031" t="str">
            <v>SV</v>
          </cell>
        </row>
        <row r="4032">
          <cell r="C4032">
            <v>3004011</v>
          </cell>
          <cell r="D4032" t="str">
            <v>SRV ANÁLISE E DESENVOLVIMENTO SISTEMAS</v>
          </cell>
          <cell r="E4032" t="str">
            <v>UN</v>
          </cell>
        </row>
        <row r="4033">
          <cell r="C4033">
            <v>3004012</v>
          </cell>
          <cell r="D4033" t="str">
            <v>SRV ANÁLISE E MONIT AMB - FAUNA E FLORA</v>
          </cell>
          <cell r="E4033" t="str">
            <v>DIA</v>
          </cell>
        </row>
        <row r="4034">
          <cell r="C4034">
            <v>3004013</v>
          </cell>
          <cell r="D4034" t="str">
            <v>SRV ANÁLISE E MONIT AMB - FAUNA E FLORA</v>
          </cell>
          <cell r="E4034" t="str">
            <v>H</v>
          </cell>
        </row>
        <row r="4035">
          <cell r="C4035">
            <v>3004014</v>
          </cell>
          <cell r="D4035" t="str">
            <v>SRV ANÁLISE E MONIT AMB - FAUNA E FLORA</v>
          </cell>
          <cell r="E4035" t="str">
            <v>HA</v>
          </cell>
        </row>
        <row r="4036">
          <cell r="C4036">
            <v>3004015</v>
          </cell>
          <cell r="D4036" t="str">
            <v>SRV ANÁLISE E MONIT AMB - FAUNA E FLORA</v>
          </cell>
          <cell r="E4036" t="str">
            <v>M</v>
          </cell>
        </row>
        <row r="4037">
          <cell r="C4037">
            <v>3004016</v>
          </cell>
          <cell r="D4037" t="str">
            <v>SRV ANÁLISE E MONIT AMB - FAUNA E FLORA</v>
          </cell>
          <cell r="E4037" t="str">
            <v>M2</v>
          </cell>
        </row>
        <row r="4038">
          <cell r="C4038">
            <v>3004017</v>
          </cell>
          <cell r="D4038" t="str">
            <v>SRV ANÁLISE E MONIT AMB - FAUNA E FLORA</v>
          </cell>
          <cell r="E4038" t="str">
            <v>M3</v>
          </cell>
        </row>
        <row r="4039">
          <cell r="C4039">
            <v>3004018</v>
          </cell>
          <cell r="D4039" t="str">
            <v>SRV ANÁLISE E MONIT AMB - FAUNA E FLORA</v>
          </cell>
          <cell r="E4039" t="str">
            <v>MES</v>
          </cell>
        </row>
        <row r="4040">
          <cell r="C4040">
            <v>3004019</v>
          </cell>
          <cell r="D4040" t="str">
            <v>SRV ANÁLISE E MONIT AMB - FAUNA E FLORA</v>
          </cell>
          <cell r="E4040" t="str">
            <v>SV</v>
          </cell>
        </row>
        <row r="4041">
          <cell r="C4041">
            <v>3004020</v>
          </cell>
          <cell r="D4041" t="str">
            <v>SRV ANÁLISE E MONIT AMB - FAUNA E FLORA</v>
          </cell>
          <cell r="E4041" t="str">
            <v>UN</v>
          </cell>
        </row>
        <row r="4042">
          <cell r="C4042">
            <v>3004021</v>
          </cell>
          <cell r="D4042" t="str">
            <v>SRV ANALISE TRATAMENTO AR CLIMATIZADO</v>
          </cell>
          <cell r="E4042" t="str">
            <v>KG</v>
          </cell>
        </row>
        <row r="4043">
          <cell r="C4043">
            <v>3004022</v>
          </cell>
          <cell r="D4043" t="str">
            <v>SRV ANALISE TRATAMENTO AR CLIMATIZADO</v>
          </cell>
          <cell r="E4043" t="str">
            <v>M</v>
          </cell>
        </row>
        <row r="4044">
          <cell r="C4044">
            <v>3004023</v>
          </cell>
          <cell r="D4044" t="str">
            <v>SRV ANALISE TRATAMENTO AR CLIMATIZADO</v>
          </cell>
          <cell r="E4044" t="str">
            <v>M3</v>
          </cell>
        </row>
        <row r="4045">
          <cell r="C4045">
            <v>3004024</v>
          </cell>
          <cell r="D4045" t="str">
            <v>SRV ANALISE TRATAMENTO AR CLIMATIZADO</v>
          </cell>
          <cell r="E4045" t="str">
            <v>MES</v>
          </cell>
        </row>
        <row r="4046">
          <cell r="C4046">
            <v>3004025</v>
          </cell>
          <cell r="D4046" t="str">
            <v>PERICIA;LAUDO;EXAMES;ANALISE TECNICA</v>
          </cell>
          <cell r="E4046" t="str">
            <v>SV</v>
          </cell>
        </row>
        <row r="4047">
          <cell r="C4047">
            <v>3004026</v>
          </cell>
          <cell r="D4047" t="str">
            <v>SRV ANALISE TRATAMENTO AR CLIMATIZADO</v>
          </cell>
          <cell r="E4047" t="str">
            <v>UN</v>
          </cell>
        </row>
        <row r="4048">
          <cell r="C4048">
            <v>3004027</v>
          </cell>
          <cell r="D4048" t="str">
            <v>SRV ANÁLISE FÍSICA E QUÍMICA EM ESCÓRIA</v>
          </cell>
          <cell r="E4048" t="str">
            <v>DIA</v>
          </cell>
        </row>
        <row r="4049">
          <cell r="C4049">
            <v>3004028</v>
          </cell>
          <cell r="D4049" t="str">
            <v>PERICIA;LAUDO;EXAMES;ANALISE TECNICA</v>
          </cell>
          <cell r="E4049" t="str">
            <v>SV</v>
          </cell>
        </row>
        <row r="4050">
          <cell r="C4050">
            <v>3004029</v>
          </cell>
          <cell r="D4050" t="str">
            <v>SRV ANÁLISE FÍSICA E QUÍMICA EM ESCÓRIA</v>
          </cell>
          <cell r="E4050" t="str">
            <v>UN</v>
          </cell>
        </row>
        <row r="4051">
          <cell r="C4051">
            <v>3004030</v>
          </cell>
          <cell r="D4051" t="str">
            <v>SRV ANÁLISE FÍSICA E QUÍMICA EM MINÉRIO</v>
          </cell>
          <cell r="E4051" t="str">
            <v>H</v>
          </cell>
        </row>
        <row r="4052">
          <cell r="C4052">
            <v>3004031</v>
          </cell>
          <cell r="D4052" t="str">
            <v>SRV ANÁLISE FÍSICA E QUÍMICA EM MINÉRIO</v>
          </cell>
          <cell r="E4052" t="str">
            <v>KG</v>
          </cell>
        </row>
        <row r="4053">
          <cell r="C4053">
            <v>3004032</v>
          </cell>
          <cell r="D4053" t="str">
            <v>SRV ANÁLISE FÍSICA E QUÍMICA EM MINÉRIO</v>
          </cell>
          <cell r="E4053" t="str">
            <v>TO</v>
          </cell>
        </row>
        <row r="4054">
          <cell r="C4054">
            <v>3004033</v>
          </cell>
          <cell r="D4054" t="str">
            <v>SRV ANÁLISE FÍSICA E QUÍMICA EM MINÉRIO</v>
          </cell>
          <cell r="E4054" t="str">
            <v>UN</v>
          </cell>
        </row>
        <row r="4055">
          <cell r="C4055">
            <v>3004034</v>
          </cell>
          <cell r="D4055" t="str">
            <v>PERICIA;LAUDO;EXAMES;ANALISE TECNICA</v>
          </cell>
          <cell r="E4055" t="str">
            <v>SV</v>
          </cell>
        </row>
        <row r="4056">
          <cell r="C4056">
            <v>3004035</v>
          </cell>
          <cell r="D4056" t="str">
            <v>PERICIA;LAUDO;EXAMES;ANALISE TECNICA</v>
          </cell>
          <cell r="E4056" t="str">
            <v>SV</v>
          </cell>
        </row>
        <row r="4057">
          <cell r="C4057">
            <v>3004036</v>
          </cell>
          <cell r="D4057" t="str">
            <v>SRV ANÁLISE MICROBIOLÓGICA;BROMATOLÓGICA</v>
          </cell>
          <cell r="E4057" t="str">
            <v>UN</v>
          </cell>
        </row>
        <row r="4058">
          <cell r="C4058">
            <v>3004037</v>
          </cell>
          <cell r="D4058" t="str">
            <v>SRV APOIO ADMINISTRATIVO;SECRETARIADO</v>
          </cell>
          <cell r="E4058" t="str">
            <v>CX</v>
          </cell>
        </row>
        <row r="4059">
          <cell r="C4059">
            <v>3004038</v>
          </cell>
          <cell r="D4059" t="str">
            <v>SRV APOIO ADMINISTRATIVO;SECRETARIADO</v>
          </cell>
          <cell r="E4059" t="str">
            <v>DIA</v>
          </cell>
        </row>
        <row r="4060">
          <cell r="C4060">
            <v>3004039</v>
          </cell>
          <cell r="D4060" t="str">
            <v>SRV APOIO ADMINISTRATIVO;SECRETARIADO</v>
          </cell>
          <cell r="E4060" t="str">
            <v>H</v>
          </cell>
        </row>
        <row r="4061">
          <cell r="C4061">
            <v>3004040</v>
          </cell>
          <cell r="D4061" t="str">
            <v>SRV APOIO ADMINISTRATIVO;SECRETARIADO</v>
          </cell>
          <cell r="E4061" t="str">
            <v>HA</v>
          </cell>
        </row>
        <row r="4062">
          <cell r="C4062">
            <v>3004041</v>
          </cell>
          <cell r="D4062" t="str">
            <v>SRV APOIO ADMINISTRATIVO;SECRETARIADO</v>
          </cell>
          <cell r="E4062" t="str">
            <v>KMS</v>
          </cell>
        </row>
        <row r="4063">
          <cell r="C4063">
            <v>3004042</v>
          </cell>
          <cell r="D4063" t="str">
            <v>SRV APOIO ADMINISTRATIVO;SECRETARIADO</v>
          </cell>
          <cell r="E4063" t="str">
            <v>L</v>
          </cell>
        </row>
        <row r="4064">
          <cell r="C4064">
            <v>3004043</v>
          </cell>
          <cell r="D4064" t="str">
            <v>SRV APOIO ADMINISTRATIVO;SECRETARIADO</v>
          </cell>
          <cell r="E4064" t="str">
            <v>MES</v>
          </cell>
        </row>
        <row r="4065">
          <cell r="C4065">
            <v>3004044</v>
          </cell>
          <cell r="D4065" t="str">
            <v>DATILOGRAF,APOIO E INFRA ADM E CONG</v>
          </cell>
          <cell r="E4065" t="str">
            <v>SV</v>
          </cell>
        </row>
        <row r="4066">
          <cell r="C4066">
            <v>3004045</v>
          </cell>
          <cell r="D4066" t="str">
            <v>SRV APOIO ADMINISTRATIVO;SECRETARIADO</v>
          </cell>
          <cell r="E4066" t="str">
            <v>TO</v>
          </cell>
        </row>
        <row r="4067">
          <cell r="C4067">
            <v>3004046</v>
          </cell>
          <cell r="D4067" t="str">
            <v>SRV APOIO ADMINISTRATIVO;SECRETARIADO</v>
          </cell>
          <cell r="E4067" t="str">
            <v>UN</v>
          </cell>
        </row>
        <row r="4068">
          <cell r="C4068">
            <v>3004047</v>
          </cell>
          <cell r="D4068" t="str">
            <v>STC-MICRO-ROD-C/AR-ADM-EV/EX-INTRA</v>
          </cell>
          <cell r="E4068" t="str">
            <v>H</v>
          </cell>
        </row>
        <row r="4069">
          <cell r="C4069">
            <v>3004048</v>
          </cell>
          <cell r="D4069" t="str">
            <v>SRV ARTISTAS;ATLETAS;MODELOS</v>
          </cell>
          <cell r="E4069" t="str">
            <v>UN</v>
          </cell>
        </row>
        <row r="4070">
          <cell r="C4070">
            <v>3004049</v>
          </cell>
          <cell r="D4070" t="str">
            <v>CONSULT E ASSESS -INFRAESTRUT TRANSPORTE</v>
          </cell>
          <cell r="E4070" t="str">
            <v>SV</v>
          </cell>
        </row>
        <row r="4071">
          <cell r="C4071">
            <v>3004050</v>
          </cell>
          <cell r="D4071" t="str">
            <v>CONSULT E ASSESS -INFRAESTRUT TRANSPORTE</v>
          </cell>
          <cell r="E4071" t="str">
            <v>UN</v>
          </cell>
        </row>
        <row r="4072">
          <cell r="C4072">
            <v>3004051</v>
          </cell>
          <cell r="D4072" t="str">
            <v>SRV ASSESSORIA LICENCIAMENTO AMBIENTAL</v>
          </cell>
          <cell r="E4072" t="str">
            <v>DIA</v>
          </cell>
        </row>
        <row r="4073">
          <cell r="C4073">
            <v>3004052</v>
          </cell>
          <cell r="D4073" t="str">
            <v>SRV ASSESSORIA LICENCIAMENTO AMBIENTAL</v>
          </cell>
          <cell r="E4073" t="str">
            <v>H</v>
          </cell>
        </row>
        <row r="4074">
          <cell r="C4074">
            <v>3004053</v>
          </cell>
          <cell r="D4074" t="str">
            <v>SRV ASSESSORIA LICENCIAMENTO AMBIENTAL</v>
          </cell>
          <cell r="E4074" t="str">
            <v>HA</v>
          </cell>
        </row>
        <row r="4075">
          <cell r="C4075">
            <v>3004054</v>
          </cell>
          <cell r="D4075" t="str">
            <v>ASSESSORIA OU CONSULTORIA DE QQ NATUREZA</v>
          </cell>
          <cell r="E4075" t="str">
            <v>SV</v>
          </cell>
        </row>
        <row r="4076">
          <cell r="C4076">
            <v>3004055</v>
          </cell>
          <cell r="D4076" t="str">
            <v>SRV ASSESSORIA LICENCIAMENTO AMBIENTAL</v>
          </cell>
          <cell r="E4076" t="str">
            <v>UN</v>
          </cell>
        </row>
        <row r="4077">
          <cell r="C4077">
            <v>3004056</v>
          </cell>
          <cell r="D4077" t="str">
            <v>SRV ASSIST TÉCNICA PRESTADA FABRICANTE</v>
          </cell>
          <cell r="E4077" t="str">
            <v>DIA</v>
          </cell>
        </row>
        <row r="4078">
          <cell r="C4078">
            <v>3004057</v>
          </cell>
          <cell r="D4078" t="str">
            <v>SRV ASSIST TÉCNICA PRESTADA FABRICANTE</v>
          </cell>
          <cell r="E4078" t="str">
            <v>H</v>
          </cell>
        </row>
        <row r="4079">
          <cell r="C4079">
            <v>3004058</v>
          </cell>
          <cell r="D4079" t="str">
            <v>SRV ASSIST TÉCNICA PRESTADA FABRICANTE</v>
          </cell>
          <cell r="E4079" t="str">
            <v>KMS</v>
          </cell>
        </row>
        <row r="4080">
          <cell r="C4080">
            <v>3004059</v>
          </cell>
          <cell r="D4080" t="str">
            <v>SRV ASSIST TÉCNICA PRESTADA FABRICANTE</v>
          </cell>
          <cell r="E4080" t="str">
            <v>L</v>
          </cell>
        </row>
        <row r="4081">
          <cell r="C4081">
            <v>3004060</v>
          </cell>
          <cell r="D4081" t="str">
            <v>SRV ASSIST TÉCNICA PRESTADA FABRICANTE</v>
          </cell>
          <cell r="E4081" t="str">
            <v>M2</v>
          </cell>
        </row>
        <row r="4082">
          <cell r="C4082">
            <v>3004061</v>
          </cell>
          <cell r="D4082" t="str">
            <v>SRV ASSIST TÉCNICA PRESTADA FABRICANTE</v>
          </cell>
          <cell r="E4082" t="str">
            <v>MES</v>
          </cell>
        </row>
        <row r="4083">
          <cell r="C4083">
            <v>3004062</v>
          </cell>
          <cell r="D4083" t="str">
            <v>SRV ASSIST TÉCNICA PRESTADA FABRICANTE</v>
          </cell>
          <cell r="E4083" t="str">
            <v>PC</v>
          </cell>
        </row>
        <row r="4084">
          <cell r="C4084">
            <v>3004063</v>
          </cell>
          <cell r="D4084" t="str">
            <v>SRV ASSIST TÉCNICA PRESTADA FABRICANTE</v>
          </cell>
          <cell r="E4084" t="str">
            <v>SEM</v>
          </cell>
        </row>
        <row r="4085">
          <cell r="C4085">
            <v>3004064</v>
          </cell>
          <cell r="D4085" t="str">
            <v>SRV ASSIST TÉCNICA PRESTADA FABRICANTE</v>
          </cell>
          <cell r="E4085" t="str">
            <v>SV</v>
          </cell>
        </row>
        <row r="4086">
          <cell r="C4086">
            <v>3004065</v>
          </cell>
          <cell r="D4086" t="str">
            <v>SRV ASSIST TÉCNICA PRESTADA FABRICANTE</v>
          </cell>
          <cell r="E4086" t="str">
            <v>UN</v>
          </cell>
        </row>
        <row r="4087">
          <cell r="C4087">
            <v>3004066</v>
          </cell>
          <cell r="D4087" t="str">
            <v>SRV AVALIAÇÃO BENS E SERVIÇOS</v>
          </cell>
          <cell r="E4087" t="str">
            <v>HA</v>
          </cell>
        </row>
        <row r="4088">
          <cell r="C4088">
            <v>3004067</v>
          </cell>
          <cell r="D4088" t="str">
            <v>SRV AVALIAÇÃO BENS E SERVIÇOS</v>
          </cell>
          <cell r="E4088" t="str">
            <v>SV</v>
          </cell>
        </row>
        <row r="4089">
          <cell r="C4089">
            <v>3004068</v>
          </cell>
          <cell r="D4089" t="str">
            <v>SRV AVALIAÇÃO BENS E SERVIÇOS</v>
          </cell>
          <cell r="E4089" t="str">
            <v>UN</v>
          </cell>
        </row>
        <row r="4090">
          <cell r="C4090">
            <v>3004069</v>
          </cell>
          <cell r="D4090" t="str">
            <v>STC-MICRO-ROD-C/AR-ADM-EV/EX-INTRA</v>
          </cell>
          <cell r="E4090" t="str">
            <v>UN</v>
          </cell>
        </row>
        <row r="4091">
          <cell r="C4091">
            <v>3004070</v>
          </cell>
          <cell r="D4091" t="str">
            <v>SRV AVALIAÇÃO TESTE PSICOTÉCNICO</v>
          </cell>
          <cell r="E4091" t="str">
            <v>DIA</v>
          </cell>
        </row>
        <row r="4092">
          <cell r="C4092">
            <v>3004071</v>
          </cell>
          <cell r="D4092" t="str">
            <v>SERVICOS DE RH EM GERAL</v>
          </cell>
          <cell r="E4092" t="str">
            <v>SV</v>
          </cell>
        </row>
        <row r="4093">
          <cell r="C4093">
            <v>3004072</v>
          </cell>
          <cell r="D4093" t="str">
            <v>SERVICOS DE RH EM GERAL</v>
          </cell>
          <cell r="E4093" t="str">
            <v>SV</v>
          </cell>
        </row>
        <row r="4094">
          <cell r="C4094">
            <v>3004073</v>
          </cell>
          <cell r="D4094" t="str">
            <v>SRV AVALIAÇÃO TESTE PSICOTÉCNICO</v>
          </cell>
          <cell r="E4094" t="str">
            <v>UN</v>
          </cell>
        </row>
        <row r="4095">
          <cell r="C4095">
            <v>3004074</v>
          </cell>
          <cell r="D4095" t="str">
            <v>INSP,CALIB,BALANC D MAQS,EQUIP,PNEUS</v>
          </cell>
          <cell r="E4095" t="str">
            <v>SV</v>
          </cell>
        </row>
        <row r="4096">
          <cell r="C4096">
            <v>3004075</v>
          </cell>
          <cell r="D4096" t="str">
            <v>SRV BALANCEAMENTO PEÇAS EQUIP ROTATIVO</v>
          </cell>
          <cell r="E4096" t="str">
            <v>UN</v>
          </cell>
        </row>
        <row r="4097">
          <cell r="C4097">
            <v>3004076</v>
          </cell>
          <cell r="D4097" t="str">
            <v>SRV BLINDAGEM MAQ;EQUIP MÓV E SIMILAR</v>
          </cell>
          <cell r="E4097" t="str">
            <v>UN</v>
          </cell>
        </row>
        <row r="4098">
          <cell r="C4098">
            <v>3004077</v>
          </cell>
          <cell r="D4098" t="str">
            <v>SRV CALIB E TESTE DE INSTRUMENTO ELETR</v>
          </cell>
          <cell r="E4098" t="str">
            <v>H</v>
          </cell>
        </row>
        <row r="4099">
          <cell r="C4099">
            <v>3004078</v>
          </cell>
          <cell r="D4099" t="str">
            <v>SRV CALIB E TESTE DE INSTRUMENTO ELETR</v>
          </cell>
          <cell r="E4099" t="str">
            <v>MES</v>
          </cell>
        </row>
        <row r="4100">
          <cell r="C4100">
            <v>3004079</v>
          </cell>
          <cell r="D4100" t="str">
            <v>SRV CALIB E TESTE DE INSTRUMENTO ELETR</v>
          </cell>
          <cell r="E4100" t="str">
            <v>PC</v>
          </cell>
        </row>
        <row r="4101">
          <cell r="C4101">
            <v>3004080</v>
          </cell>
          <cell r="D4101" t="str">
            <v>INSP,CALIB,BALANC D MAQS,EQUIP,PNEUS</v>
          </cell>
          <cell r="E4101" t="str">
            <v>SV</v>
          </cell>
        </row>
        <row r="4102">
          <cell r="C4102">
            <v>3004081</v>
          </cell>
          <cell r="D4102" t="str">
            <v>SRV CALIB E TESTE DE INSTRUMENTO ELETR</v>
          </cell>
          <cell r="E4102" t="str">
            <v>UN</v>
          </cell>
        </row>
        <row r="4103">
          <cell r="C4103">
            <v>3004082</v>
          </cell>
          <cell r="D4103" t="str">
            <v>INSP,CALIB,BALANC D MAQS,EQUIP,PNEUS</v>
          </cell>
          <cell r="E4103" t="str">
            <v>SV</v>
          </cell>
        </row>
        <row r="4104">
          <cell r="C4104">
            <v>3004083</v>
          </cell>
          <cell r="D4104" t="str">
            <v>INSP,CALIB,BALANC D MAQS,EQUIP,PNEUS</v>
          </cell>
          <cell r="E4104" t="str">
            <v>SV</v>
          </cell>
        </row>
        <row r="4105">
          <cell r="C4105">
            <v>3004084</v>
          </cell>
          <cell r="D4105" t="str">
            <v>INSP,CALIB,BALANC D MAQS,EQUIP,PNEUS</v>
          </cell>
          <cell r="E4105" t="str">
            <v>SV</v>
          </cell>
        </row>
        <row r="4106">
          <cell r="C4106">
            <v>3004085</v>
          </cell>
          <cell r="D4106" t="str">
            <v>SRV CALIB INSTRUMENTO MEDIÇÃO DE PRESSÃO</v>
          </cell>
          <cell r="E4106" t="str">
            <v>SV</v>
          </cell>
        </row>
        <row r="4107">
          <cell r="C4107">
            <v>3004086</v>
          </cell>
          <cell r="D4107" t="str">
            <v>SRV CALIB INSTRUMENTO MEDIÇÃO DE PRESSÃO</v>
          </cell>
          <cell r="E4107" t="str">
            <v>UN</v>
          </cell>
        </row>
        <row r="4108">
          <cell r="C4108">
            <v>3004087</v>
          </cell>
          <cell r="D4108" t="str">
            <v>SRV CALIB TESTE INSTR HIGIENE;SEGURANÇA</v>
          </cell>
          <cell r="E4108" t="str">
            <v>SV</v>
          </cell>
        </row>
        <row r="4109">
          <cell r="C4109">
            <v>3004088</v>
          </cell>
          <cell r="D4109" t="str">
            <v>SRV CALIB TESTE INSTR HIGIENE;SEGURANÇA</v>
          </cell>
          <cell r="E4109" t="str">
            <v>UN</v>
          </cell>
        </row>
        <row r="4110">
          <cell r="C4110">
            <v>3004089</v>
          </cell>
          <cell r="D4110" t="str">
            <v>SRV CALIB;TESTE INSTRUNENTO AERONÁUTICO</v>
          </cell>
          <cell r="E4110" t="str">
            <v>H</v>
          </cell>
        </row>
        <row r="4111">
          <cell r="C4111">
            <v>3004090</v>
          </cell>
          <cell r="D4111" t="str">
            <v>SRV CALIB;TESTE INSTRUNENTO AERONÁUTICO</v>
          </cell>
          <cell r="E4111" t="str">
            <v>MES</v>
          </cell>
        </row>
        <row r="4112">
          <cell r="C4112">
            <v>3004091</v>
          </cell>
          <cell r="D4112" t="str">
            <v>SRV CALIB;TESTE INSTRUNENTO AERONÁUTICO</v>
          </cell>
          <cell r="E4112" t="str">
            <v>UN</v>
          </cell>
        </row>
        <row r="4113">
          <cell r="C4113">
            <v>3004092</v>
          </cell>
          <cell r="D4113" t="str">
            <v>SRV CALIBRAÇÃO DE EQUIP ANÁLISE EM GERAL</v>
          </cell>
          <cell r="E4113" t="str">
            <v>H</v>
          </cell>
        </row>
        <row r="4114">
          <cell r="C4114">
            <v>3004093</v>
          </cell>
          <cell r="D4114" t="str">
            <v>SRV CALIBRAÇÃO DE EQUIP ANÁLISE EM GERAL</v>
          </cell>
          <cell r="E4114" t="str">
            <v>MES</v>
          </cell>
        </row>
        <row r="4115">
          <cell r="C4115">
            <v>3004094</v>
          </cell>
          <cell r="D4115" t="str">
            <v>SRV CALIBRAÇÃO DE EQUIP ANÁLISE EM GERAL</v>
          </cell>
          <cell r="E4115" t="str">
            <v>PC</v>
          </cell>
        </row>
        <row r="4116">
          <cell r="C4116">
            <v>3004095</v>
          </cell>
          <cell r="D4116" t="str">
            <v>SRV CALIBRAÇÃO DE EQUIP ANÁLISE EM GERAL</v>
          </cell>
          <cell r="E4116" t="str">
            <v>SV</v>
          </cell>
        </row>
        <row r="4117">
          <cell r="C4117">
            <v>3004096</v>
          </cell>
          <cell r="D4117" t="str">
            <v>SRV CALIBRAÇÃO DE EQUIP ANÁLISE EM GERAL</v>
          </cell>
          <cell r="E4117" t="str">
            <v>UN</v>
          </cell>
        </row>
        <row r="4118">
          <cell r="C4118">
            <v>3004097</v>
          </cell>
          <cell r="D4118" t="str">
            <v>SRV CALIBRAÇÃO DE EQUIPAMENTO DE PESAGEM</v>
          </cell>
          <cell r="E4118" t="str">
            <v>H</v>
          </cell>
        </row>
        <row r="4119">
          <cell r="C4119">
            <v>3004098</v>
          </cell>
          <cell r="D4119" t="str">
            <v>SRV CALIBRAÇÃO DE EQUIPAMENTO DE PESAGEM</v>
          </cell>
          <cell r="E4119" t="str">
            <v>PC</v>
          </cell>
        </row>
        <row r="4120">
          <cell r="C4120">
            <v>3004099</v>
          </cell>
          <cell r="D4120" t="str">
            <v>SRV CALIBRAÇÃO DE EQUIPAMENTO DE PESAGEM</v>
          </cell>
          <cell r="E4120" t="str">
            <v>UN</v>
          </cell>
        </row>
        <row r="4121">
          <cell r="C4121">
            <v>3004100</v>
          </cell>
          <cell r="D4121" t="str">
            <v>SRV CALIBRAÇÃO DE EQUIPAMENTO DE VAZÃO</v>
          </cell>
          <cell r="E4121" t="str">
            <v>MES</v>
          </cell>
        </row>
        <row r="4122">
          <cell r="C4122">
            <v>3004101</v>
          </cell>
          <cell r="D4122" t="str">
            <v>SRV CALIBRAÇÃO DE EQUIPAMENTO DE VAZÃO</v>
          </cell>
          <cell r="E4122" t="str">
            <v>SV</v>
          </cell>
        </row>
        <row r="4123">
          <cell r="C4123">
            <v>3004102</v>
          </cell>
          <cell r="D4123" t="str">
            <v>SRV CALIBRAÇÃO DE EQUIPAMENTO DE VAZÃO</v>
          </cell>
          <cell r="E4123" t="str">
            <v>UN</v>
          </cell>
        </row>
        <row r="4124">
          <cell r="C4124">
            <v>3004103</v>
          </cell>
          <cell r="D4124" t="str">
            <v>SRV CALIBRAÇÃO EQUIPAMENTO DE RADIAÇÃO</v>
          </cell>
          <cell r="E4124" t="str">
            <v>UN</v>
          </cell>
        </row>
        <row r="4125">
          <cell r="C4125">
            <v>3004104</v>
          </cell>
          <cell r="D4125" t="str">
            <v>SRV CALIBRAÇÃO EQUIPAMENTO TEMPERATURA</v>
          </cell>
          <cell r="E4125" t="str">
            <v>DIA</v>
          </cell>
        </row>
        <row r="4126">
          <cell r="C4126">
            <v>3004105</v>
          </cell>
          <cell r="D4126" t="str">
            <v>SRV CALIBRAÇÃO EQUIPAMENTO TEMPERATURA</v>
          </cell>
          <cell r="E4126" t="str">
            <v>H</v>
          </cell>
        </row>
        <row r="4127">
          <cell r="C4127">
            <v>3004106</v>
          </cell>
          <cell r="D4127" t="str">
            <v>SRV CALIBRAÇÃO EQUIPAMENTO TEMPERATURA</v>
          </cell>
          <cell r="E4127" t="str">
            <v>KG</v>
          </cell>
        </row>
        <row r="4128">
          <cell r="C4128">
            <v>3004107</v>
          </cell>
          <cell r="D4128" t="str">
            <v>SRV CALIBRAÇÃO EQUIPAMENTO TEMPERATURA</v>
          </cell>
          <cell r="E4128" t="str">
            <v>KMS</v>
          </cell>
        </row>
        <row r="4129">
          <cell r="C4129">
            <v>3004108</v>
          </cell>
          <cell r="D4129" t="str">
            <v>SRV CALIBRAÇÃO EQUIPAMENTO TEMPERATURA</v>
          </cell>
          <cell r="E4129" t="str">
            <v>M</v>
          </cell>
        </row>
        <row r="4130">
          <cell r="C4130">
            <v>3004109</v>
          </cell>
          <cell r="D4130" t="str">
            <v>SRV CALIBRAÇÃO EQUIPAMENTO TEMPERATURA</v>
          </cell>
          <cell r="E4130" t="str">
            <v>MES</v>
          </cell>
        </row>
        <row r="4131">
          <cell r="C4131">
            <v>3004110</v>
          </cell>
          <cell r="D4131" t="str">
            <v>SRV CALIBRAÇÃO EQUIPAMENTO TEMPERATURA</v>
          </cell>
          <cell r="E4131" t="str">
            <v>PC</v>
          </cell>
        </row>
        <row r="4132">
          <cell r="C4132">
            <v>3004111</v>
          </cell>
          <cell r="D4132" t="str">
            <v>SRV CALIBRAÇÃO EQUIPAMENTO TEMPERATURA</v>
          </cell>
          <cell r="E4132" t="str">
            <v>SEM</v>
          </cell>
        </row>
        <row r="4133">
          <cell r="C4133">
            <v>3004112</v>
          </cell>
          <cell r="D4133" t="str">
            <v>SRV CALIBRAÇÃO EQUIPAMENTO TEMPERATURA</v>
          </cell>
          <cell r="E4133" t="str">
            <v>TO</v>
          </cell>
        </row>
        <row r="4134">
          <cell r="C4134">
            <v>3004113</v>
          </cell>
          <cell r="D4134" t="str">
            <v>SRV CALIBRAÇÃO EQUIPAMENTO TEMPERATURA</v>
          </cell>
          <cell r="E4134" t="str">
            <v>UN</v>
          </cell>
        </row>
        <row r="4135">
          <cell r="C4135">
            <v>3004114</v>
          </cell>
          <cell r="D4135" t="str">
            <v>SRV CALIBRAÇÃO INSTRUMENTO MEDIÇÃO FORÇA</v>
          </cell>
          <cell r="E4135" t="str">
            <v>DIA</v>
          </cell>
        </row>
        <row r="4136">
          <cell r="C4136">
            <v>3004115</v>
          </cell>
          <cell r="D4136" t="str">
            <v>SRV CALIBRAÇÃO INSTRUNENTO MEDIÇÃO FORÇA</v>
          </cell>
          <cell r="E4136" t="str">
            <v>H</v>
          </cell>
        </row>
        <row r="4137">
          <cell r="C4137">
            <v>3004116</v>
          </cell>
          <cell r="D4137" t="str">
            <v>SRV CALIBRAÇÃO INSTRUNENTO MEDIÇÃO FORÇA</v>
          </cell>
          <cell r="E4137" t="str">
            <v>L</v>
          </cell>
        </row>
        <row r="4138">
          <cell r="C4138">
            <v>3004117</v>
          </cell>
          <cell r="D4138" t="str">
            <v>SRV CALIBRAÇÃO INSTRUNENTO MEDIÇÃO FORÇA</v>
          </cell>
          <cell r="E4138" t="str">
            <v>M</v>
          </cell>
        </row>
        <row r="4139">
          <cell r="C4139">
            <v>3004118</v>
          </cell>
          <cell r="D4139" t="str">
            <v>SRV CALIBRAÇÃO INSTRUNENTO MEDIÇÃO FORÇA</v>
          </cell>
          <cell r="E4139" t="str">
            <v>M3</v>
          </cell>
        </row>
        <row r="4140">
          <cell r="C4140">
            <v>3004119</v>
          </cell>
          <cell r="D4140" t="str">
            <v>SRV CALIBRAÇÃO INSTRUMENTO MEDIÇÃO FORÇA</v>
          </cell>
          <cell r="E4140" t="str">
            <v>MES</v>
          </cell>
        </row>
        <row r="4141">
          <cell r="C4141">
            <v>3004120</v>
          </cell>
          <cell r="D4141" t="str">
            <v>SRV CALIBRAÇÃO INSTRUNENTO MEDIÇÃO FORÇA</v>
          </cell>
          <cell r="E4141" t="str">
            <v>PC</v>
          </cell>
        </row>
        <row r="4142">
          <cell r="C4142">
            <v>3004121</v>
          </cell>
          <cell r="D4142" t="str">
            <v>SRV CALIBRAÇÃO INSTRUMENTO MEDIÇÃO FORÇA</v>
          </cell>
          <cell r="E4142" t="str">
            <v>UN</v>
          </cell>
        </row>
        <row r="4143">
          <cell r="C4143">
            <v>3004122</v>
          </cell>
          <cell r="D4143" t="str">
            <v>SRV TERMINAIS ROD,FERROV,METROV,MOV,MERC</v>
          </cell>
          <cell r="E4143" t="str">
            <v>SV</v>
          </cell>
        </row>
        <row r="4144">
          <cell r="C4144">
            <v>3004123</v>
          </cell>
          <cell r="D4144" t="str">
            <v>SRV CARREGAMENTO CARGAS FERROVIA</v>
          </cell>
          <cell r="E4144" t="str">
            <v>TO</v>
          </cell>
        </row>
        <row r="4145">
          <cell r="C4145">
            <v>3004124</v>
          </cell>
          <cell r="D4145" t="str">
            <v>SRV CARREGAMENTO CARGAS FERROVIA</v>
          </cell>
          <cell r="E4145" t="str">
            <v>UN</v>
          </cell>
        </row>
        <row r="4146">
          <cell r="C4146">
            <v>3004125</v>
          </cell>
          <cell r="D4146" t="str">
            <v>SRV COLETA;ENTREGA CORRESP;DOCS E OBJTS</v>
          </cell>
          <cell r="E4146" t="str">
            <v>KG</v>
          </cell>
        </row>
        <row r="4147">
          <cell r="C4147">
            <v>3004126</v>
          </cell>
          <cell r="D4147" t="str">
            <v>SRV COLETA;ENTREGA CORRESP;DOCS E OBJTS</v>
          </cell>
          <cell r="E4147" t="str">
            <v>KMS</v>
          </cell>
        </row>
        <row r="4148">
          <cell r="C4148">
            <v>3004127</v>
          </cell>
          <cell r="D4148" t="str">
            <v>SRV COLETA;ENTREGA CORRESP;DOCS E OBJTS</v>
          </cell>
          <cell r="E4148" t="str">
            <v>MES</v>
          </cell>
        </row>
        <row r="4149">
          <cell r="C4149">
            <v>3004128</v>
          </cell>
          <cell r="D4149" t="str">
            <v>SRV COLETA,ENTREGA DOCUMENTO,OBJETO,BENS</v>
          </cell>
          <cell r="E4149" t="str">
            <v>SV</v>
          </cell>
        </row>
        <row r="4150">
          <cell r="C4150">
            <v>3004129</v>
          </cell>
          <cell r="D4150" t="str">
            <v>SRV COLETA;ENTREGA CORRESP;DOCS E OBJTS</v>
          </cell>
          <cell r="E4150" t="str">
            <v>UN</v>
          </cell>
        </row>
        <row r="4151">
          <cell r="C4151">
            <v>3004130</v>
          </cell>
          <cell r="D4151" t="str">
            <v>SRV COMPENSAÇÃO CHEQUE;TÍTULO;DEPÓSITO</v>
          </cell>
          <cell r="E4151" t="str">
            <v>SV</v>
          </cell>
        </row>
        <row r="4152">
          <cell r="C4152">
            <v>3004131</v>
          </cell>
          <cell r="D4152" t="str">
            <v>SRV COMPENSAÇÃO CHEQUE;TÍTULO;DEPÓSITO</v>
          </cell>
          <cell r="E4152" t="str">
            <v>UN</v>
          </cell>
        </row>
        <row r="4153">
          <cell r="C4153">
            <v>3004132</v>
          </cell>
          <cell r="D4153" t="str">
            <v>SRV COMPUTADORES BORDO PARA VEÃ�CULOS</v>
          </cell>
          <cell r="E4153" t="str">
            <v>H</v>
          </cell>
        </row>
        <row r="4154">
          <cell r="C4154">
            <v>3004133</v>
          </cell>
          <cell r="D4154" t="str">
            <v>SUPORTE TECNICO EM INFORMATICA</v>
          </cell>
          <cell r="E4154" t="str">
            <v>SV</v>
          </cell>
        </row>
        <row r="4155">
          <cell r="C4155">
            <v>3004134</v>
          </cell>
          <cell r="D4155" t="str">
            <v>SRV COMPUTADORES BORDO PARA VEÃ�CULOS</v>
          </cell>
          <cell r="E4155" t="str">
            <v>MES</v>
          </cell>
        </row>
        <row r="4156">
          <cell r="C4156">
            <v>3004135</v>
          </cell>
          <cell r="D4156" t="str">
            <v>SUPORTE TECNICO EM INFORMATICA</v>
          </cell>
          <cell r="E4156" t="str">
            <v>SV</v>
          </cell>
        </row>
        <row r="4157">
          <cell r="C4157">
            <v>3004136</v>
          </cell>
          <cell r="D4157" t="str">
            <v>SRV COMPUTADORES BORDO PARA VEÃ�CULOS</v>
          </cell>
          <cell r="E4157" t="str">
            <v>UN</v>
          </cell>
        </row>
        <row r="4158">
          <cell r="C4158">
            <v>3004137</v>
          </cell>
          <cell r="D4158" t="str">
            <v>SRV COMUNICAÇÃO INTEGRADA</v>
          </cell>
          <cell r="E4158" t="str">
            <v>MES</v>
          </cell>
        </row>
        <row r="4159">
          <cell r="C4159">
            <v>3004138</v>
          </cell>
          <cell r="D4159" t="str">
            <v>VEICULACAO ANUNCIO EXCT JORNAL,RADIO,TV</v>
          </cell>
          <cell r="E4159" t="str">
            <v>SV</v>
          </cell>
        </row>
        <row r="4160">
          <cell r="C4160">
            <v>3004139</v>
          </cell>
          <cell r="D4160" t="str">
            <v>SRV COMUNICAÇÃO INTEGRADA</v>
          </cell>
          <cell r="E4160" t="str">
            <v>UN</v>
          </cell>
        </row>
        <row r="4161">
          <cell r="C4161">
            <v>3004140</v>
          </cell>
          <cell r="D4161" t="str">
            <v>SRV COMUNICAÇÃO INTERNA</v>
          </cell>
          <cell r="E4161" t="str">
            <v>ANO</v>
          </cell>
        </row>
        <row r="4162">
          <cell r="C4162">
            <v>3004141</v>
          </cell>
          <cell r="D4162" t="str">
            <v>SRV DE PROGRCAO E COMUNIC VISUAL E CONG</v>
          </cell>
          <cell r="E4162" t="str">
            <v>SV</v>
          </cell>
        </row>
        <row r="4163">
          <cell r="C4163">
            <v>3004142</v>
          </cell>
          <cell r="D4163" t="str">
            <v>SRV COMUNICAÃ‡ÃƒO INTERNA</v>
          </cell>
          <cell r="E4163" t="str">
            <v>H</v>
          </cell>
        </row>
        <row r="4164">
          <cell r="C4164">
            <v>3004143</v>
          </cell>
          <cell r="D4164" t="str">
            <v>SRV COMUNICAÃ‡ÃƒO INTERNA</v>
          </cell>
          <cell r="E4164" t="str">
            <v>MES</v>
          </cell>
        </row>
        <row r="4165">
          <cell r="C4165">
            <v>3004144</v>
          </cell>
          <cell r="D4165" t="str">
            <v>SRV PROGRCAO,COMUNIC VISUAL,DESENHO IND</v>
          </cell>
          <cell r="E4165" t="str">
            <v>SV</v>
          </cell>
        </row>
        <row r="4166">
          <cell r="C4166">
            <v>3004145</v>
          </cell>
          <cell r="D4166" t="str">
            <v>SRV COMUNICAÃ‡ÃƒO INTERNA</v>
          </cell>
          <cell r="E4166" t="str">
            <v>UN</v>
          </cell>
        </row>
        <row r="4167">
          <cell r="C4167">
            <v>3004146</v>
          </cell>
          <cell r="D4167" t="str">
            <v>SRV CONFECÇÃO AGENDA CARTÃO VISITA</v>
          </cell>
          <cell r="E4167" t="str">
            <v>UN</v>
          </cell>
        </row>
        <row r="4168">
          <cell r="C4168">
            <v>3004147</v>
          </cell>
          <cell r="D4168" t="str">
            <v>SRV CONFECÇÃO FORMULÁRIO E ENVELOPE</v>
          </cell>
          <cell r="E4168" t="str">
            <v>UN</v>
          </cell>
        </row>
        <row r="4169">
          <cell r="C4169">
            <v>3004148</v>
          </cell>
          <cell r="D4169" t="str">
            <v>SRV CONFECÇÃO PLACA;CARTAZ;BANNER;FAIXA</v>
          </cell>
          <cell r="E4169" t="str">
            <v>M</v>
          </cell>
        </row>
        <row r="4170">
          <cell r="C4170">
            <v>3004149</v>
          </cell>
          <cell r="D4170" t="str">
            <v>SRV CONFECÇÃO PLACA;CARTAZ;BANNER;FAIXA</v>
          </cell>
          <cell r="E4170" t="str">
            <v>M2</v>
          </cell>
        </row>
        <row r="4171">
          <cell r="C4171">
            <v>3004150</v>
          </cell>
          <cell r="D4171" t="str">
            <v>SRV CONFECÇÃO PLACA;CARTAZ;BANNER;FAIXA</v>
          </cell>
          <cell r="E4171" t="str">
            <v>M3</v>
          </cell>
        </row>
        <row r="4172">
          <cell r="C4172">
            <v>3004151</v>
          </cell>
          <cell r="D4172" t="str">
            <v>SRV D CHAVEIROS,SINALIZACAO VISUAL,CONG</v>
          </cell>
          <cell r="E4172" t="str">
            <v>SV</v>
          </cell>
        </row>
        <row r="4173">
          <cell r="C4173">
            <v>3004152</v>
          </cell>
          <cell r="D4173" t="str">
            <v>SRV CONFECÇÃO PLACA;CARTAZ;BANNER;FAIXA</v>
          </cell>
          <cell r="E4173" t="str">
            <v>UN</v>
          </cell>
        </row>
        <row r="4174">
          <cell r="C4174">
            <v>3004153</v>
          </cell>
          <cell r="D4174" t="str">
            <v>DEMAIS SERVICOS DE CONSTRUCAO CIVIL</v>
          </cell>
          <cell r="E4174" t="str">
            <v>SV</v>
          </cell>
        </row>
        <row r="4175">
          <cell r="C4175">
            <v>3004154</v>
          </cell>
          <cell r="D4175" t="str">
            <v>SRV CONSTR BARR E DIQUE CONCR MED PORTE</v>
          </cell>
          <cell r="E4175" t="str">
            <v>UN</v>
          </cell>
        </row>
        <row r="4176">
          <cell r="C4176">
            <v>3004155</v>
          </cell>
          <cell r="D4176" t="str">
            <v>SRV CONSTR BARRAGEM E DIQUE MÉDIO PORTE</v>
          </cell>
          <cell r="E4176" t="str">
            <v>dm3</v>
          </cell>
        </row>
        <row r="4177">
          <cell r="C4177">
            <v>3004156</v>
          </cell>
          <cell r="D4177" t="str">
            <v>SRV CONSTR BARRAGEM E DIQUE MÉDIO PORTE</v>
          </cell>
          <cell r="E4177" t="str">
            <v>H</v>
          </cell>
        </row>
        <row r="4178">
          <cell r="C4178">
            <v>3004157</v>
          </cell>
          <cell r="D4178" t="str">
            <v>SRV CONSTR BARRAGEM E DIQUE MÉDIO PORTE</v>
          </cell>
          <cell r="E4178" t="str">
            <v>KG</v>
          </cell>
        </row>
        <row r="4179">
          <cell r="C4179">
            <v>3004158</v>
          </cell>
          <cell r="D4179" t="str">
            <v>SRV CONSTR BARRAGEM E DIQUE MÉDIO PORTE</v>
          </cell>
          <cell r="E4179" t="str">
            <v>KMS</v>
          </cell>
        </row>
        <row r="4180">
          <cell r="C4180">
            <v>3004159</v>
          </cell>
          <cell r="D4180" t="str">
            <v>SRV CONSTR BARRAGEM E DIQUE MÉDIO PORTE</v>
          </cell>
          <cell r="E4180" t="str">
            <v>L</v>
          </cell>
        </row>
        <row r="4181">
          <cell r="C4181">
            <v>3004160</v>
          </cell>
          <cell r="D4181" t="str">
            <v>SRV CONSTR BARRAGEM E DIQUE MÉDIO PORTE</v>
          </cell>
          <cell r="E4181" t="str">
            <v>M</v>
          </cell>
        </row>
        <row r="4182">
          <cell r="C4182">
            <v>3004161</v>
          </cell>
          <cell r="D4182" t="str">
            <v>SRV CONSTR BARRAGEM E DIQUE MÉDIO PORTE</v>
          </cell>
          <cell r="E4182" t="str">
            <v>M2</v>
          </cell>
        </row>
        <row r="4183">
          <cell r="C4183">
            <v>3004162</v>
          </cell>
          <cell r="D4183" t="str">
            <v>SRV CONSTR BARRAGEM E DIQUE MÉDIO PORTE</v>
          </cell>
          <cell r="E4183" t="str">
            <v>M3</v>
          </cell>
        </row>
        <row r="4184">
          <cell r="C4184">
            <v>3004163</v>
          </cell>
          <cell r="D4184" t="str">
            <v>SRV CONSTR BARRAGEM E DIQUE MÉDIO PORTE</v>
          </cell>
          <cell r="E4184" t="str">
            <v>MES</v>
          </cell>
        </row>
        <row r="4185">
          <cell r="C4185">
            <v>3004164</v>
          </cell>
          <cell r="D4185" t="str">
            <v>SRV CONSTR BARRAGEM E DIQUE MÉDIO PORTE</v>
          </cell>
          <cell r="E4185" t="str">
            <v>TO</v>
          </cell>
        </row>
        <row r="4186">
          <cell r="C4186">
            <v>3004165</v>
          </cell>
          <cell r="D4186" t="str">
            <v>SRV CONSTR BARRAGEM E DIQUE MÉDIO PORTE</v>
          </cell>
          <cell r="E4186" t="str">
            <v>UN</v>
          </cell>
        </row>
        <row r="4187">
          <cell r="C4187">
            <v>3004166</v>
          </cell>
          <cell r="D4187" t="str">
            <v>SRV CONSTR BARRAGEM;DIQUE;TERRA PORTE P</v>
          </cell>
          <cell r="E4187" t="str">
            <v>UN</v>
          </cell>
        </row>
        <row r="4188">
          <cell r="C4188">
            <v>3004167</v>
          </cell>
          <cell r="D4188" t="str">
            <v>DEMAIS SERVICOS DE CONSTRUCAO CIVIL</v>
          </cell>
          <cell r="E4188" t="str">
            <v>SV</v>
          </cell>
        </row>
        <row r="4189">
          <cell r="C4189">
            <v>3004168</v>
          </cell>
          <cell r="D4189" t="str">
            <v>SRV CONSTR DE NOVAS RODOVIAS E ESTRADAS</v>
          </cell>
          <cell r="E4189" t="str">
            <v>UN</v>
          </cell>
        </row>
        <row r="4190">
          <cell r="C4190">
            <v>3004169</v>
          </cell>
          <cell r="D4190" t="str">
            <v>SRV CONSTR DE SPCI DE GRANDE PORTE</v>
          </cell>
          <cell r="E4190" t="str">
            <v>H</v>
          </cell>
        </row>
        <row r="4191">
          <cell r="C4191">
            <v>3004170</v>
          </cell>
          <cell r="D4191" t="str">
            <v>DEMAIS SERVICOS DE CONSTRUCAO CIVIL</v>
          </cell>
          <cell r="E4191" t="str">
            <v>SV</v>
          </cell>
        </row>
        <row r="4192">
          <cell r="C4192">
            <v>3004171</v>
          </cell>
          <cell r="D4192" t="str">
            <v>SRV CONSTR DE SPCI DE GRANDE PORTE</v>
          </cell>
          <cell r="E4192" t="str">
            <v>UN</v>
          </cell>
        </row>
        <row r="4193">
          <cell r="C4193">
            <v>3004172</v>
          </cell>
          <cell r="D4193" t="str">
            <v>SRV CONSTR DE SPCI DE MÉDIO PORTE</v>
          </cell>
          <cell r="E4193" t="str">
            <v>H</v>
          </cell>
        </row>
        <row r="4194">
          <cell r="C4194">
            <v>3004173</v>
          </cell>
          <cell r="D4194" t="str">
            <v>SRV CONSTR DE SPCI DE MÉDIO PORTE</v>
          </cell>
          <cell r="E4194" t="str">
            <v>KG</v>
          </cell>
        </row>
        <row r="4195">
          <cell r="C4195">
            <v>3004174</v>
          </cell>
          <cell r="D4195" t="str">
            <v>SRV CONSTR DE SPCI DE MÉDIO PORTE</v>
          </cell>
          <cell r="E4195" t="str">
            <v>KMS</v>
          </cell>
        </row>
        <row r="4196">
          <cell r="C4196">
            <v>3004175</v>
          </cell>
          <cell r="D4196" t="str">
            <v>SRV CONSTR DE SPCI DE MÉDIO PORTE</v>
          </cell>
          <cell r="E4196" t="str">
            <v>M</v>
          </cell>
        </row>
        <row r="4197">
          <cell r="C4197">
            <v>3004176</v>
          </cell>
          <cell r="D4197" t="str">
            <v>SRV CONSTR DE SPCI DE MÉDIO PORTE</v>
          </cell>
          <cell r="E4197" t="str">
            <v>M2</v>
          </cell>
        </row>
        <row r="4198">
          <cell r="C4198">
            <v>3004177</v>
          </cell>
          <cell r="D4198" t="str">
            <v>SRV CONSTR DE SPCI DE MÉDIO PORTE</v>
          </cell>
          <cell r="E4198" t="str">
            <v>M3</v>
          </cell>
        </row>
        <row r="4199">
          <cell r="C4199">
            <v>3004178</v>
          </cell>
          <cell r="D4199" t="str">
            <v>SRV CONSTR DE SPCI DE MÉDIO PORTE</v>
          </cell>
          <cell r="E4199" t="str">
            <v>PC</v>
          </cell>
        </row>
        <row r="4200">
          <cell r="C4200">
            <v>3004179</v>
          </cell>
          <cell r="D4200" t="str">
            <v>SRV CONSTR DE SPCI DE MÉDIO PORTE</v>
          </cell>
          <cell r="E4200" t="str">
            <v>SV</v>
          </cell>
        </row>
        <row r="4201">
          <cell r="C4201">
            <v>3004180</v>
          </cell>
          <cell r="D4201" t="str">
            <v>SRV CONSTR DE SPCI DE MÉDIO PORTE</v>
          </cell>
          <cell r="E4201" t="str">
            <v>UN</v>
          </cell>
        </row>
        <row r="4202">
          <cell r="C4202">
            <v>3004181</v>
          </cell>
          <cell r="D4202" t="str">
            <v>SRV CONSTR DE SPCI DE PEQUENO PORTE</v>
          </cell>
          <cell r="E4202" t="str">
            <v>JG</v>
          </cell>
        </row>
        <row r="4203">
          <cell r="C4203">
            <v>3004182</v>
          </cell>
          <cell r="D4203" t="str">
            <v>SRV CONSTR DE SPCI DE PEQUENO PORTE</v>
          </cell>
          <cell r="E4203" t="str">
            <v>KG</v>
          </cell>
        </row>
        <row r="4204">
          <cell r="C4204">
            <v>3004183</v>
          </cell>
          <cell r="D4204" t="str">
            <v>SRV CONSTR DE SPCI DE PEQUENO PORTE</v>
          </cell>
          <cell r="E4204" t="str">
            <v>M2</v>
          </cell>
        </row>
        <row r="4205">
          <cell r="C4205">
            <v>3004184</v>
          </cell>
          <cell r="D4205" t="str">
            <v>SRV CONSTR DE SPCI DE PEQUENO PORTE</v>
          </cell>
          <cell r="E4205" t="str">
            <v>M3</v>
          </cell>
        </row>
        <row r="4206">
          <cell r="C4206">
            <v>3004185</v>
          </cell>
          <cell r="D4206" t="str">
            <v>SRV CONSTR DE SPCI DE PEQUENO PORTE</v>
          </cell>
          <cell r="E4206" t="str">
            <v>MES</v>
          </cell>
        </row>
        <row r="4207">
          <cell r="C4207">
            <v>3004186</v>
          </cell>
          <cell r="D4207" t="str">
            <v>SRV CONSTR DE SPCI DE PEQUENO PORTE</v>
          </cell>
          <cell r="E4207" t="str">
            <v>SV</v>
          </cell>
        </row>
        <row r="4208">
          <cell r="C4208">
            <v>3004187</v>
          </cell>
          <cell r="D4208" t="str">
            <v>SRV CONSTR DE SPCI DE PEQUENO PORTE</v>
          </cell>
          <cell r="E4208" t="str">
            <v>UN</v>
          </cell>
        </row>
        <row r="4209">
          <cell r="C4209">
            <v>3004188</v>
          </cell>
          <cell r="D4209" t="str">
            <v>SRV DE REPARO DE VIADUTO PEQ PORTE</v>
          </cell>
          <cell r="E4209" t="str">
            <v>UN</v>
          </cell>
        </row>
        <row r="4210">
          <cell r="C4210">
            <v>3004189</v>
          </cell>
          <cell r="D4210" t="str">
            <v>SRV DE REPARO PONTE - MÉDIO PORTE</v>
          </cell>
          <cell r="E4210" t="str">
            <v>H</v>
          </cell>
        </row>
        <row r="4211">
          <cell r="C4211">
            <v>3004190</v>
          </cell>
          <cell r="D4211" t="str">
            <v>SRV DE REPARO PONTE - MÃ‰DIO PORTE</v>
          </cell>
          <cell r="E4211" t="str">
            <v>KG</v>
          </cell>
        </row>
        <row r="4212">
          <cell r="C4212">
            <v>3004191</v>
          </cell>
          <cell r="D4212" t="str">
            <v>SRV DE REPARO PONTE - MÉDIO PORTE</v>
          </cell>
          <cell r="E4212" t="str">
            <v>M</v>
          </cell>
        </row>
        <row r="4213">
          <cell r="C4213">
            <v>3004192</v>
          </cell>
          <cell r="D4213" t="str">
            <v>SRV DE REPARO PONTE - MÉDIO PORTE</v>
          </cell>
          <cell r="E4213" t="str">
            <v>M2</v>
          </cell>
        </row>
        <row r="4214">
          <cell r="C4214">
            <v>3004193</v>
          </cell>
          <cell r="D4214" t="str">
            <v>SRV DE REPARO PONTE - MÉDIO PORTE</v>
          </cell>
          <cell r="E4214" t="str">
            <v>M3</v>
          </cell>
        </row>
        <row r="4215">
          <cell r="C4215">
            <v>3004194</v>
          </cell>
          <cell r="D4215" t="str">
            <v>SRV DE REPARO PONTE - MÉDIO PORTE</v>
          </cell>
          <cell r="E4215" t="str">
            <v>PC</v>
          </cell>
        </row>
        <row r="4216">
          <cell r="C4216">
            <v>3004195</v>
          </cell>
          <cell r="D4216" t="str">
            <v>REFOR EDIFICIOS,ESTRADAS,PONTES,PORTOS</v>
          </cell>
          <cell r="E4216" t="str">
            <v>SV</v>
          </cell>
        </row>
        <row r="4217">
          <cell r="C4217">
            <v>3004196</v>
          </cell>
          <cell r="D4217" t="str">
            <v>SRV DE REPARO PONTE - MÉDIO PORTE</v>
          </cell>
          <cell r="E4217" t="str">
            <v>UN</v>
          </cell>
        </row>
        <row r="4218">
          <cell r="C4218">
            <v>3004197</v>
          </cell>
          <cell r="D4218" t="str">
            <v>SRV CONSTR EDIFÍCIOS COMERCIAIS PORTE G</v>
          </cell>
          <cell r="E4218" t="str">
            <v>DIA</v>
          </cell>
        </row>
        <row r="4219">
          <cell r="C4219">
            <v>3004198</v>
          </cell>
          <cell r="D4219" t="str">
            <v>SRV CONSTR EDIFÍCIOS COMERCIAIS PORTE G</v>
          </cell>
          <cell r="E4219" t="str">
            <v>dm3</v>
          </cell>
        </row>
        <row r="4220">
          <cell r="C4220">
            <v>3004199</v>
          </cell>
          <cell r="D4220" t="str">
            <v>SRV CONSTR EDIFÍCIOS COMERCIAIS PORTE G</v>
          </cell>
          <cell r="E4220" t="str">
            <v>H</v>
          </cell>
        </row>
        <row r="4221">
          <cell r="C4221">
            <v>3004200</v>
          </cell>
          <cell r="D4221" t="str">
            <v>SRV CONSTR EDIFÍCIOS COMERCIAIS PORTE G</v>
          </cell>
          <cell r="E4221" t="str">
            <v>JG</v>
          </cell>
        </row>
        <row r="4222">
          <cell r="C4222">
            <v>3004201</v>
          </cell>
          <cell r="D4222" t="str">
            <v>SRV CONSTR EDIFÍCIOS COMERCIAIS PORTE G</v>
          </cell>
          <cell r="E4222" t="str">
            <v>KG</v>
          </cell>
        </row>
        <row r="4223">
          <cell r="C4223">
            <v>3004202</v>
          </cell>
          <cell r="D4223" t="str">
            <v>SRV CONSTR EDIFÍCIOS COMERCIAIS PORTE G</v>
          </cell>
          <cell r="E4223" t="str">
            <v>KMS</v>
          </cell>
        </row>
        <row r="4224">
          <cell r="C4224">
            <v>3004203</v>
          </cell>
          <cell r="D4224" t="str">
            <v>SRV CONSTR EDIFÍCIOS COMERCIAIS PORTE G</v>
          </cell>
          <cell r="E4224" t="str">
            <v>L</v>
          </cell>
        </row>
        <row r="4225">
          <cell r="C4225">
            <v>3004204</v>
          </cell>
          <cell r="D4225" t="str">
            <v>SRV CONSTR EDIFÍCIOS COMERCIAIS PORTE G</v>
          </cell>
          <cell r="E4225" t="str">
            <v>M</v>
          </cell>
        </row>
        <row r="4226">
          <cell r="C4226">
            <v>3004205</v>
          </cell>
          <cell r="D4226" t="str">
            <v>SRV CONSTR EDIFÍCIOS COMERCIAIS PORTE G</v>
          </cell>
          <cell r="E4226" t="str">
            <v>M2</v>
          </cell>
        </row>
        <row r="4227">
          <cell r="C4227">
            <v>3004206</v>
          </cell>
          <cell r="D4227" t="str">
            <v>SRV CONSTR EDIFÍCIOS COMERCIAIS PORTE G</v>
          </cell>
          <cell r="E4227" t="str">
            <v>M3</v>
          </cell>
        </row>
        <row r="4228">
          <cell r="C4228">
            <v>3004207</v>
          </cell>
          <cell r="D4228" t="str">
            <v>SRV CONSTR EDIFÍCIOS COMERCIAIS PORTE G</v>
          </cell>
          <cell r="E4228" t="str">
            <v>MES</v>
          </cell>
        </row>
        <row r="4229">
          <cell r="C4229">
            <v>3004208</v>
          </cell>
          <cell r="D4229" t="str">
            <v>SRV CONSTR EDIFÍCIOS COMERCIAIS PORTE G</v>
          </cell>
          <cell r="E4229" t="str">
            <v>PAR</v>
          </cell>
        </row>
        <row r="4230">
          <cell r="C4230">
            <v>3004209</v>
          </cell>
          <cell r="D4230" t="str">
            <v>SRV CONSTR EDIFÍCIOS COMERCIAIS PORTE G</v>
          </cell>
          <cell r="E4230" t="str">
            <v>PC</v>
          </cell>
        </row>
        <row r="4231">
          <cell r="C4231">
            <v>3004210</v>
          </cell>
          <cell r="D4231" t="str">
            <v>SRV CONSTR EDIFÍCIOS COMERCIAIS PORTE G</v>
          </cell>
          <cell r="E4231" t="str">
            <v>TO</v>
          </cell>
        </row>
        <row r="4232">
          <cell r="C4232">
            <v>3004211</v>
          </cell>
          <cell r="D4232" t="str">
            <v>SRV CONSTR EDIFÍCIOS COMERCIAIS PORTE G</v>
          </cell>
          <cell r="E4232" t="str">
            <v>UN</v>
          </cell>
        </row>
        <row r="4233">
          <cell r="C4233">
            <v>3004212</v>
          </cell>
          <cell r="D4233" t="str">
            <v>SRV CONSTR EDIFÍCIOS COMERCIAIS PORTE M</v>
          </cell>
          <cell r="E4233" t="str">
            <v>M</v>
          </cell>
        </row>
        <row r="4234">
          <cell r="C4234">
            <v>3004213</v>
          </cell>
          <cell r="D4234" t="str">
            <v>SRV CONSTR EDIFÍCIOS COMERCIAIS PORTE M</v>
          </cell>
          <cell r="E4234" t="str">
            <v>M3</v>
          </cell>
        </row>
        <row r="4235">
          <cell r="C4235">
            <v>3004214</v>
          </cell>
          <cell r="D4235" t="str">
            <v>DEMAIS SERVICOS DE CONSTRUCAO CIVIL</v>
          </cell>
          <cell r="E4235" t="str">
            <v>SV</v>
          </cell>
        </row>
        <row r="4236">
          <cell r="C4236">
            <v>3004215</v>
          </cell>
          <cell r="D4236" t="str">
            <v>SRV CONSTR EDIFÍCIOS COMERCIAIS PORTE M</v>
          </cell>
          <cell r="E4236" t="str">
            <v>UN</v>
          </cell>
        </row>
        <row r="4237">
          <cell r="C4237">
            <v>3004216</v>
          </cell>
          <cell r="D4237" t="str">
            <v>SRV CONSTR NOVAS PLANTAS INDUSTR PORTE G</v>
          </cell>
          <cell r="E4237" t="str">
            <v>H</v>
          </cell>
        </row>
        <row r="4238">
          <cell r="C4238">
            <v>3004217</v>
          </cell>
          <cell r="D4238" t="str">
            <v>SRV CONSTR NOVAS PLANTAS INDUSTR PORTE G</v>
          </cell>
          <cell r="E4238" t="str">
            <v>KG</v>
          </cell>
        </row>
        <row r="4239">
          <cell r="C4239">
            <v>3004218</v>
          </cell>
          <cell r="D4239" t="str">
            <v>SRV CONSTR NOVAS PLANTAS INDUSTR PORTE G</v>
          </cell>
          <cell r="E4239" t="str">
            <v>M</v>
          </cell>
        </row>
        <row r="4240">
          <cell r="C4240">
            <v>3004219</v>
          </cell>
          <cell r="D4240" t="str">
            <v>SRV CONSTR NOVAS PLANTAS INDUSTR PORTE G</v>
          </cell>
          <cell r="E4240" t="str">
            <v>M2</v>
          </cell>
        </row>
        <row r="4241">
          <cell r="C4241">
            <v>3004220</v>
          </cell>
          <cell r="D4241" t="str">
            <v>SRV CONSTR NOVAS PLANTAS INDUSTR PORTE G</v>
          </cell>
          <cell r="E4241" t="str">
            <v>M3</v>
          </cell>
        </row>
        <row r="4242">
          <cell r="C4242">
            <v>3004221</v>
          </cell>
          <cell r="D4242" t="str">
            <v>SRV CONSTR NOVAS PLANTAS INDUSTR PORTE G</v>
          </cell>
          <cell r="E4242" t="str">
            <v>UN</v>
          </cell>
        </row>
        <row r="4243">
          <cell r="C4243">
            <v>3004222</v>
          </cell>
          <cell r="D4243" t="str">
            <v>SRV CONSTR NOVAS PLANTAS INDUSTR PORTE M</v>
          </cell>
          <cell r="E4243" t="str">
            <v>DIA</v>
          </cell>
        </row>
        <row r="4244">
          <cell r="C4244">
            <v>3004223</v>
          </cell>
          <cell r="D4244" t="str">
            <v>SRV CONSTR NOVAS PLANTAS INDUSTR PORTE M</v>
          </cell>
          <cell r="E4244" t="str">
            <v>dm3</v>
          </cell>
        </row>
        <row r="4245">
          <cell r="C4245">
            <v>3004224</v>
          </cell>
          <cell r="D4245" t="str">
            <v>SRV CONSTR NOVAS PLANTAS INDUSTR PORTE M</v>
          </cell>
          <cell r="E4245" t="str">
            <v>H</v>
          </cell>
        </row>
        <row r="4246">
          <cell r="C4246">
            <v>3004225</v>
          </cell>
          <cell r="D4246" t="str">
            <v>SRV CONSTR NOVAS PLANTAS INDUSTR PORTE M</v>
          </cell>
          <cell r="E4246" t="str">
            <v>KG</v>
          </cell>
        </row>
        <row r="4247">
          <cell r="C4247">
            <v>3004226</v>
          </cell>
          <cell r="D4247" t="str">
            <v>SRV CONSTR NOVAS PLANTAS INDUSTR PORTE M</v>
          </cell>
          <cell r="E4247" t="str">
            <v>L</v>
          </cell>
        </row>
        <row r="4248">
          <cell r="C4248">
            <v>3004227</v>
          </cell>
          <cell r="D4248" t="str">
            <v>SRV CONSTR NOVAS PLANTAS INDUSTR PORTE M</v>
          </cell>
          <cell r="E4248" t="str">
            <v>M</v>
          </cell>
        </row>
        <row r="4249">
          <cell r="C4249">
            <v>3004228</v>
          </cell>
          <cell r="D4249" t="str">
            <v>SRV CONSTR NOVAS PLANTAS INDUSTR PORTE M</v>
          </cell>
          <cell r="E4249" t="str">
            <v>M2</v>
          </cell>
        </row>
        <row r="4250">
          <cell r="C4250">
            <v>3004229</v>
          </cell>
          <cell r="D4250" t="str">
            <v>SRV CONSTR NOVAS PLANTAS INDUSTR PORTE M</v>
          </cell>
          <cell r="E4250" t="str">
            <v>M3</v>
          </cell>
        </row>
        <row r="4251">
          <cell r="C4251">
            <v>3004230</v>
          </cell>
          <cell r="D4251" t="str">
            <v>SRV CONSTR NOVAS PLANTAS INDUSTR PORTE M</v>
          </cell>
          <cell r="E4251" t="str">
            <v>MES</v>
          </cell>
        </row>
        <row r="4252">
          <cell r="C4252">
            <v>3004231</v>
          </cell>
          <cell r="D4252" t="str">
            <v>SRV CONSTR NOVAS PLANTAS INDUSTR PORTE M</v>
          </cell>
          <cell r="E4252" t="str">
            <v>SV</v>
          </cell>
        </row>
        <row r="4253">
          <cell r="C4253">
            <v>3004232</v>
          </cell>
          <cell r="D4253" t="str">
            <v>SRV CONSTR NOVAS PLANTAS INDUSTR PORTE M</v>
          </cell>
          <cell r="E4253" t="str">
            <v>TO</v>
          </cell>
        </row>
        <row r="4254">
          <cell r="C4254">
            <v>3004233</v>
          </cell>
          <cell r="D4254" t="str">
            <v>SRV CONSTR NOVAS PLANTAS INDUSTR PORTE M</v>
          </cell>
          <cell r="E4254" t="str">
            <v>UN</v>
          </cell>
        </row>
        <row r="4255">
          <cell r="C4255">
            <v>3004234</v>
          </cell>
          <cell r="D4255" t="str">
            <v>SRV CONSTR PLANTA DE TRAT ÁGUA RES E ESG</v>
          </cell>
          <cell r="E4255" t="str">
            <v>M</v>
          </cell>
        </row>
        <row r="4256">
          <cell r="C4256">
            <v>3004235</v>
          </cell>
          <cell r="D4256" t="str">
            <v>SRV CONSTR PLANTA DE TRAT ÁGUA RES E ESG</v>
          </cell>
          <cell r="E4256" t="str">
            <v>M3</v>
          </cell>
        </row>
        <row r="4257">
          <cell r="C4257">
            <v>3004236</v>
          </cell>
          <cell r="D4257" t="str">
            <v>DEMAIS SERVICOS DE CONSTRUCAO CIVIL</v>
          </cell>
          <cell r="E4257" t="str">
            <v>SV</v>
          </cell>
        </row>
        <row r="4258">
          <cell r="C4258">
            <v>3004237</v>
          </cell>
          <cell r="D4258" t="str">
            <v>SRV CONSTR PLANTA DE TRAT ÁGUA RES E ESG</v>
          </cell>
          <cell r="E4258" t="str">
            <v>UN</v>
          </cell>
        </row>
        <row r="4259">
          <cell r="C4259">
            <v>3004238</v>
          </cell>
          <cell r="D4259" t="str">
            <v>SRV CONSTR SIST DE DRENAGEM GRANDE PORTE</v>
          </cell>
          <cell r="E4259" t="str">
            <v>dm3</v>
          </cell>
        </row>
        <row r="4260">
          <cell r="C4260">
            <v>3004239</v>
          </cell>
          <cell r="D4260" t="str">
            <v>SRV CONSTR SIST DE DRENAGEM GRANDE PORTE</v>
          </cell>
          <cell r="E4260" t="str">
            <v>H</v>
          </cell>
        </row>
        <row r="4261">
          <cell r="C4261">
            <v>3004240</v>
          </cell>
          <cell r="D4261" t="str">
            <v>SRV CONSTR SIST DE DRENAGEM GRANDE PORTE</v>
          </cell>
          <cell r="E4261" t="str">
            <v>HA</v>
          </cell>
        </row>
        <row r="4262">
          <cell r="C4262">
            <v>3004241</v>
          </cell>
          <cell r="D4262" t="str">
            <v>SRV CONSTR SIST DE DRENAGEM GRANDE PORTE</v>
          </cell>
          <cell r="E4262" t="str">
            <v>KG</v>
          </cell>
        </row>
        <row r="4263">
          <cell r="C4263">
            <v>3004242</v>
          </cell>
          <cell r="D4263" t="str">
            <v>SRV CONSTR SIST DE DRENAGEM GRANDE PORTE</v>
          </cell>
          <cell r="E4263" t="str">
            <v>KMS</v>
          </cell>
        </row>
        <row r="4264">
          <cell r="C4264">
            <v>3004243</v>
          </cell>
          <cell r="D4264" t="str">
            <v>SRV CONSTR SIST DE DRENAGEM GRANDE PORTE</v>
          </cell>
          <cell r="E4264" t="str">
            <v>M</v>
          </cell>
        </row>
        <row r="4265">
          <cell r="C4265">
            <v>3004244</v>
          </cell>
          <cell r="D4265" t="str">
            <v>SRV CONSTR SIST DE DRENAGEM GRANDE PORTE</v>
          </cell>
          <cell r="E4265" t="str">
            <v>M2</v>
          </cell>
        </row>
        <row r="4266">
          <cell r="C4266">
            <v>3004245</v>
          </cell>
          <cell r="D4266" t="str">
            <v>SRV CONSTR SIST DE DRENAGEM GRANDE PORTE</v>
          </cell>
          <cell r="E4266" t="str">
            <v>M3</v>
          </cell>
        </row>
        <row r="4267">
          <cell r="C4267">
            <v>3004246</v>
          </cell>
          <cell r="D4267" t="str">
            <v>SRV CONSTR SIST DE DRENAGEM GRANDE PORTE</v>
          </cell>
          <cell r="E4267" t="str">
            <v>MES</v>
          </cell>
        </row>
        <row r="4268">
          <cell r="C4268">
            <v>3004247</v>
          </cell>
          <cell r="D4268" t="str">
            <v>DRENAGEM</v>
          </cell>
          <cell r="E4268" t="str">
            <v>SV</v>
          </cell>
        </row>
        <row r="4269">
          <cell r="C4269">
            <v>3004248</v>
          </cell>
          <cell r="D4269" t="str">
            <v>SRV CONSTR SIST DE DRENAGEM GRANDE PORTE</v>
          </cell>
          <cell r="E4269" t="str">
            <v>TO</v>
          </cell>
        </row>
        <row r="4270">
          <cell r="C4270">
            <v>3004249</v>
          </cell>
          <cell r="D4270" t="str">
            <v>SRV CONSTR SIST DE DRENAGEM GRANDE PORTE</v>
          </cell>
          <cell r="E4270" t="str">
            <v>UN</v>
          </cell>
        </row>
        <row r="4271">
          <cell r="C4271">
            <v>3004250</v>
          </cell>
          <cell r="D4271" t="str">
            <v>SRV CONSTR SIST DE DRENAGEM MÉDIO PORTE</v>
          </cell>
          <cell r="E4271" t="str">
            <v>dm3</v>
          </cell>
        </row>
        <row r="4272">
          <cell r="C4272">
            <v>3004251</v>
          </cell>
          <cell r="D4272" t="str">
            <v>SRV CONSTR SIST DE DRENAGEM MÉDIO PORTE</v>
          </cell>
          <cell r="E4272" t="str">
            <v>H</v>
          </cell>
        </row>
        <row r="4273">
          <cell r="C4273">
            <v>3004252</v>
          </cell>
          <cell r="D4273" t="str">
            <v>SRV CONSTR SIST DE DRENAGEM MÉDIO PORTE</v>
          </cell>
          <cell r="E4273" t="str">
            <v>KG</v>
          </cell>
        </row>
        <row r="4274">
          <cell r="C4274">
            <v>3004253</v>
          </cell>
          <cell r="D4274" t="str">
            <v>SRV CONSTR SIST DE DRENAGEM MÉDIO PORTE</v>
          </cell>
          <cell r="E4274" t="str">
            <v>KMS</v>
          </cell>
        </row>
        <row r="4275">
          <cell r="C4275">
            <v>3004254</v>
          </cell>
          <cell r="D4275" t="str">
            <v>SRV CONSTR SIST DE DRENAGEM MÉDIO PORTE</v>
          </cell>
          <cell r="E4275" t="str">
            <v>L</v>
          </cell>
        </row>
        <row r="4276">
          <cell r="C4276">
            <v>3004255</v>
          </cell>
          <cell r="D4276" t="str">
            <v>SRV CONSTR SIST DE DRENAGEM MÉDIO PORTE</v>
          </cell>
          <cell r="E4276" t="str">
            <v>M</v>
          </cell>
        </row>
        <row r="4277">
          <cell r="C4277">
            <v>3004256</v>
          </cell>
          <cell r="D4277" t="str">
            <v>SRV CONSTR SIST DE DRENAGEM MÉDIO PORTE</v>
          </cell>
          <cell r="E4277" t="str">
            <v>M2</v>
          </cell>
        </row>
        <row r="4278">
          <cell r="C4278">
            <v>3004257</v>
          </cell>
          <cell r="D4278" t="str">
            <v>SRV CONSTR SIST DE DRENAGEM MÉDIO PORTE</v>
          </cell>
          <cell r="E4278" t="str">
            <v>M3</v>
          </cell>
        </row>
        <row r="4279">
          <cell r="C4279">
            <v>3004258</v>
          </cell>
          <cell r="D4279" t="str">
            <v>SRV CONSTR SIST DE DRENAGEM MÉDIO PORTE</v>
          </cell>
          <cell r="E4279" t="str">
            <v>MES</v>
          </cell>
        </row>
        <row r="4280">
          <cell r="C4280">
            <v>3004259</v>
          </cell>
          <cell r="D4280" t="str">
            <v>SRV CONSTR SIST DE DRENAGEM MÉDIO PORTE</v>
          </cell>
          <cell r="E4280" t="str">
            <v>SV</v>
          </cell>
        </row>
        <row r="4281">
          <cell r="C4281">
            <v>3004260</v>
          </cell>
          <cell r="D4281" t="str">
            <v>SRV CONSTR SIST DE DRENAGEM MÉDIO PORTE</v>
          </cell>
          <cell r="E4281" t="str">
            <v>TO</v>
          </cell>
        </row>
        <row r="4282">
          <cell r="C4282">
            <v>3004261</v>
          </cell>
          <cell r="D4282" t="str">
            <v>SRV CONSTR SIST DE DRENAGEM MÉDIO PORTE</v>
          </cell>
          <cell r="E4282" t="str">
            <v>UN</v>
          </cell>
        </row>
        <row r="4283">
          <cell r="C4283">
            <v>3004262</v>
          </cell>
          <cell r="D4283" t="str">
            <v>SRV CONSTR SIST DE DRENAGEM PEQ PORTE</v>
          </cell>
          <cell r="E4283" t="str">
            <v>KG</v>
          </cell>
        </row>
        <row r="4284">
          <cell r="C4284">
            <v>3004263</v>
          </cell>
          <cell r="D4284" t="str">
            <v>SRV CONSTR SIST DE DRENAGEM PEQ PORTE</v>
          </cell>
          <cell r="E4284" t="str">
            <v>M</v>
          </cell>
        </row>
        <row r="4285">
          <cell r="C4285">
            <v>3004264</v>
          </cell>
          <cell r="D4285" t="str">
            <v>SRV CONSTR SIST DE DRENAGEM PEQ PORTE</v>
          </cell>
          <cell r="E4285" t="str">
            <v>M2</v>
          </cell>
        </row>
        <row r="4286">
          <cell r="C4286">
            <v>3004265</v>
          </cell>
          <cell r="D4286" t="str">
            <v>SRV CONSTR SIST DE DRENAGEM PEQ PORTE</v>
          </cell>
          <cell r="E4286" t="str">
            <v>M3</v>
          </cell>
        </row>
        <row r="4287">
          <cell r="C4287">
            <v>3004266</v>
          </cell>
          <cell r="D4287" t="str">
            <v>SRV CONSTR SIST DE DRENAGEM PEQ PORTE</v>
          </cell>
          <cell r="E4287" t="str">
            <v>SV</v>
          </cell>
        </row>
        <row r="4288">
          <cell r="C4288">
            <v>3004267</v>
          </cell>
          <cell r="D4288" t="str">
            <v>SRV CONSTR SIST DE DRENAGEM PEQ PORTE</v>
          </cell>
          <cell r="E4288" t="str">
            <v>UN</v>
          </cell>
        </row>
        <row r="4289">
          <cell r="C4289">
            <v>3004268</v>
          </cell>
          <cell r="D4289" t="str">
            <v>SRV CONSULT EM MINERAÇÃO E METALURGIA</v>
          </cell>
          <cell r="E4289" t="str">
            <v>H</v>
          </cell>
        </row>
        <row r="4290">
          <cell r="C4290">
            <v>3004269</v>
          </cell>
          <cell r="D4290" t="str">
            <v>SRV CONSULT EM MINERAÇÃO E METALURGIA</v>
          </cell>
          <cell r="E4290" t="str">
            <v>MES</v>
          </cell>
        </row>
        <row r="4291">
          <cell r="C4291">
            <v>3004270</v>
          </cell>
          <cell r="D4291" t="str">
            <v>ASSESSORIA OU CONSULTORIA DE QQ NATUREZA</v>
          </cell>
          <cell r="E4291" t="str">
            <v>SV</v>
          </cell>
        </row>
        <row r="4292">
          <cell r="C4292">
            <v>3004271</v>
          </cell>
          <cell r="D4292" t="str">
            <v>SRV CONSULT EM MINERAÇÃO E METALURGIA</v>
          </cell>
          <cell r="E4292" t="str">
            <v>UN</v>
          </cell>
        </row>
        <row r="4293">
          <cell r="C4293">
            <v>3004272</v>
          </cell>
          <cell r="D4293" t="str">
            <v>SRV CONSULT EM SEGURANÇA;SAÚDE OCUP</v>
          </cell>
          <cell r="E4293" t="str">
            <v>DIA</v>
          </cell>
        </row>
        <row r="4294">
          <cell r="C4294">
            <v>3004273</v>
          </cell>
          <cell r="D4294" t="str">
            <v>SRV CONSULT EM SEGURANÇA;SAÚDE OCUP</v>
          </cell>
          <cell r="E4294" t="str">
            <v>H</v>
          </cell>
        </row>
        <row r="4295">
          <cell r="C4295">
            <v>3004274</v>
          </cell>
          <cell r="D4295" t="str">
            <v>SRV CONSULT EM SEGURANÇA;SAÚDE OCUP</v>
          </cell>
          <cell r="E4295" t="str">
            <v>JG</v>
          </cell>
        </row>
        <row r="4296">
          <cell r="C4296">
            <v>3004275</v>
          </cell>
          <cell r="D4296" t="str">
            <v>SRV CONSULT EM SEGURANÇA;SAÚDE OCUP</v>
          </cell>
          <cell r="E4296" t="str">
            <v>KG</v>
          </cell>
        </row>
        <row r="4297">
          <cell r="C4297">
            <v>3004276</v>
          </cell>
          <cell r="D4297" t="str">
            <v>SRV CONSULT EM SEGURANÇA;SAÚDE OCUP</v>
          </cell>
          <cell r="E4297" t="str">
            <v>M</v>
          </cell>
        </row>
        <row r="4298">
          <cell r="C4298">
            <v>3004277</v>
          </cell>
          <cell r="D4298" t="str">
            <v>SRV CONSULT EM SEGURANÇA;SAÚDE OCUP</v>
          </cell>
          <cell r="E4298" t="str">
            <v>M2</v>
          </cell>
        </row>
        <row r="4299">
          <cell r="C4299">
            <v>3004278</v>
          </cell>
          <cell r="D4299" t="str">
            <v>SRV CONSULT EM SEGURANÇA;SAÚDE OCUP</v>
          </cell>
          <cell r="E4299" t="str">
            <v>MES</v>
          </cell>
        </row>
        <row r="4300">
          <cell r="C4300">
            <v>3004279</v>
          </cell>
          <cell r="D4300" t="str">
            <v>SRV CONSULT EM SEGURANÇA;SAÚDE OCUP</v>
          </cell>
          <cell r="E4300" t="str">
            <v>PC</v>
          </cell>
        </row>
        <row r="4301">
          <cell r="C4301">
            <v>3004280</v>
          </cell>
          <cell r="D4301" t="str">
            <v>ASSESSORIA OU CONSULTORIA DE QQ NATUREZA</v>
          </cell>
          <cell r="E4301" t="str">
            <v>SV</v>
          </cell>
        </row>
        <row r="4302">
          <cell r="C4302">
            <v>3004281</v>
          </cell>
          <cell r="D4302" t="str">
            <v>SRV CONSULT EM SEGURANÇA;SAÚDE OCUP</v>
          </cell>
          <cell r="E4302" t="str">
            <v>UN</v>
          </cell>
        </row>
        <row r="4303">
          <cell r="C4303">
            <v>3004282</v>
          </cell>
          <cell r="D4303" t="str">
            <v>SRV CONSULT ENG FLORESTAL;AGROPECUÁRIA</v>
          </cell>
          <cell r="E4303" t="str">
            <v>DIA</v>
          </cell>
        </row>
        <row r="4304">
          <cell r="C4304">
            <v>3004283</v>
          </cell>
          <cell r="D4304" t="str">
            <v>SRV CONSULT ENG FLORESTAL;AGROPECUÁRIA</v>
          </cell>
          <cell r="E4304" t="str">
            <v>H</v>
          </cell>
        </row>
        <row r="4305">
          <cell r="C4305">
            <v>3004284</v>
          </cell>
          <cell r="D4305" t="str">
            <v>ASSESSORIA OU CONSULTORIA DE QQ NATUREZA</v>
          </cell>
          <cell r="E4305" t="str">
            <v>SV</v>
          </cell>
        </row>
        <row r="4306">
          <cell r="C4306">
            <v>3004285</v>
          </cell>
          <cell r="D4306" t="str">
            <v>SRV CONSULT ENG FLORESTAL;AGROPECUÁRIA</v>
          </cell>
          <cell r="E4306" t="str">
            <v>UN</v>
          </cell>
        </row>
        <row r="4307">
          <cell r="C4307">
            <v>3004286</v>
          </cell>
          <cell r="D4307" t="str">
            <v>SRV CONSULT TÉCNICA E LEVANTAMENTO CAMPO</v>
          </cell>
          <cell r="E4307" t="str">
            <v>DIA</v>
          </cell>
        </row>
        <row r="4308">
          <cell r="C4308">
            <v>3004287</v>
          </cell>
          <cell r="D4308" t="str">
            <v>SRV CONSULT TÉCNICA E LEVANTAMENTO CAMPO</v>
          </cell>
          <cell r="E4308" t="str">
            <v>H</v>
          </cell>
        </row>
        <row r="4309">
          <cell r="C4309">
            <v>3004288</v>
          </cell>
          <cell r="D4309" t="str">
            <v>SRV CONSULT TÉCNICA E LEVANTAMENTO CAMPO</v>
          </cell>
          <cell r="E4309" t="str">
            <v>MES</v>
          </cell>
        </row>
        <row r="4310">
          <cell r="C4310">
            <v>3004289</v>
          </cell>
          <cell r="D4310" t="str">
            <v>ASSESSORIA OU CONSULTORIA DE QQ NATUREZA</v>
          </cell>
          <cell r="E4310" t="str">
            <v>SV</v>
          </cell>
        </row>
        <row r="4311">
          <cell r="C4311">
            <v>3004290</v>
          </cell>
          <cell r="D4311" t="str">
            <v>SRV CONSULT TÉCNICA E LEVANTAMENTO CAMPO</v>
          </cell>
          <cell r="E4311" t="str">
            <v>UN</v>
          </cell>
        </row>
        <row r="4312">
          <cell r="C4312">
            <v>3004291</v>
          </cell>
          <cell r="D4312" t="str">
            <v>SRV CONSULTORIA EM ENGENHARIA NAVAL</v>
          </cell>
          <cell r="E4312" t="str">
            <v>H</v>
          </cell>
        </row>
        <row r="4313">
          <cell r="C4313">
            <v>3004292</v>
          </cell>
          <cell r="D4313" t="str">
            <v>ENG,ARQUIT,URB,PAISAG,DECOR INTERIORES</v>
          </cell>
          <cell r="E4313" t="str">
            <v>SV</v>
          </cell>
        </row>
        <row r="4314">
          <cell r="C4314">
            <v>3004293</v>
          </cell>
          <cell r="D4314" t="str">
            <v>ENG,ARQUIT,URB,PAISAG,DECOR INTERIORES</v>
          </cell>
          <cell r="E4314" t="str">
            <v>SV</v>
          </cell>
        </row>
        <row r="4315">
          <cell r="C4315">
            <v>3004294</v>
          </cell>
          <cell r="D4315" t="str">
            <v>SRV CONSULTORIA EM ENGENHARIA PRODUÇÃO</v>
          </cell>
          <cell r="E4315" t="str">
            <v>H</v>
          </cell>
        </row>
        <row r="4316">
          <cell r="C4316">
            <v>3004295</v>
          </cell>
          <cell r="D4316" t="str">
            <v>ASSESSORIA OU CONSULTORIA DE QQ NATUREZA</v>
          </cell>
          <cell r="E4316" t="str">
            <v>SV</v>
          </cell>
        </row>
        <row r="4317">
          <cell r="C4317">
            <v>3004296</v>
          </cell>
          <cell r="D4317" t="str">
            <v>SRV CONSULTORIA EM ENGENHARIA PRODUÇÃO</v>
          </cell>
          <cell r="E4317" t="str">
            <v>UN</v>
          </cell>
        </row>
        <row r="4318">
          <cell r="C4318">
            <v>3004297</v>
          </cell>
          <cell r="D4318" t="str">
            <v>SRV CONSULTORIA EM GESTÃO CORPORATIVA</v>
          </cell>
          <cell r="E4318" t="str">
            <v>ANO</v>
          </cell>
        </row>
        <row r="4319">
          <cell r="C4319">
            <v>3004298</v>
          </cell>
          <cell r="D4319" t="str">
            <v>SRV CONSULTORIA EM GESTÃO CORPORATIVA</v>
          </cell>
          <cell r="E4319" t="str">
            <v>DIA</v>
          </cell>
        </row>
        <row r="4320">
          <cell r="C4320">
            <v>3004299</v>
          </cell>
          <cell r="D4320" t="str">
            <v>SRV CONSULTORIA EM GESTÃO CORPORATIVA</v>
          </cell>
          <cell r="E4320" t="str">
            <v>H</v>
          </cell>
        </row>
        <row r="4321">
          <cell r="C4321">
            <v>3004300</v>
          </cell>
          <cell r="D4321" t="str">
            <v>SRV CONSULTORIA EM GESTÃO CORPORATIVA</v>
          </cell>
          <cell r="E4321" t="str">
            <v>MES</v>
          </cell>
        </row>
        <row r="4322">
          <cell r="C4322">
            <v>3004301</v>
          </cell>
          <cell r="D4322" t="str">
            <v>ASSESSORIA OU CONSULTORIA DE QQ NATUREZA</v>
          </cell>
          <cell r="E4322" t="str">
            <v>SV</v>
          </cell>
        </row>
        <row r="4323">
          <cell r="C4323">
            <v>3004302</v>
          </cell>
          <cell r="D4323" t="str">
            <v>SRV CONSULTORIA EM GESTÃO CORPORATIVA</v>
          </cell>
          <cell r="E4323" t="str">
            <v>UN</v>
          </cell>
        </row>
        <row r="4324">
          <cell r="C4324">
            <v>3004303</v>
          </cell>
          <cell r="D4324" t="str">
            <v>CONSULTORIA E ASSESSORIA EM MEIO AMBIENT</v>
          </cell>
          <cell r="E4324" t="str">
            <v>DIA</v>
          </cell>
        </row>
        <row r="4325">
          <cell r="C4325">
            <v>3004304</v>
          </cell>
          <cell r="D4325" t="str">
            <v>CONSULTORIA E ASSESSORIA EM MEIO AMBIENT</v>
          </cell>
          <cell r="E4325" t="str">
            <v>H</v>
          </cell>
        </row>
        <row r="4326">
          <cell r="C4326">
            <v>3004305</v>
          </cell>
          <cell r="D4326" t="str">
            <v>SRV CONSULTORIA EM MEIO AMBIENTE</v>
          </cell>
          <cell r="E4326" t="str">
            <v>M</v>
          </cell>
        </row>
        <row r="4327">
          <cell r="C4327">
            <v>3004306</v>
          </cell>
          <cell r="D4327" t="str">
            <v>SRV CONSULTORIA EM MEIO AMBIENTE</v>
          </cell>
          <cell r="E4327" t="str">
            <v>MES</v>
          </cell>
        </row>
        <row r="4328">
          <cell r="C4328">
            <v>3004307</v>
          </cell>
          <cell r="D4328" t="str">
            <v>ASSESSORIA OU CONSULTORIA DE QQ NATUREZA</v>
          </cell>
          <cell r="E4328" t="str">
            <v>SV</v>
          </cell>
        </row>
        <row r="4329">
          <cell r="C4329">
            <v>3004308</v>
          </cell>
          <cell r="D4329" t="str">
            <v>CONSULTORIA E ASSESSORIA EM MEIO AMBIENT</v>
          </cell>
          <cell r="E4329" t="str">
            <v>UN</v>
          </cell>
        </row>
        <row r="4330">
          <cell r="C4330">
            <v>3004309</v>
          </cell>
          <cell r="D4330" t="str">
            <v>SRV CONSULTORIA EM PLANEJAMENTO LAVRA</v>
          </cell>
          <cell r="E4330" t="str">
            <v>DIA</v>
          </cell>
        </row>
        <row r="4331">
          <cell r="C4331">
            <v>3004310</v>
          </cell>
          <cell r="D4331" t="str">
            <v>SRV CONSULTORIA EM PLANEJAMENTO LAVRA</v>
          </cell>
          <cell r="E4331" t="str">
            <v>H</v>
          </cell>
        </row>
        <row r="4332">
          <cell r="C4332">
            <v>3004311</v>
          </cell>
          <cell r="D4332" t="str">
            <v>SRV CONSULTORIA EM PLANEJAMENTO LAVRA</v>
          </cell>
          <cell r="E4332" t="str">
            <v>M</v>
          </cell>
        </row>
        <row r="4333">
          <cell r="C4333">
            <v>3004312</v>
          </cell>
          <cell r="D4333" t="str">
            <v>SRV CONSULTORIA EM PLANEJAMENTO LAVRA</v>
          </cell>
          <cell r="E4333" t="str">
            <v>SV</v>
          </cell>
        </row>
        <row r="4334">
          <cell r="C4334">
            <v>3004313</v>
          </cell>
          <cell r="D4334" t="str">
            <v>SRV CONSULTORIA EM PLANEJAMENTO LAVRA</v>
          </cell>
          <cell r="E4334" t="str">
            <v>UN</v>
          </cell>
        </row>
        <row r="4335">
          <cell r="C4335">
            <v>3004314</v>
          </cell>
          <cell r="D4335" t="str">
            <v>SRV CONSULTORIA EM RELAÇÃO TRABALHISTA</v>
          </cell>
          <cell r="E4335" t="str">
            <v>H</v>
          </cell>
        </row>
        <row r="4336">
          <cell r="C4336">
            <v>3004315</v>
          </cell>
          <cell r="D4336" t="str">
            <v>SRV CONSULTORIA EM RELAÇÃO TRABALHISTA</v>
          </cell>
          <cell r="E4336" t="str">
            <v>MES</v>
          </cell>
        </row>
        <row r="4337">
          <cell r="C4337">
            <v>3004316</v>
          </cell>
          <cell r="D4337" t="str">
            <v>ASSESSORIA OU CONSULTORIA DE QQ NATUREZA</v>
          </cell>
          <cell r="E4337" t="str">
            <v>SV</v>
          </cell>
        </row>
        <row r="4338">
          <cell r="C4338">
            <v>3004317</v>
          </cell>
          <cell r="D4338" t="str">
            <v>SRV CONSULTORIA EM RELAÇÃO TRABALHISTA</v>
          </cell>
          <cell r="E4338" t="str">
            <v>UN</v>
          </cell>
        </row>
        <row r="4339">
          <cell r="C4339">
            <v>3004318</v>
          </cell>
          <cell r="D4339" t="str">
            <v>SRV CONT E ESTAB DE TERRA DE GRAND PORTE</v>
          </cell>
          <cell r="E4339" t="str">
            <v>CM</v>
          </cell>
        </row>
        <row r="4340">
          <cell r="C4340">
            <v>3004319</v>
          </cell>
          <cell r="D4340" t="str">
            <v>SRV CONT E ESTAB DE TERRA DE GRAND PORTE</v>
          </cell>
          <cell r="E4340" t="str">
            <v>H</v>
          </cell>
        </row>
        <row r="4341">
          <cell r="C4341">
            <v>3004320</v>
          </cell>
          <cell r="D4341" t="str">
            <v>SRV CONT E ESTAB DE TERRA DE GRAND PORTE</v>
          </cell>
          <cell r="E4341" t="str">
            <v>KG</v>
          </cell>
        </row>
        <row r="4342">
          <cell r="C4342">
            <v>3004321</v>
          </cell>
          <cell r="D4342" t="str">
            <v>SRV CONT E ESTAB DE TERRA DE GRAND PORTE</v>
          </cell>
          <cell r="E4342" t="str">
            <v>KMS</v>
          </cell>
        </row>
        <row r="4343">
          <cell r="C4343">
            <v>3004322</v>
          </cell>
          <cell r="D4343" t="str">
            <v>SRV CONT E ESTAB DE TERRA DE GRAND PORTE</v>
          </cell>
          <cell r="E4343" t="str">
            <v>M</v>
          </cell>
        </row>
        <row r="4344">
          <cell r="C4344">
            <v>3004323</v>
          </cell>
          <cell r="D4344" t="str">
            <v>SRV CONT E ESTAB DE TERRA DE GRAND PORTE</v>
          </cell>
          <cell r="E4344" t="str">
            <v>M2</v>
          </cell>
        </row>
        <row r="4345">
          <cell r="C4345">
            <v>3004324</v>
          </cell>
          <cell r="D4345" t="str">
            <v>SRV CONT E ESTAB DE TERRA DE GRAND PORTE</v>
          </cell>
          <cell r="E4345" t="str">
            <v>M3</v>
          </cell>
        </row>
        <row r="4346">
          <cell r="C4346">
            <v>3004325</v>
          </cell>
          <cell r="D4346" t="str">
            <v>INSTAL,MONT DE PROD,PC,EQUIPS DE OBRAS</v>
          </cell>
          <cell r="E4346" t="str">
            <v>SV</v>
          </cell>
        </row>
        <row r="4347">
          <cell r="C4347">
            <v>3004326</v>
          </cell>
          <cell r="D4347" t="str">
            <v>SRV CONT E ESTAB DE TERRA DE GRAND PORTE</v>
          </cell>
          <cell r="E4347" t="str">
            <v>UN</v>
          </cell>
        </row>
        <row r="4348">
          <cell r="C4348">
            <v>3004327</v>
          </cell>
          <cell r="D4348" t="str">
            <v>SRV COPA C PREP DISTRIB ALIMENTO</v>
          </cell>
          <cell r="E4348" t="str">
            <v>CT</v>
          </cell>
        </row>
        <row r="4349">
          <cell r="C4349">
            <v>3004328</v>
          </cell>
          <cell r="D4349" t="str">
            <v>SRV COPA C PREP DISTRIB ALIMENTO</v>
          </cell>
          <cell r="E4349" t="str">
            <v>KG</v>
          </cell>
        </row>
        <row r="4350">
          <cell r="C4350">
            <v>3004329</v>
          </cell>
          <cell r="D4350" t="str">
            <v>SRV COPA C PREP DISTRIB ALIMENTO</v>
          </cell>
          <cell r="E4350" t="str">
            <v>KMS</v>
          </cell>
        </row>
        <row r="4351">
          <cell r="C4351">
            <v>3004330</v>
          </cell>
          <cell r="D4351" t="str">
            <v>SRV COPA C PREP DISTRIB ALIMENTO</v>
          </cell>
          <cell r="E4351" t="str">
            <v>L</v>
          </cell>
        </row>
        <row r="4352">
          <cell r="C4352">
            <v>3004331</v>
          </cell>
          <cell r="D4352" t="str">
            <v>SRV COPA C PREP DISTRIB ALIMENTO</v>
          </cell>
          <cell r="E4352" t="str">
            <v>MES</v>
          </cell>
        </row>
        <row r="4353">
          <cell r="C4353">
            <v>3004332</v>
          </cell>
          <cell r="D4353" t="str">
            <v>SRV DE COPA COM PREP,MANUSEIO OU DISTRIB</v>
          </cell>
          <cell r="E4353" t="str">
            <v>SV</v>
          </cell>
        </row>
        <row r="4354">
          <cell r="C4354">
            <v>3004333</v>
          </cell>
          <cell r="D4354" t="str">
            <v>SRV COPA C PREP DISTRIB ALIMENTO</v>
          </cell>
          <cell r="E4354" t="str">
            <v>UN</v>
          </cell>
        </row>
        <row r="4355">
          <cell r="C4355">
            <v>3004334</v>
          </cell>
          <cell r="D4355" t="str">
            <v>SRV CO-PROCESSAMENTO RESÍDUOS CLASSE II</v>
          </cell>
          <cell r="E4355" t="str">
            <v>H</v>
          </cell>
        </row>
        <row r="4356">
          <cell r="C4356">
            <v>3004335</v>
          </cell>
          <cell r="D4356" t="str">
            <v>SRV CO-PROCESSAMENTO RESÍDUOS CLASSE II</v>
          </cell>
          <cell r="E4356" t="str">
            <v>KG</v>
          </cell>
        </row>
        <row r="4357">
          <cell r="C4357">
            <v>3004336</v>
          </cell>
          <cell r="D4357" t="str">
            <v>SRV CO-PROCESSAMENTO RESÍDUOS CLASSE II</v>
          </cell>
          <cell r="E4357" t="str">
            <v>M3</v>
          </cell>
        </row>
        <row r="4358">
          <cell r="C4358">
            <v>3004337</v>
          </cell>
          <cell r="D4358" t="str">
            <v>SRV CO-PROCESSAMENTO RESÍDUOS CLASSE II</v>
          </cell>
          <cell r="E4358" t="str">
            <v>MES</v>
          </cell>
        </row>
        <row r="4359">
          <cell r="C4359">
            <v>3004338</v>
          </cell>
          <cell r="D4359" t="str">
            <v>SRV CO-PROCESSAMENTO RESÍDUOS CLASSE II</v>
          </cell>
          <cell r="E4359" t="str">
            <v>TO</v>
          </cell>
        </row>
        <row r="4360">
          <cell r="C4360">
            <v>3004339</v>
          </cell>
          <cell r="D4360" t="str">
            <v>SRV CO-PROCESSAMENTO RESÍDUOS CLASSE II</v>
          </cell>
          <cell r="E4360" t="str">
            <v>UN</v>
          </cell>
        </row>
        <row r="4361">
          <cell r="C4361">
            <v>3004340</v>
          </cell>
          <cell r="D4361" t="str">
            <v>SRV CRÉDITO IMOB E AVALIAÇÃO IMOVEL</v>
          </cell>
          <cell r="E4361" t="str">
            <v>HA</v>
          </cell>
        </row>
        <row r="4362">
          <cell r="C4362">
            <v>3004341</v>
          </cell>
          <cell r="D4362" t="str">
            <v>SRV CRÉDITO IMOB E AVALIAÇÃO IMOVEL</v>
          </cell>
          <cell r="E4362" t="str">
            <v>UN</v>
          </cell>
        </row>
        <row r="4363">
          <cell r="C4363">
            <v>3004342</v>
          </cell>
          <cell r="D4363" t="str">
            <v>SRV CRÉDITO</v>
          </cell>
          <cell r="E4363" t="str">
            <v>UN</v>
          </cell>
        </row>
        <row r="4364">
          <cell r="C4364">
            <v>3004343</v>
          </cell>
          <cell r="D4364" t="str">
            <v>SRV CROMAGEM E RECUPERAÇÃO</v>
          </cell>
          <cell r="E4364" t="str">
            <v>MES</v>
          </cell>
        </row>
        <row r="4365">
          <cell r="C4365">
            <v>3004344</v>
          </cell>
          <cell r="D4365" t="str">
            <v>RESTAUR,PINT,CROMAG,BENEF,TING,GALV</v>
          </cell>
          <cell r="E4365" t="str">
            <v>SV</v>
          </cell>
        </row>
        <row r="4366">
          <cell r="C4366">
            <v>3004345</v>
          </cell>
          <cell r="D4366" t="str">
            <v>SRV CROMAGEM E RECUPERAÇÃO</v>
          </cell>
          <cell r="E4366" t="str">
            <v>UN</v>
          </cell>
        </row>
        <row r="4367">
          <cell r="C4367">
            <v>3004346</v>
          </cell>
          <cell r="D4367" t="str">
            <v>SRV CUSTOMIZAÇÃO INTEGRAÇÃO SISTEMAS</v>
          </cell>
          <cell r="E4367" t="str">
            <v>H</v>
          </cell>
        </row>
        <row r="4368">
          <cell r="C4368">
            <v>3004347</v>
          </cell>
          <cell r="D4368" t="str">
            <v>SRV CUSTOMIZAÇÃO INTEGRAÇÃO SISTEMAS</v>
          </cell>
          <cell r="E4368" t="str">
            <v>MES</v>
          </cell>
        </row>
        <row r="4369">
          <cell r="C4369">
            <v>3004348</v>
          </cell>
          <cell r="D4369" t="str">
            <v>ANALISE E DESENVOLVIMENTO DE SISTEMAS</v>
          </cell>
          <cell r="E4369" t="str">
            <v>SV</v>
          </cell>
        </row>
        <row r="4370">
          <cell r="C4370">
            <v>3004349</v>
          </cell>
          <cell r="D4370" t="str">
            <v>SRV CUSTOMIZAÇÃO INTEGRAÇÃO SISTEMAS</v>
          </cell>
          <cell r="E4370" t="str">
            <v>UN</v>
          </cell>
        </row>
        <row r="4371">
          <cell r="C4371">
            <v>3004350</v>
          </cell>
          <cell r="D4371" t="str">
            <v>SRV DE ASSISTÊNCIA TÉCNICA EM MANUTENÇÃO</v>
          </cell>
          <cell r="E4371" t="str">
            <v>DIA</v>
          </cell>
        </row>
        <row r="4372">
          <cell r="C4372">
            <v>3004351</v>
          </cell>
          <cell r="D4372" t="str">
            <v>SRV DE ASSISTÊNCIA TÉCNICA EM MANUTENÇÃO</v>
          </cell>
          <cell r="E4372" t="str">
            <v>H</v>
          </cell>
        </row>
        <row r="4373">
          <cell r="C4373">
            <v>3004352</v>
          </cell>
          <cell r="D4373" t="str">
            <v>SRV DE ASSISTÊNCIA TÉCNICA EM MANUTENÇÃO</v>
          </cell>
          <cell r="E4373" t="str">
            <v>KG</v>
          </cell>
        </row>
        <row r="4374">
          <cell r="C4374">
            <v>3004353</v>
          </cell>
          <cell r="D4374" t="str">
            <v>SRV DE ASSISTÊNCIA TÉCNICA EM MANUTENÇÃO</v>
          </cell>
          <cell r="E4374" t="str">
            <v>KMS</v>
          </cell>
        </row>
        <row r="4375">
          <cell r="C4375">
            <v>3004354</v>
          </cell>
          <cell r="D4375" t="str">
            <v>SRV DE ASSISTÊNCIA TÉCNICA EM MANUTENÇÃO</v>
          </cell>
          <cell r="E4375" t="str">
            <v>L</v>
          </cell>
        </row>
        <row r="4376">
          <cell r="C4376">
            <v>3004355</v>
          </cell>
          <cell r="D4376" t="str">
            <v>SRV DE ASSISTÊNCIA TÉCNICA EM MANUTENÇÃO</v>
          </cell>
          <cell r="E4376" t="str">
            <v>M</v>
          </cell>
        </row>
        <row r="4377">
          <cell r="C4377">
            <v>3004356</v>
          </cell>
          <cell r="D4377" t="str">
            <v>SRV DE ASSISTÊNCIA TÉCNICA EM MANUTENÇÃO</v>
          </cell>
          <cell r="E4377" t="str">
            <v>M2</v>
          </cell>
        </row>
        <row r="4378">
          <cell r="C4378">
            <v>3004357</v>
          </cell>
          <cell r="D4378" t="str">
            <v>SRV DE ASSISTÊNCIA TÉCNICA EM MANUTENÇÃO</v>
          </cell>
          <cell r="E4378" t="str">
            <v>M3</v>
          </cell>
        </row>
        <row r="4379">
          <cell r="C4379">
            <v>3004358</v>
          </cell>
          <cell r="D4379" t="str">
            <v>SRV DE ASSISTÊNCIA TÉCNICA EM MANUTENÇÃO</v>
          </cell>
          <cell r="E4379" t="str">
            <v>MES</v>
          </cell>
        </row>
        <row r="4380">
          <cell r="C4380">
            <v>3004359</v>
          </cell>
          <cell r="D4380" t="str">
            <v>MANUT CONSERV MAQS,EQUIPS MOV,PC,MOTORES</v>
          </cell>
          <cell r="E4380" t="str">
            <v>SV</v>
          </cell>
        </row>
        <row r="4381">
          <cell r="C4381">
            <v>3004360</v>
          </cell>
          <cell r="D4381" t="str">
            <v>SRV DE ASSISTÊNCIA TÉCNICA EM MANUTENÇÃO</v>
          </cell>
          <cell r="E4381" t="str">
            <v>TO</v>
          </cell>
        </row>
        <row r="4382">
          <cell r="C4382">
            <v>3004361</v>
          </cell>
          <cell r="D4382" t="str">
            <v>SRV DE ASSISTÊNCIA TÉCNICA EM MANUTENÇÃO</v>
          </cell>
          <cell r="E4382" t="str">
            <v>UN</v>
          </cell>
        </row>
        <row r="4383">
          <cell r="C4383">
            <v>3004362</v>
          </cell>
          <cell r="D4383" t="str">
            <v>SRV DE ATUALIZAÇÃO DE SOFTWARE</v>
          </cell>
          <cell r="E4383" t="str">
            <v>UN</v>
          </cell>
        </row>
        <row r="4384">
          <cell r="C4384">
            <v>3004363</v>
          </cell>
          <cell r="D4384" t="str">
            <v>SRV DE REPARO DE CALÇADAS</v>
          </cell>
          <cell r="E4384" t="str">
            <v>UN</v>
          </cell>
        </row>
        <row r="4385">
          <cell r="C4385">
            <v>3004364</v>
          </cell>
          <cell r="D4385" t="str">
            <v>SRV DE CONSULT ENERGIA UTILIDADES PUB</v>
          </cell>
          <cell r="E4385" t="str">
            <v>UN</v>
          </cell>
        </row>
        <row r="4386">
          <cell r="C4386">
            <v>3004365</v>
          </cell>
          <cell r="D4386" t="str">
            <v>SRV DE CONSULT PLANEJAMENTO ESTRATÉGICO</v>
          </cell>
          <cell r="E4386" t="str">
            <v>UN</v>
          </cell>
        </row>
        <row r="4387">
          <cell r="C4387">
            <v>3004366</v>
          </cell>
          <cell r="D4387" t="str">
            <v>SRV DE CONSULT TECNOLOGIA DA INFORMAÇÃO</v>
          </cell>
          <cell r="E4387" t="str">
            <v>UN</v>
          </cell>
        </row>
        <row r="4388">
          <cell r="C4388">
            <v>3004367</v>
          </cell>
          <cell r="D4388" t="str">
            <v>SRV DE CONSULTORIA ADUANEIRA</v>
          </cell>
          <cell r="E4388" t="str">
            <v>UN</v>
          </cell>
        </row>
        <row r="4389">
          <cell r="C4389">
            <v>3004368</v>
          </cell>
          <cell r="D4389" t="str">
            <v>SRV DE CONSULTORIA AERONÁUTICA</v>
          </cell>
          <cell r="E4389" t="str">
            <v>UN</v>
          </cell>
        </row>
        <row r="4390">
          <cell r="C4390">
            <v>3004369</v>
          </cell>
          <cell r="D4390" t="str">
            <v>SRV DE CONSULTORIA AMBIENTAL</v>
          </cell>
          <cell r="E4390" t="str">
            <v>UN</v>
          </cell>
        </row>
        <row r="4391">
          <cell r="C4391">
            <v>3004370</v>
          </cell>
          <cell r="D4391" t="str">
            <v>SRV DE CONSULTORIA CONTROLE QUALIDADE</v>
          </cell>
          <cell r="E4391" t="str">
            <v>UN</v>
          </cell>
        </row>
        <row r="4392">
          <cell r="C4392">
            <v>3004371</v>
          </cell>
          <cell r="D4392" t="str">
            <v>SRV DE CONSULTORIA DE GESTÃO DE OPERAÇÃO</v>
          </cell>
          <cell r="E4392" t="str">
            <v>UN</v>
          </cell>
        </row>
        <row r="4393">
          <cell r="C4393">
            <v>3004372</v>
          </cell>
          <cell r="D4393" t="str">
            <v>SRV DE CONSULTORIA DE PROCESSOS</v>
          </cell>
          <cell r="E4393" t="str">
            <v>UN</v>
          </cell>
        </row>
        <row r="4394">
          <cell r="C4394">
            <v>3004373</v>
          </cell>
          <cell r="D4394" t="str">
            <v>SRV DE CONSULTORIA DE RECURSOS HUMANOS</v>
          </cell>
          <cell r="E4394" t="str">
            <v>UN</v>
          </cell>
        </row>
        <row r="4395">
          <cell r="C4395">
            <v>3004374</v>
          </cell>
          <cell r="D4395" t="str">
            <v>SRV DE CONSULTORIA EM TELECOMUNICAÇÕES</v>
          </cell>
          <cell r="E4395" t="str">
            <v>UN</v>
          </cell>
        </row>
        <row r="4396">
          <cell r="C4396">
            <v>3004375</v>
          </cell>
          <cell r="D4396" t="str">
            <v>SRV DE CONSULTORIA TÉCNICA DE NEGÓCIOS</v>
          </cell>
          <cell r="E4396" t="str">
            <v>UN</v>
          </cell>
        </row>
        <row r="4397">
          <cell r="C4397">
            <v>3004376</v>
          </cell>
          <cell r="D4397" t="str">
            <v>SRV DE CONSULTORIA TÉCNICA EM AUTOMAÇÃO</v>
          </cell>
          <cell r="E4397" t="str">
            <v>UN</v>
          </cell>
        </row>
        <row r="4398">
          <cell r="C4398">
            <v>3004377</v>
          </cell>
          <cell r="D4398" t="str">
            <v>SRV DE EMISSÃO DE VISTOS E PASSAPORTES</v>
          </cell>
          <cell r="E4398" t="str">
            <v>UN</v>
          </cell>
        </row>
        <row r="4399">
          <cell r="C4399">
            <v>3004378</v>
          </cell>
          <cell r="D4399" t="str">
            <v>SRV DE ENGENHARIA ELÉTRICA DE AUTOMAÇÃO</v>
          </cell>
          <cell r="E4399" t="str">
            <v>H</v>
          </cell>
        </row>
        <row r="4400">
          <cell r="C4400">
            <v>3004379</v>
          </cell>
          <cell r="D4400" t="str">
            <v>SRV DE ENGENHARIA ELÉTRICA DE AUTOMAÇÃO</v>
          </cell>
          <cell r="E4400" t="str">
            <v>JG</v>
          </cell>
        </row>
        <row r="4401">
          <cell r="C4401">
            <v>3004380</v>
          </cell>
          <cell r="D4401" t="str">
            <v>SRV DE ENGENHARIA ELÉTRICA DE AUTOMAÇÃO</v>
          </cell>
          <cell r="E4401" t="str">
            <v>PC</v>
          </cell>
        </row>
        <row r="4402">
          <cell r="C4402">
            <v>3004381</v>
          </cell>
          <cell r="D4402" t="str">
            <v>ENG,ARQUIT,URB,PAISAG,DECOR INTERIORES</v>
          </cell>
          <cell r="E4402" t="str">
            <v>SV</v>
          </cell>
        </row>
        <row r="4403">
          <cell r="C4403">
            <v>3004382</v>
          </cell>
          <cell r="D4403" t="str">
            <v>SRV DE ENGENHARIA ELÉTRICA DE AUTOMAÇÃO</v>
          </cell>
          <cell r="E4403" t="str">
            <v>UN</v>
          </cell>
        </row>
        <row r="4404">
          <cell r="C4404">
            <v>3004383</v>
          </cell>
          <cell r="D4404" t="str">
            <v>SRV DE INSPEÇÃO SEGURANÇA EM CALDEIRA</v>
          </cell>
          <cell r="E4404" t="str">
            <v>JG</v>
          </cell>
        </row>
        <row r="4405">
          <cell r="C4405">
            <v>3004384</v>
          </cell>
          <cell r="D4405" t="str">
            <v>SRV DE INSPEÇÃO SEGURANÇA EM CALDEIRA</v>
          </cell>
          <cell r="E4405" t="str">
            <v>M</v>
          </cell>
        </row>
        <row r="4406">
          <cell r="C4406">
            <v>3004385</v>
          </cell>
          <cell r="D4406" t="str">
            <v>SRV DE INSPEÇÃO SEGURANÇA EM CALDEIRA</v>
          </cell>
          <cell r="E4406" t="str">
            <v>PC</v>
          </cell>
        </row>
        <row r="4407">
          <cell r="C4407">
            <v>3004386</v>
          </cell>
          <cell r="D4407" t="str">
            <v>PERICIA;LAUDO;EXAMES;ANALISE TECNICA</v>
          </cell>
          <cell r="E4407" t="str">
            <v>SV</v>
          </cell>
        </row>
        <row r="4408">
          <cell r="C4408">
            <v>3004387</v>
          </cell>
          <cell r="D4408" t="str">
            <v>SRV DE INSPEÇÃO SEGURANÇA EM CALDEIRA</v>
          </cell>
          <cell r="E4408" t="str">
            <v>UN</v>
          </cell>
        </row>
        <row r="4409">
          <cell r="C4409">
            <v>3004388</v>
          </cell>
          <cell r="D4409" t="str">
            <v>SRV DE INSTAÇÃO DE EQUIP DE AUTOMAÇÃO</v>
          </cell>
          <cell r="E4409" t="str">
            <v>DIA</v>
          </cell>
        </row>
        <row r="4410">
          <cell r="C4410">
            <v>3004389</v>
          </cell>
          <cell r="D4410" t="str">
            <v>SRV DE INSTAÇÃO DE EQUIP DE AUTOMAÇÃO</v>
          </cell>
          <cell r="E4410" t="str">
            <v>H</v>
          </cell>
        </row>
        <row r="4411">
          <cell r="C4411">
            <v>3004390</v>
          </cell>
          <cell r="D4411" t="str">
            <v>SRV DE INSTAÇÃO DE EQUIP DE AUTOMAÇÃO</v>
          </cell>
          <cell r="E4411" t="str">
            <v>MES</v>
          </cell>
        </row>
        <row r="4412">
          <cell r="C4412">
            <v>3004391</v>
          </cell>
          <cell r="D4412" t="str">
            <v>AUTOMACAO</v>
          </cell>
          <cell r="E4412" t="str">
            <v>SV</v>
          </cell>
        </row>
        <row r="4413">
          <cell r="C4413">
            <v>3004392</v>
          </cell>
          <cell r="D4413" t="str">
            <v>SRV DE INSTAÇÃO DE EQUIP DE AUTOMAÇÃO</v>
          </cell>
          <cell r="E4413" t="str">
            <v>UN</v>
          </cell>
        </row>
        <row r="4414">
          <cell r="C4414">
            <v>3004393</v>
          </cell>
          <cell r="D4414" t="str">
            <v>MANUT CONSERV MAQS,EQUIPS MOV,PC,MOTORES</v>
          </cell>
          <cell r="E4414" t="str">
            <v>SV</v>
          </cell>
        </row>
        <row r="4415">
          <cell r="C4415">
            <v>3004394</v>
          </cell>
          <cell r="D4415" t="str">
            <v>SRV DE MANUTENÇÃO DE CAMINHÃO EM GERAL</v>
          </cell>
          <cell r="E4415" t="str">
            <v>H</v>
          </cell>
        </row>
        <row r="4416">
          <cell r="C4416">
            <v>3004395</v>
          </cell>
          <cell r="D4416" t="str">
            <v>MANUT CONSERV MAQS,EQUIPS MOV,PC,MOTORES</v>
          </cell>
          <cell r="E4416" t="str">
            <v>SV</v>
          </cell>
        </row>
        <row r="4417">
          <cell r="C4417">
            <v>3004396</v>
          </cell>
          <cell r="D4417" t="str">
            <v>MANUT CONSERV MAQS,EQUIPS MOV,PC,MOTORES</v>
          </cell>
          <cell r="E4417" t="str">
            <v>SV</v>
          </cell>
        </row>
        <row r="4418">
          <cell r="C4418">
            <v>3004397</v>
          </cell>
          <cell r="D4418" t="str">
            <v>SRV DE MANUTENÇÃO DE CAMINHÃO EM GERAL</v>
          </cell>
          <cell r="E4418" t="str">
            <v>KMS</v>
          </cell>
        </row>
        <row r="4419">
          <cell r="C4419">
            <v>3004398</v>
          </cell>
          <cell r="D4419" t="str">
            <v>SRV DE MANUTENÇÃO DE CAMINHÃO EM GERAL</v>
          </cell>
          <cell r="E4419" t="str">
            <v>M</v>
          </cell>
        </row>
        <row r="4420">
          <cell r="C4420">
            <v>3004399</v>
          </cell>
          <cell r="D4420" t="str">
            <v>SRV DE MANUTENÇÃO DE CAMINHÃO EM GERAL</v>
          </cell>
          <cell r="E4420" t="str">
            <v>M2</v>
          </cell>
        </row>
        <row r="4421">
          <cell r="C4421">
            <v>3004400</v>
          </cell>
          <cell r="D4421" t="str">
            <v>SRV DE MANUTENÇÃO DE CAMINHÃO EM GERAL</v>
          </cell>
          <cell r="E4421" t="str">
            <v>M3</v>
          </cell>
        </row>
        <row r="4422">
          <cell r="C4422">
            <v>3004401</v>
          </cell>
          <cell r="D4422" t="str">
            <v>SRV DE MANUTENÇÃO DE CAMINHÃO EM GERAL</v>
          </cell>
          <cell r="E4422" t="str">
            <v>MES</v>
          </cell>
        </row>
        <row r="4423">
          <cell r="C4423">
            <v>3004402</v>
          </cell>
          <cell r="D4423" t="str">
            <v>MANUT CONSERV MAQS,EQUIPS MOV,PC,MOTORES</v>
          </cell>
          <cell r="E4423" t="str">
            <v>SV</v>
          </cell>
        </row>
        <row r="4424">
          <cell r="C4424">
            <v>3004403</v>
          </cell>
          <cell r="D4424" t="str">
            <v>MANUT CONSERV MAQS,EQUIPS MOV,PC,MOTORES</v>
          </cell>
          <cell r="E4424" t="str">
            <v>SV</v>
          </cell>
        </row>
        <row r="4425">
          <cell r="C4425">
            <v>3004404</v>
          </cell>
          <cell r="D4425" t="str">
            <v>SRV DE MANUTENÇÃO DE CAMINHÃO EM GERAL</v>
          </cell>
          <cell r="E4425" t="str">
            <v>UN</v>
          </cell>
        </row>
        <row r="4426">
          <cell r="C4426">
            <v>3004405</v>
          </cell>
          <cell r="D4426" t="str">
            <v>SRV DE MANUTENÇÃO DE CILINDRO HIDRÁULICO</v>
          </cell>
          <cell r="E4426" t="str">
            <v>UN</v>
          </cell>
        </row>
        <row r="4427">
          <cell r="C4427">
            <v>3004406</v>
          </cell>
          <cell r="D4427" t="str">
            <v>MANUT CONSERV MAQS,EQUIPS MOV,PC,MOTORES</v>
          </cell>
          <cell r="E4427" t="str">
            <v>SV</v>
          </cell>
        </row>
        <row r="4428">
          <cell r="C4428">
            <v>3004407</v>
          </cell>
          <cell r="D4428" t="str">
            <v>MANUT CONSERV MAQS,EQUIPS MOV,PC,MOTORES</v>
          </cell>
          <cell r="E4428" t="str">
            <v>SV</v>
          </cell>
        </row>
        <row r="4429">
          <cell r="C4429">
            <v>3004408</v>
          </cell>
          <cell r="D4429" t="str">
            <v>SRV DE MANUTENÇÃO DE FERRAMENTA ELÉTRICA</v>
          </cell>
          <cell r="E4429" t="str">
            <v>DIA</v>
          </cell>
        </row>
        <row r="4430">
          <cell r="C4430">
            <v>3004409</v>
          </cell>
          <cell r="D4430" t="str">
            <v>SRV DE MANUTENÇÃO DE FERRAMENTA ELÉTRICA</v>
          </cell>
          <cell r="E4430" t="str">
            <v>KG</v>
          </cell>
        </row>
        <row r="4431">
          <cell r="C4431">
            <v>3004410</v>
          </cell>
          <cell r="D4431" t="str">
            <v>SRV DE MANUTENÇÃO DE FERRAMENTA ELÉTRICA</v>
          </cell>
          <cell r="E4431" t="str">
            <v>M</v>
          </cell>
        </row>
        <row r="4432">
          <cell r="C4432">
            <v>3004411</v>
          </cell>
          <cell r="D4432" t="str">
            <v>SRV DE MANUTENÇÃO DE FERRAMENTA ELÉTRICA</v>
          </cell>
          <cell r="E4432" t="str">
            <v>M2</v>
          </cell>
        </row>
        <row r="4433">
          <cell r="C4433">
            <v>3004412</v>
          </cell>
          <cell r="D4433" t="str">
            <v>SRV DE MANUTENÇÃO DE FERRAMENTA ELÉTRICA</v>
          </cell>
          <cell r="E4433" t="str">
            <v>M3</v>
          </cell>
        </row>
        <row r="4434">
          <cell r="C4434">
            <v>3004413</v>
          </cell>
          <cell r="D4434" t="str">
            <v>SRV DE MANUTENÇÃO DE FERRAMENTA ELÉTRICA</v>
          </cell>
          <cell r="E4434" t="str">
            <v>PC</v>
          </cell>
        </row>
        <row r="4435">
          <cell r="C4435">
            <v>3004414</v>
          </cell>
          <cell r="D4435" t="str">
            <v>MANUT CONSERV MAQS,EQUIPS MOV,PC,MOTORES</v>
          </cell>
          <cell r="E4435" t="str">
            <v>SV</v>
          </cell>
        </row>
        <row r="4436">
          <cell r="C4436">
            <v>3004415</v>
          </cell>
          <cell r="D4436" t="str">
            <v>SRV DE MANUTENÇÃO DE FERRAMENTA ELÉTRICA</v>
          </cell>
          <cell r="E4436" t="str">
            <v>UN</v>
          </cell>
        </row>
        <row r="4437">
          <cell r="C4437">
            <v>3004416</v>
          </cell>
          <cell r="D4437" t="str">
            <v>SRV DE MANUTENÇÃO DE RODOVIAS E ESTRADAS</v>
          </cell>
          <cell r="E4437" t="str">
            <v>H</v>
          </cell>
        </row>
        <row r="4438">
          <cell r="C4438">
            <v>3004417</v>
          </cell>
          <cell r="D4438" t="str">
            <v>SRV DE MANUTENÇÃO DE RODOVIAS E ESTRADAS</v>
          </cell>
          <cell r="E4438" t="str">
            <v>KMS</v>
          </cell>
        </row>
        <row r="4439">
          <cell r="C4439">
            <v>3004418</v>
          </cell>
          <cell r="D4439" t="str">
            <v>SRV DE MANUTENÇÃO DE RODOVIAS E ESTRADAS</v>
          </cell>
          <cell r="E4439" t="str">
            <v>M</v>
          </cell>
        </row>
        <row r="4440">
          <cell r="C4440">
            <v>3004419</v>
          </cell>
          <cell r="D4440" t="str">
            <v>SRV DE MANUTENÇÃO DE RODOVIAS E ESTRADAS</v>
          </cell>
          <cell r="E4440" t="str">
            <v>M2</v>
          </cell>
        </row>
        <row r="4441">
          <cell r="C4441">
            <v>3004420</v>
          </cell>
          <cell r="D4441" t="str">
            <v>SRV DE MANUTENÇÃO DE RODOVIAS E ESTRADAS</v>
          </cell>
          <cell r="E4441" t="str">
            <v>M3</v>
          </cell>
        </row>
        <row r="4442">
          <cell r="C4442">
            <v>3004421</v>
          </cell>
          <cell r="D4442" t="str">
            <v>SRV DE MANUTENÇÃO DE RODOVIAS E ESTRADAS</v>
          </cell>
          <cell r="E4442" t="str">
            <v>MES</v>
          </cell>
        </row>
        <row r="4443">
          <cell r="C4443">
            <v>3004422</v>
          </cell>
          <cell r="D4443" t="str">
            <v>SRV DE MANUTENÇÃO DE RODOVIAS E ESTRADAS</v>
          </cell>
          <cell r="E4443" t="str">
            <v>PC</v>
          </cell>
        </row>
        <row r="4444">
          <cell r="C4444">
            <v>3004423</v>
          </cell>
          <cell r="D4444" t="str">
            <v>REFOR EDIFICIOS,ESTRADAS,PONTES,PORTOS</v>
          </cell>
          <cell r="E4444" t="str">
            <v>SV</v>
          </cell>
        </row>
        <row r="4445">
          <cell r="C4445">
            <v>3004424</v>
          </cell>
          <cell r="D4445" t="str">
            <v>SRV DE MANUTENÇÃO DE RODOVIAS E ESTRADAS</v>
          </cell>
          <cell r="E4445" t="str">
            <v>TO</v>
          </cell>
        </row>
        <row r="4446">
          <cell r="C4446">
            <v>3004425</v>
          </cell>
          <cell r="D4446" t="str">
            <v>SRV DE MANUTENÇÃO DE RODOVIAS E ESTRADAS</v>
          </cell>
          <cell r="E4446" t="str">
            <v>UN</v>
          </cell>
        </row>
        <row r="4447">
          <cell r="C4447">
            <v>3004426</v>
          </cell>
          <cell r="D4447" t="str">
            <v>SRV DE MANUTENÇÃO DE TANQUE, VASO E SILO</v>
          </cell>
          <cell r="E4447" t="str">
            <v>KG</v>
          </cell>
        </row>
        <row r="4448">
          <cell r="C4448">
            <v>3004427</v>
          </cell>
          <cell r="D4448" t="str">
            <v>SRV DE MANUTENÇÃO DE TANQUE, VASO E SILO</v>
          </cell>
          <cell r="E4448" t="str">
            <v>M</v>
          </cell>
        </row>
        <row r="4449">
          <cell r="C4449">
            <v>3004428</v>
          </cell>
          <cell r="D4449" t="str">
            <v>SRV DE MANUTENÇÃO DE TANQUE, VASO E SILO</v>
          </cell>
          <cell r="E4449" t="str">
            <v>M2</v>
          </cell>
        </row>
        <row r="4450">
          <cell r="C4450">
            <v>3004429</v>
          </cell>
          <cell r="D4450" t="str">
            <v>SRV DE MANUTENÇÃO DE TANQUE, VASO E SILO</v>
          </cell>
          <cell r="E4450" t="str">
            <v>PC</v>
          </cell>
        </row>
        <row r="4451">
          <cell r="C4451">
            <v>3004430</v>
          </cell>
          <cell r="D4451" t="str">
            <v>SRV DE MANUTENÇÃO DE TANQUE, VASO E SILO</v>
          </cell>
          <cell r="E4451" t="str">
            <v>UN</v>
          </cell>
        </row>
        <row r="4452">
          <cell r="C4452">
            <v>3004431</v>
          </cell>
          <cell r="D4452" t="str">
            <v>SRV DE MANUTENÇÃO ELETROMECÂNICA</v>
          </cell>
          <cell r="E4452" t="str">
            <v>DIA</v>
          </cell>
        </row>
        <row r="4453">
          <cell r="C4453">
            <v>3004432</v>
          </cell>
          <cell r="D4453" t="str">
            <v>SRV DE MANUTENÇÃO ELETROMECÂNICA</v>
          </cell>
          <cell r="E4453" t="str">
            <v>H</v>
          </cell>
        </row>
        <row r="4454">
          <cell r="C4454">
            <v>3004433</v>
          </cell>
          <cell r="D4454" t="str">
            <v>SRV DE MANUTENCAO ELETROMECANICA</v>
          </cell>
          <cell r="E4454" t="str">
            <v>KG</v>
          </cell>
        </row>
        <row r="4455">
          <cell r="C4455">
            <v>3004434</v>
          </cell>
          <cell r="D4455" t="str">
            <v>SRV DE MANUTENCAO ELETROMECANICA</v>
          </cell>
          <cell r="E4455" t="str">
            <v>M</v>
          </cell>
        </row>
        <row r="4456">
          <cell r="C4456">
            <v>3004435</v>
          </cell>
          <cell r="D4456" t="str">
            <v>MANUT CONSERV MAQS,EQUIPS MOV,PC,MOTORES</v>
          </cell>
          <cell r="E4456" t="str">
            <v>SV</v>
          </cell>
        </row>
        <row r="4457">
          <cell r="C4457">
            <v>3004436</v>
          </cell>
          <cell r="D4457" t="str">
            <v>MANUT CONSERV MAQS,EQUIPS MOV,PC,MOTORES</v>
          </cell>
          <cell r="E4457" t="str">
            <v>SV</v>
          </cell>
        </row>
        <row r="4458">
          <cell r="C4458">
            <v>3004437</v>
          </cell>
          <cell r="D4458" t="str">
            <v>SRV DE MANUTENÇÃO ELETROMECÂNICA</v>
          </cell>
          <cell r="E4458" t="str">
            <v>MES</v>
          </cell>
        </row>
        <row r="4459">
          <cell r="C4459">
            <v>3004438</v>
          </cell>
          <cell r="D4459" t="str">
            <v>SRV DE MANUTENÇÃO ELETROMECÂNICA</v>
          </cell>
          <cell r="E4459" t="str">
            <v>PC</v>
          </cell>
        </row>
        <row r="4460">
          <cell r="C4460">
            <v>3004439</v>
          </cell>
          <cell r="D4460" t="str">
            <v>MANUT CONSERV MAQS,EQUIPS MOV,PC,MOTORES</v>
          </cell>
          <cell r="E4460" t="str">
            <v>SV</v>
          </cell>
        </row>
        <row r="4461">
          <cell r="C4461">
            <v>3004440</v>
          </cell>
          <cell r="D4461" t="str">
            <v>SRV DE MANUTENCAO ELETROMECANICA</v>
          </cell>
          <cell r="E4461" t="str">
            <v>UN</v>
          </cell>
        </row>
        <row r="4462">
          <cell r="C4462">
            <v>3004441</v>
          </cell>
          <cell r="D4462" t="str">
            <v>SRV DE MANUTENÇÃO REDUTOR DE VELOCIDADE</v>
          </cell>
          <cell r="E4462" t="str">
            <v>H</v>
          </cell>
        </row>
        <row r="4463">
          <cell r="C4463">
            <v>3004442</v>
          </cell>
          <cell r="D4463" t="str">
            <v>SRV DE MANUTENÇÃO REDUTOR DE VELOCIDADE</v>
          </cell>
          <cell r="E4463" t="str">
            <v>JG</v>
          </cell>
        </row>
        <row r="4464">
          <cell r="C4464">
            <v>3004443</v>
          </cell>
          <cell r="D4464" t="str">
            <v>SRV DE MANUTENÇÃO REDUTOR DE VELOCIDADE</v>
          </cell>
          <cell r="E4464" t="str">
            <v>KG</v>
          </cell>
        </row>
        <row r="4465">
          <cell r="C4465">
            <v>3004444</v>
          </cell>
          <cell r="D4465" t="str">
            <v>SRV DE MANUTENÇÃO REDUTOR DE VELOCIDADE</v>
          </cell>
          <cell r="E4465" t="str">
            <v>MM</v>
          </cell>
        </row>
        <row r="4466">
          <cell r="C4466">
            <v>3004445</v>
          </cell>
          <cell r="D4466" t="str">
            <v>SRV DE MANUTENÇÃO REDUTOR DE VELOCIDADE</v>
          </cell>
          <cell r="E4466" t="str">
            <v>PC</v>
          </cell>
        </row>
        <row r="4467">
          <cell r="C4467">
            <v>3004446</v>
          </cell>
          <cell r="D4467" t="str">
            <v>MANUT CONSERV MAQS,EQUIPS MOV,PC,MOTORES</v>
          </cell>
          <cell r="E4467" t="str">
            <v>SV</v>
          </cell>
        </row>
        <row r="4468">
          <cell r="C4468">
            <v>3004447</v>
          </cell>
          <cell r="D4468" t="str">
            <v>SRV DE MANUTENÇÃO REDUTOR DE VELOCIDADE</v>
          </cell>
          <cell r="E4468" t="str">
            <v>UN</v>
          </cell>
        </row>
        <row r="4469">
          <cell r="C4469">
            <v>3004448</v>
          </cell>
          <cell r="D4469" t="str">
            <v>SRV DE PEAÇÃO E DESAPEAÇÃO EM BARCAÇAS</v>
          </cell>
          <cell r="E4469" t="str">
            <v>UN</v>
          </cell>
        </row>
        <row r="4470">
          <cell r="C4470">
            <v>3004449</v>
          </cell>
          <cell r="D4470" t="str">
            <v>SRV DE REPROCESSAMENTO LAMA E LODO</v>
          </cell>
          <cell r="E4470" t="str">
            <v>DIA</v>
          </cell>
        </row>
        <row r="4471">
          <cell r="C4471">
            <v>3004450</v>
          </cell>
          <cell r="D4471" t="str">
            <v>SRV DE REPROCESSAMENTO LAMA E LODO</v>
          </cell>
          <cell r="E4471" t="str">
            <v>H</v>
          </cell>
        </row>
        <row r="4472">
          <cell r="C4472">
            <v>3004451</v>
          </cell>
          <cell r="D4472" t="str">
            <v>SRV DE REPROCESSAMENTO LAMA E LODO</v>
          </cell>
          <cell r="E4472" t="str">
            <v>HA</v>
          </cell>
        </row>
        <row r="4473">
          <cell r="C4473">
            <v>3004452</v>
          </cell>
          <cell r="D4473" t="str">
            <v>SRV DE REPROCESSAMENTO LAMA E LODO</v>
          </cell>
          <cell r="E4473" t="str">
            <v>KG</v>
          </cell>
        </row>
        <row r="4474">
          <cell r="C4474">
            <v>3004453</v>
          </cell>
          <cell r="D4474" t="str">
            <v>SRV DE REPROCESSAMENTO LAMA E LODO</v>
          </cell>
          <cell r="E4474" t="str">
            <v>KMS</v>
          </cell>
        </row>
        <row r="4475">
          <cell r="C4475">
            <v>3004454</v>
          </cell>
          <cell r="D4475" t="str">
            <v>SRV DE REPROCESSAMENTO LAMA E LODO</v>
          </cell>
          <cell r="E4475" t="str">
            <v>M</v>
          </cell>
        </row>
        <row r="4476">
          <cell r="C4476">
            <v>3004455</v>
          </cell>
          <cell r="D4476" t="str">
            <v>SRV DE REPROCESSAMENTO LAMA E LODO</v>
          </cell>
          <cell r="E4476" t="str">
            <v>M2</v>
          </cell>
        </row>
        <row r="4477">
          <cell r="C4477">
            <v>3004456</v>
          </cell>
          <cell r="D4477" t="str">
            <v>SRV DE REPROCESSAMENTO LAMA E LODO</v>
          </cell>
          <cell r="E4477" t="str">
            <v>M3</v>
          </cell>
        </row>
        <row r="4478">
          <cell r="C4478">
            <v>3004457</v>
          </cell>
          <cell r="D4478" t="str">
            <v>SRV DE REPROCESSAMENTO LAMA E LODO</v>
          </cell>
          <cell r="E4478" t="str">
            <v>MES</v>
          </cell>
        </row>
        <row r="4479">
          <cell r="C4479">
            <v>3004458</v>
          </cell>
          <cell r="D4479" t="str">
            <v>SRV DE REPROCESSAMENTO LAMA E LODO</v>
          </cell>
          <cell r="E4479" t="str">
            <v>TO</v>
          </cell>
        </row>
        <row r="4480">
          <cell r="C4480">
            <v>3004459</v>
          </cell>
          <cell r="D4480" t="str">
            <v>SRV DE REPROCESSAMENTO LAMA E LODO</v>
          </cell>
          <cell r="E4480" t="str">
            <v>UN</v>
          </cell>
        </row>
        <row r="4481">
          <cell r="C4481">
            <v>3004460</v>
          </cell>
          <cell r="D4481" t="str">
            <v>SRV DE REPROCESSAMENTO PAPEL E PAPELÃO</v>
          </cell>
          <cell r="E4481" t="str">
            <v>UN</v>
          </cell>
        </row>
        <row r="4482">
          <cell r="C4482">
            <v>3004461</v>
          </cell>
          <cell r="D4482" t="str">
            <v>SRV DE SISTEMA DE GESTÃO DE COMBUSTÍVEIS</v>
          </cell>
          <cell r="E4482" t="str">
            <v>UN</v>
          </cell>
        </row>
        <row r="4483">
          <cell r="C4483">
            <v>3004462</v>
          </cell>
          <cell r="D4483" t="str">
            <v>SRV DE TERRAPLENAGEM DE GRANDE PORTE</v>
          </cell>
          <cell r="E4483" t="str">
            <v>H</v>
          </cell>
        </row>
        <row r="4484">
          <cell r="C4484">
            <v>3004463</v>
          </cell>
          <cell r="D4484" t="str">
            <v>SRV DE TERRAPLENAGEM DE GRANDE PORTE</v>
          </cell>
          <cell r="E4484" t="str">
            <v>KG</v>
          </cell>
        </row>
        <row r="4485">
          <cell r="C4485">
            <v>3004464</v>
          </cell>
          <cell r="D4485" t="str">
            <v>SRV DE TERRAPLENAGEM DE GRANDE PORTE</v>
          </cell>
          <cell r="E4485" t="str">
            <v>KMS</v>
          </cell>
        </row>
        <row r="4486">
          <cell r="C4486">
            <v>3004465</v>
          </cell>
          <cell r="D4486" t="str">
            <v>SRV DE TERRAPLENAGEM DE GRANDE PORTE</v>
          </cell>
          <cell r="E4486" t="str">
            <v>M</v>
          </cell>
        </row>
        <row r="4487">
          <cell r="C4487">
            <v>3004466</v>
          </cell>
          <cell r="D4487" t="str">
            <v>SRV DE TERRAPLENAGEM DE GRANDE PORTE</v>
          </cell>
          <cell r="E4487" t="str">
            <v>M2</v>
          </cell>
        </row>
        <row r="4488">
          <cell r="C4488">
            <v>3004467</v>
          </cell>
          <cell r="D4488" t="str">
            <v>SRV DE TERRAPLENAGEM DE GRANDE PORTE</v>
          </cell>
          <cell r="E4488" t="str">
            <v>M3</v>
          </cell>
        </row>
        <row r="4489">
          <cell r="C4489">
            <v>3004468</v>
          </cell>
          <cell r="D4489" t="str">
            <v>SRV DE TERRAPLENAGEM DE GRANDE PORTE</v>
          </cell>
          <cell r="E4489" t="str">
            <v>MES</v>
          </cell>
        </row>
        <row r="4490">
          <cell r="C4490">
            <v>3004469</v>
          </cell>
          <cell r="D4490" t="str">
            <v>TERRAPLANAG,PREP TERRENO,ATERRO,DRAGAG</v>
          </cell>
          <cell r="E4490" t="str">
            <v>SV</v>
          </cell>
        </row>
        <row r="4491">
          <cell r="C4491">
            <v>3004470</v>
          </cell>
          <cell r="D4491" t="str">
            <v>SRV DE TERRAPLENAGEM DE GRANDE PORTE</v>
          </cell>
          <cell r="E4491" t="str">
            <v>TO</v>
          </cell>
        </row>
        <row r="4492">
          <cell r="C4492">
            <v>3004471</v>
          </cell>
          <cell r="D4492" t="str">
            <v>SRV DE TERRAPLENAGEM DE GRANDE PORTE</v>
          </cell>
          <cell r="E4492" t="str">
            <v>UN</v>
          </cell>
        </row>
        <row r="4493">
          <cell r="C4493">
            <v>3004472</v>
          </cell>
          <cell r="D4493" t="str">
            <v>SRV DE TERRAPLENAGEM DE MEDIO PORTE</v>
          </cell>
          <cell r="E4493" t="str">
            <v>SV</v>
          </cell>
        </row>
        <row r="4494">
          <cell r="C4494">
            <v>3004473</v>
          </cell>
          <cell r="D4494" t="str">
            <v>SRV DE TERRAPLENAGEM DE MEDIO PORTE</v>
          </cell>
          <cell r="E4494" t="str">
            <v>UN</v>
          </cell>
        </row>
        <row r="4495">
          <cell r="C4495">
            <v>3004474</v>
          </cell>
          <cell r="D4495" t="str">
            <v>SRV DE TERRAPLENAGEM DE PEQUENO PORTE</v>
          </cell>
          <cell r="E4495" t="str">
            <v>dm3</v>
          </cell>
        </row>
        <row r="4496">
          <cell r="C4496">
            <v>3004475</v>
          </cell>
          <cell r="D4496" t="str">
            <v>SRV DE TERRAPLENAGEM DE PEQUENO PORTE</v>
          </cell>
          <cell r="E4496" t="str">
            <v>H</v>
          </cell>
        </row>
        <row r="4497">
          <cell r="C4497">
            <v>3004476</v>
          </cell>
          <cell r="D4497" t="str">
            <v>SRV DE TERRAPLENAGEM DE PEQUENO PORTE</v>
          </cell>
          <cell r="E4497" t="str">
            <v>KG</v>
          </cell>
        </row>
        <row r="4498">
          <cell r="C4498">
            <v>3004477</v>
          </cell>
          <cell r="D4498" t="str">
            <v>SRV DE TERRAPLENAGEM DE PEQUENO PORTE</v>
          </cell>
          <cell r="E4498" t="str">
            <v>KMS</v>
          </cell>
        </row>
        <row r="4499">
          <cell r="C4499">
            <v>3004478</v>
          </cell>
          <cell r="D4499" t="str">
            <v>SRV DE TERRAPLENAGEM DE PEQUENO PORTE</v>
          </cell>
          <cell r="E4499" t="str">
            <v>L</v>
          </cell>
        </row>
        <row r="4500">
          <cell r="C4500">
            <v>3004479</v>
          </cell>
          <cell r="D4500" t="str">
            <v>SRV DE TERRAPLENAGEM DE PEQUENO PORTE</v>
          </cell>
          <cell r="E4500" t="str">
            <v>M</v>
          </cell>
        </row>
        <row r="4501">
          <cell r="C4501">
            <v>3004480</v>
          </cell>
          <cell r="D4501" t="str">
            <v>SRV DE TERRAPLENAGEM DE PEQUENO PORTE</v>
          </cell>
          <cell r="E4501" t="str">
            <v>M2</v>
          </cell>
        </row>
        <row r="4502">
          <cell r="C4502">
            <v>3004481</v>
          </cell>
          <cell r="D4502" t="str">
            <v>SRV DE TERRAPLENAGEM DE PEQUENO PORTE</v>
          </cell>
          <cell r="E4502" t="str">
            <v>M3</v>
          </cell>
        </row>
        <row r="4503">
          <cell r="C4503">
            <v>3004482</v>
          </cell>
          <cell r="D4503" t="str">
            <v>SRV DE TERRAPLENAGEM DE PEQUENO PORTE</v>
          </cell>
          <cell r="E4503" t="str">
            <v>MES</v>
          </cell>
        </row>
        <row r="4504">
          <cell r="C4504">
            <v>3004483</v>
          </cell>
          <cell r="D4504" t="str">
            <v>SRV DE TERRAPLENAGEM DE PEQUENO PORTE</v>
          </cell>
          <cell r="E4504" t="str">
            <v>SV</v>
          </cell>
        </row>
        <row r="4505">
          <cell r="C4505">
            <v>3004484</v>
          </cell>
          <cell r="D4505" t="str">
            <v>SRV DE TERRAPLENAGEM DE PEQUENO PORTE</v>
          </cell>
          <cell r="E4505" t="str">
            <v>TO</v>
          </cell>
        </row>
        <row r="4506">
          <cell r="C4506">
            <v>3004485</v>
          </cell>
          <cell r="D4506" t="str">
            <v>SRV DE TERRAPLENAGEM DE PEQUENO PORTE</v>
          </cell>
          <cell r="E4506" t="str">
            <v>UN</v>
          </cell>
        </row>
        <row r="4507">
          <cell r="C4507">
            <v>3004486</v>
          </cell>
          <cell r="D4507" t="str">
            <v>SRV DE TRANSPORTE DOMÉSTICO POR BARCAÇAS</v>
          </cell>
          <cell r="E4507" t="str">
            <v>DIA</v>
          </cell>
        </row>
        <row r="4508">
          <cell r="C4508">
            <v>3004487</v>
          </cell>
          <cell r="D4508" t="str">
            <v>SRV DE TRANSPORTE DOMÉSTICO POR BARCAÇAS</v>
          </cell>
          <cell r="E4508" t="str">
            <v>MES</v>
          </cell>
        </row>
        <row r="4509">
          <cell r="C4509">
            <v>3004488</v>
          </cell>
          <cell r="D4509" t="str">
            <v>SRV DE TRANSPORTE DOMÉSTICO POR BARCAÇAS</v>
          </cell>
          <cell r="E4509" t="str">
            <v>SEM</v>
          </cell>
        </row>
        <row r="4510">
          <cell r="C4510">
            <v>3004489</v>
          </cell>
          <cell r="D4510" t="str">
            <v>SRV DE TRANSPORTE DOMÉSTICO POR BARCAÇAS</v>
          </cell>
          <cell r="E4510" t="str">
            <v>UN</v>
          </cell>
        </row>
        <row r="4511">
          <cell r="C4511">
            <v>3004490</v>
          </cell>
          <cell r="D4511" t="str">
            <v>SRV DE TREINAMENTO DE ÁREA FINANCEIRA</v>
          </cell>
          <cell r="E4511" t="str">
            <v>DIA</v>
          </cell>
        </row>
        <row r="4512">
          <cell r="C4512">
            <v>3004491</v>
          </cell>
          <cell r="D4512" t="str">
            <v>SRV DE TREINAMENTO DE ÁREA FINANCEIRA</v>
          </cell>
          <cell r="E4512" t="str">
            <v>UN</v>
          </cell>
        </row>
        <row r="4513">
          <cell r="C4513">
            <v>3004492</v>
          </cell>
          <cell r="D4513" t="str">
            <v>CONSERT, REP, RESTAUR, REFOR E BLIND</v>
          </cell>
          <cell r="E4513" t="str">
            <v>SV</v>
          </cell>
        </row>
        <row r="4514">
          <cell r="C4514">
            <v>3004493</v>
          </cell>
          <cell r="D4514" t="str">
            <v>SRV DEMOB - MOB</v>
          </cell>
          <cell r="E4514" t="str">
            <v>UN</v>
          </cell>
        </row>
        <row r="4515">
          <cell r="C4515">
            <v>3004494</v>
          </cell>
          <cell r="D4515" t="str">
            <v>SRV DESCARGA DE NAVIO</v>
          </cell>
          <cell r="E4515" t="str">
            <v>DIA</v>
          </cell>
        </row>
        <row r="4516">
          <cell r="C4516">
            <v>3004495</v>
          </cell>
          <cell r="D4516" t="str">
            <v>SRV DESCARGA DE NAVIO</v>
          </cell>
          <cell r="E4516" t="str">
            <v>H</v>
          </cell>
        </row>
        <row r="4517">
          <cell r="C4517">
            <v>3004496</v>
          </cell>
          <cell r="D4517" t="str">
            <v>SRV DESCARGA DE NAVIO</v>
          </cell>
          <cell r="E4517" t="str">
            <v>M3</v>
          </cell>
        </row>
        <row r="4518">
          <cell r="C4518">
            <v>3004497</v>
          </cell>
          <cell r="D4518" t="str">
            <v>SRV PORTUARIO,UTILIZ D PORTO,LOGIST CONG</v>
          </cell>
          <cell r="E4518" t="str">
            <v>SV</v>
          </cell>
        </row>
        <row r="4519">
          <cell r="C4519">
            <v>3004498</v>
          </cell>
          <cell r="D4519" t="str">
            <v>SRV DESCARGA DE NAVIO</v>
          </cell>
          <cell r="E4519" t="str">
            <v>TO</v>
          </cell>
        </row>
        <row r="4520">
          <cell r="C4520">
            <v>3004499</v>
          </cell>
          <cell r="D4520" t="str">
            <v>SRV DESCARGA DE NAVIO</v>
          </cell>
          <cell r="E4520" t="str">
            <v>UN</v>
          </cell>
        </row>
        <row r="4521">
          <cell r="C4521">
            <v>3004500</v>
          </cell>
          <cell r="D4521" t="str">
            <v>SRV PORTUARIO,UTILIZ D PORTO,LOGIST CONG</v>
          </cell>
          <cell r="E4521" t="str">
            <v>SV</v>
          </cell>
        </row>
        <row r="4522">
          <cell r="C4522">
            <v>3004501</v>
          </cell>
          <cell r="D4522" t="str">
            <v>SRV DESCARGA HIDROVIÁRIO POR BARCAÇA</v>
          </cell>
          <cell r="E4522" t="str">
            <v>TO</v>
          </cell>
        </row>
        <row r="4523">
          <cell r="C4523">
            <v>3004502</v>
          </cell>
          <cell r="D4523" t="str">
            <v>SRV DESCARGA HIDROVIÁRIO POR BARCAÇA</v>
          </cell>
          <cell r="E4523" t="str">
            <v>UN</v>
          </cell>
        </row>
        <row r="4524">
          <cell r="C4524">
            <v>3004503</v>
          </cell>
          <cell r="D4524" t="str">
            <v>SRV DRAGAGEM DE SUCCAO E RECALQUE GERAL</v>
          </cell>
          <cell r="E4524" t="str">
            <v>H</v>
          </cell>
        </row>
        <row r="4525">
          <cell r="C4525">
            <v>3004504</v>
          </cell>
          <cell r="D4525" t="str">
            <v>SRV DRAGAGEM DE SUCCAO E RECALQUE GERAL</v>
          </cell>
          <cell r="E4525" t="str">
            <v>KMS</v>
          </cell>
        </row>
        <row r="4526">
          <cell r="C4526">
            <v>3004505</v>
          </cell>
          <cell r="D4526" t="str">
            <v>SRV DRAGAGEM DE SUCCAO E RECALQUE GERAL</v>
          </cell>
          <cell r="E4526" t="str">
            <v>M</v>
          </cell>
        </row>
        <row r="4527">
          <cell r="C4527">
            <v>3004506</v>
          </cell>
          <cell r="D4527" t="str">
            <v>SRV DRAGAGEM DE SUCCAO E RECALQUE GERAL</v>
          </cell>
          <cell r="E4527" t="str">
            <v>M3</v>
          </cell>
        </row>
        <row r="4528">
          <cell r="C4528">
            <v>3004507</v>
          </cell>
          <cell r="D4528" t="str">
            <v>SRV DRAGAGEM DE SUCCAO E RECALQUE GERAL</v>
          </cell>
          <cell r="E4528" t="str">
            <v>MES</v>
          </cell>
        </row>
        <row r="4529">
          <cell r="C4529">
            <v>3004508</v>
          </cell>
          <cell r="D4529" t="str">
            <v>SRV DRAGAGEM DE SUCCAO E RECALQUE GERAL</v>
          </cell>
          <cell r="E4529" t="str">
            <v>SV</v>
          </cell>
        </row>
        <row r="4530">
          <cell r="C4530">
            <v>3004509</v>
          </cell>
          <cell r="D4530" t="str">
            <v>SRV DRAGAGEM DE SUCCAO E RECALQUE GERAL</v>
          </cell>
          <cell r="E4530" t="str">
            <v>TO</v>
          </cell>
        </row>
        <row r="4531">
          <cell r="C4531">
            <v>3004510</v>
          </cell>
          <cell r="D4531" t="str">
            <v>SRV DRAGAGEM DE SUCCAO E RECALQUE GERAL</v>
          </cell>
          <cell r="E4531" t="str">
            <v>UN</v>
          </cell>
        </row>
        <row r="4532">
          <cell r="C4532">
            <v>3004511</v>
          </cell>
          <cell r="D4532" t="str">
            <v>SRV ELETRONICA,ELETROTÉCNICA E SIMILARES</v>
          </cell>
          <cell r="E4532" t="str">
            <v>MES</v>
          </cell>
        </row>
        <row r="4533">
          <cell r="C4533">
            <v>3004512</v>
          </cell>
          <cell r="D4533" t="str">
            <v>SRV TECNICOS EM EDIFICACOES</v>
          </cell>
          <cell r="E4533" t="str">
            <v>SV</v>
          </cell>
        </row>
        <row r="4534">
          <cell r="C4534">
            <v>3004513</v>
          </cell>
          <cell r="D4534" t="str">
            <v>SRV ELETRONICA,ELETROTÉCNICA E SIMILARES</v>
          </cell>
          <cell r="E4534" t="str">
            <v>UN</v>
          </cell>
        </row>
        <row r="4535">
          <cell r="C4535">
            <v>3004514</v>
          </cell>
          <cell r="D4535" t="str">
            <v>SRV ENTREGA INTER PEQ PACOTES OU CARTAS</v>
          </cell>
          <cell r="E4535" t="str">
            <v>KG</v>
          </cell>
        </row>
        <row r="4536">
          <cell r="C4536">
            <v>3004515</v>
          </cell>
          <cell r="D4536" t="str">
            <v>SRV ENTREGA INTER PEQ PACOTES OU CARTAS</v>
          </cell>
          <cell r="E4536" t="str">
            <v>MES</v>
          </cell>
        </row>
        <row r="4537">
          <cell r="C4537">
            <v>3004516</v>
          </cell>
          <cell r="D4537" t="str">
            <v>SRV ENTREGA INTER PEQ PACOTES OU CARTAS</v>
          </cell>
          <cell r="E4537" t="str">
            <v>UN</v>
          </cell>
        </row>
        <row r="4538">
          <cell r="C4538">
            <v>3004517</v>
          </cell>
          <cell r="D4538" t="str">
            <v>SRV ESTUDO E PROJETO OBRA ELETROMECÂNICA</v>
          </cell>
          <cell r="E4538" t="str">
            <v>JG</v>
          </cell>
        </row>
        <row r="4539">
          <cell r="C4539">
            <v>3004518</v>
          </cell>
          <cell r="D4539" t="str">
            <v>SRV ESTUDO E PROJETO OBRA ELETROMECÂNICA</v>
          </cell>
          <cell r="E4539" t="str">
            <v>M</v>
          </cell>
        </row>
        <row r="4540">
          <cell r="C4540">
            <v>3004519</v>
          </cell>
          <cell r="D4540" t="str">
            <v>SRV ESTUDO E PROJETO OBRA ELETROMECÂNICA</v>
          </cell>
          <cell r="E4540" t="str">
            <v>MES</v>
          </cell>
        </row>
        <row r="4541">
          <cell r="C4541">
            <v>3004520</v>
          </cell>
          <cell r="D4541" t="str">
            <v>SRV ESTUDO E PROJETO OBRA ELETROMECÂNICA</v>
          </cell>
          <cell r="E4541" t="str">
            <v>SV</v>
          </cell>
        </row>
        <row r="4542">
          <cell r="C4542">
            <v>3004521</v>
          </cell>
          <cell r="D4542" t="str">
            <v>SRV ESTUDO E PROJETO OBRA ELETROMECÂNICA</v>
          </cell>
          <cell r="E4542" t="str">
            <v>UN</v>
          </cell>
        </row>
        <row r="4543">
          <cell r="C4543">
            <v>3004522</v>
          </cell>
          <cell r="D4543" t="str">
            <v>SRV ESTUDO PRJ MEIO AMBIENTE EIA;RIMA</v>
          </cell>
          <cell r="E4543" t="str">
            <v>DIA</v>
          </cell>
        </row>
        <row r="4544">
          <cell r="C4544">
            <v>3004523</v>
          </cell>
          <cell r="D4544" t="str">
            <v>SRV ESTUDO PRJ MEIO AMBIENTE EIA;RIMA</v>
          </cell>
          <cell r="E4544" t="str">
            <v>H</v>
          </cell>
        </row>
        <row r="4545">
          <cell r="C4545">
            <v>3004524</v>
          </cell>
          <cell r="D4545" t="str">
            <v>ELAB PLANOS DIRETORES,ESTUDOS OBRAS,ENG</v>
          </cell>
          <cell r="E4545" t="str">
            <v>SV</v>
          </cell>
        </row>
        <row r="4546">
          <cell r="C4546">
            <v>3004525</v>
          </cell>
          <cell r="D4546" t="str">
            <v>SRV ESTUDO PRJ MEIO AMBIENTE EIA;RIMA</v>
          </cell>
          <cell r="E4546" t="str">
            <v>UN</v>
          </cell>
        </row>
        <row r="4547">
          <cell r="C4547">
            <v>3004526</v>
          </cell>
          <cell r="D4547" t="str">
            <v>SRV ESTUDO PROJETO TRATAMENTO EFLUENTE</v>
          </cell>
          <cell r="E4547" t="str">
            <v>M</v>
          </cell>
        </row>
        <row r="4548">
          <cell r="C4548">
            <v>3004527</v>
          </cell>
          <cell r="D4548" t="str">
            <v>SRV ESTUDO PROJETO TRATAMENTO EFLUENTE</v>
          </cell>
          <cell r="E4548" t="str">
            <v>M3</v>
          </cell>
        </row>
        <row r="4549">
          <cell r="C4549">
            <v>3004528</v>
          </cell>
          <cell r="D4549" t="str">
            <v>SRV ESTUDO PROJETO TRATAMENTO EFLUENTE</v>
          </cell>
          <cell r="E4549" t="str">
            <v>MES</v>
          </cell>
        </row>
        <row r="4550">
          <cell r="C4550">
            <v>3004529</v>
          </cell>
          <cell r="D4550" t="str">
            <v>SRV ESTUDO PROJETO TRATAMENTO EFLUENTE</v>
          </cell>
          <cell r="E4550" t="str">
            <v>SV</v>
          </cell>
        </row>
        <row r="4551">
          <cell r="C4551">
            <v>3004530</v>
          </cell>
          <cell r="D4551" t="str">
            <v>SRV ESTUDO PROJETO TRATAMENTO EFLUENTE</v>
          </cell>
          <cell r="E4551" t="str">
            <v>UN</v>
          </cell>
        </row>
        <row r="4552">
          <cell r="C4552">
            <v>3004531</v>
          </cell>
          <cell r="D4552" t="str">
            <v>SRV EXEC ABAT CHOCOS TÚNEIS-MANUT TUNEIS</v>
          </cell>
          <cell r="E4552" t="str">
            <v>M</v>
          </cell>
        </row>
        <row r="4553">
          <cell r="C4553">
            <v>3004532</v>
          </cell>
          <cell r="D4553" t="str">
            <v>SRV EXEC ABAT CHOCOS TÚNEIS-MANUT TUNEIS</v>
          </cell>
          <cell r="E4553" t="str">
            <v>M2</v>
          </cell>
        </row>
        <row r="4554">
          <cell r="C4554">
            <v>3004533</v>
          </cell>
          <cell r="D4554" t="str">
            <v>SRV EXEC ABAT CHOCOS TÚNEIS-MANUT TUNEIS</v>
          </cell>
          <cell r="E4554" t="str">
            <v>M3</v>
          </cell>
        </row>
        <row r="4555">
          <cell r="C4555">
            <v>3004534</v>
          </cell>
          <cell r="D4555" t="str">
            <v>SRV EXEC ABAT CHOCOS TÚNEIS-MANUT TUNEIS</v>
          </cell>
          <cell r="E4555" t="str">
            <v>SV</v>
          </cell>
        </row>
        <row r="4556">
          <cell r="C4556">
            <v>3004535</v>
          </cell>
          <cell r="D4556" t="str">
            <v>SRV EXEC ABAT CHOCOS TÚNEIS-MANUT TUNEIS</v>
          </cell>
          <cell r="E4556" t="str">
            <v>UN</v>
          </cell>
        </row>
        <row r="4557">
          <cell r="C4557">
            <v>3004536</v>
          </cell>
          <cell r="D4557" t="str">
            <v>SRV EXEC PROJETO LUBRIFICAÇÃO CENTRALIZ</v>
          </cell>
          <cell r="E4557" t="str">
            <v>UN</v>
          </cell>
        </row>
        <row r="4558">
          <cell r="C4558">
            <v>3004537</v>
          </cell>
          <cell r="D4558" t="str">
            <v>FORNEC,REEMISSAO,RENOV,MANUT D CARTAO</v>
          </cell>
          <cell r="E4558" t="str">
            <v>SV</v>
          </cell>
        </row>
        <row r="4559">
          <cell r="C4559">
            <v>3004538</v>
          </cell>
          <cell r="D4559" t="str">
            <v>DESPESAS EFETUADAS EM CARTAO DE CREDITO</v>
          </cell>
          <cell r="E4559" t="str">
            <v>SV</v>
          </cell>
        </row>
        <row r="4560">
          <cell r="C4560">
            <v>3004539</v>
          </cell>
          <cell r="D4560" t="str">
            <v>SRV FINANCEIRO - CARTÃO COMBUSTÍVEL</v>
          </cell>
          <cell r="E4560" t="str">
            <v>UN</v>
          </cell>
        </row>
        <row r="4561">
          <cell r="C4561">
            <v>3004540</v>
          </cell>
          <cell r="D4561" t="str">
            <v>SRV FINANCEIRO - CARTÃO ESCOLAR</v>
          </cell>
          <cell r="E4561" t="str">
            <v>UN</v>
          </cell>
        </row>
        <row r="4562">
          <cell r="C4562">
            <v>3004541</v>
          </cell>
          <cell r="D4562" t="str">
            <v>FORNEC,REEMISSAO,RENOV,MANUT D CARTAO</v>
          </cell>
          <cell r="E4562" t="str">
            <v>SV</v>
          </cell>
        </row>
        <row r="4563">
          <cell r="C4563">
            <v>3004542</v>
          </cell>
          <cell r="D4563" t="str">
            <v>SRV FINANCEIROS (COBRANÇA ; PAGTO)</v>
          </cell>
          <cell r="E4563" t="str">
            <v>UN</v>
          </cell>
        </row>
        <row r="4564">
          <cell r="C4564">
            <v>3004543</v>
          </cell>
          <cell r="D4564" t="str">
            <v>SRV FORNECIMENTO ÁGUA EM CAMINHÃO PIPA</v>
          </cell>
          <cell r="E4564" t="str">
            <v>H</v>
          </cell>
        </row>
        <row r="4565">
          <cell r="C4565">
            <v>3004544</v>
          </cell>
          <cell r="D4565" t="str">
            <v>SRV FORNECIMENTO ÁGUA EM CAMINHÃO PIPA</v>
          </cell>
          <cell r="E4565" t="str">
            <v>KG</v>
          </cell>
        </row>
        <row r="4566">
          <cell r="C4566">
            <v>3004545</v>
          </cell>
          <cell r="D4566" t="str">
            <v>SRV FORNECIMENTO ÁGUA EM CAMINHÃO PIPA</v>
          </cell>
          <cell r="E4566" t="str">
            <v>KMS</v>
          </cell>
        </row>
        <row r="4567">
          <cell r="C4567">
            <v>3004546</v>
          </cell>
          <cell r="D4567" t="str">
            <v>SRV FORNECIMENTO ÁGUA EM CAMINHÃO PIPA</v>
          </cell>
          <cell r="E4567" t="str">
            <v>M</v>
          </cell>
        </row>
        <row r="4568">
          <cell r="C4568">
            <v>3004547</v>
          </cell>
          <cell r="D4568" t="str">
            <v>SRV FORNECIMENTO ÁGUA EM CAMINHÃO PIPA</v>
          </cell>
          <cell r="E4568" t="str">
            <v>M3</v>
          </cell>
        </row>
        <row r="4569">
          <cell r="C4569">
            <v>3004548</v>
          </cell>
          <cell r="D4569" t="str">
            <v>SRV FORNECIMENTO ÁGUA EM CAMINHÃO PIPA</v>
          </cell>
          <cell r="E4569" t="str">
            <v>MES</v>
          </cell>
        </row>
        <row r="4570">
          <cell r="C4570">
            <v>3004549</v>
          </cell>
          <cell r="D4570" t="str">
            <v>SRV FORNECIMENTO ÁGUA EM CAMINHÃO PIPA</v>
          </cell>
          <cell r="E4570" t="str">
            <v>SV</v>
          </cell>
        </row>
        <row r="4571">
          <cell r="C4571">
            <v>3004550</v>
          </cell>
          <cell r="D4571" t="str">
            <v>SRV FORNECIMENTO ÁGUA EM CAMINHÃO PIPA</v>
          </cell>
          <cell r="E4571" t="str">
            <v>UN</v>
          </cell>
        </row>
        <row r="4572">
          <cell r="C4572">
            <v>3004551</v>
          </cell>
          <cell r="D4572" t="str">
            <v>SRV FUNERÁRIO;LOCAÇÃO CAPELA E SIMILARES</v>
          </cell>
          <cell r="E4572" t="str">
            <v>SV</v>
          </cell>
        </row>
        <row r="4573">
          <cell r="C4573">
            <v>3004552</v>
          </cell>
          <cell r="D4573" t="str">
            <v>SRV GERENC DA MANUT INST INDUSTR GERAL</v>
          </cell>
          <cell r="E4573" t="str">
            <v>UN</v>
          </cell>
        </row>
        <row r="4574">
          <cell r="C4574">
            <v>3004553</v>
          </cell>
          <cell r="D4574" t="str">
            <v>SRV GERENCIAMENTO ATIVOS INSTRUMENTAÇÃO</v>
          </cell>
          <cell r="E4574" t="str">
            <v>M3</v>
          </cell>
        </row>
        <row r="4575">
          <cell r="C4575">
            <v>3004554</v>
          </cell>
          <cell r="D4575" t="str">
            <v>SRV GERENCIAMENTO ATIVOS INSTRUNENTAÇÃO</v>
          </cell>
          <cell r="E4575" t="str">
            <v>UN</v>
          </cell>
        </row>
        <row r="4576">
          <cell r="C4576">
            <v>3004555</v>
          </cell>
          <cell r="D4576" t="str">
            <v>GESTAO DE MARKET PLACE,SOURC,SINC DE CAD</v>
          </cell>
          <cell r="E4576" t="str">
            <v>SV</v>
          </cell>
        </row>
        <row r="4577">
          <cell r="C4577">
            <v>3004556</v>
          </cell>
          <cell r="D4577" t="str">
            <v>SRV GESTÃO MKT PLACE;SOURCING;SINC;CAD</v>
          </cell>
          <cell r="E4577" t="str">
            <v>UN</v>
          </cell>
        </row>
        <row r="4578">
          <cell r="C4578">
            <v>3004557</v>
          </cell>
          <cell r="D4578" t="str">
            <v>SRV GRÁFICOS GERAL</v>
          </cell>
          <cell r="E4578" t="str">
            <v>CT</v>
          </cell>
        </row>
        <row r="4579">
          <cell r="C4579">
            <v>3004558</v>
          </cell>
          <cell r="D4579" t="str">
            <v>SRV GRÁFICOS GERAL</v>
          </cell>
          <cell r="E4579" t="str">
            <v>DIA</v>
          </cell>
        </row>
        <row r="4580">
          <cell r="C4580">
            <v>3004559</v>
          </cell>
          <cell r="D4580" t="str">
            <v>SRV GRÁFICOS GERAL</v>
          </cell>
          <cell r="E4580" t="str">
            <v>KMS</v>
          </cell>
        </row>
        <row r="4581">
          <cell r="C4581">
            <v>3004560</v>
          </cell>
          <cell r="D4581" t="str">
            <v>SRV GRÁFICOS GERAL</v>
          </cell>
          <cell r="E4581" t="str">
            <v>M</v>
          </cell>
        </row>
        <row r="4582">
          <cell r="C4582">
            <v>3004561</v>
          </cell>
          <cell r="D4582" t="str">
            <v>SRV GRÁFICOS GERAL</v>
          </cell>
          <cell r="E4582" t="str">
            <v>M2</v>
          </cell>
        </row>
        <row r="4583">
          <cell r="C4583">
            <v>3004562</v>
          </cell>
          <cell r="D4583" t="str">
            <v>SRV GRÁFICOS GERAL</v>
          </cell>
          <cell r="E4583" t="str">
            <v>MES</v>
          </cell>
        </row>
        <row r="4584">
          <cell r="C4584">
            <v>3004563</v>
          </cell>
          <cell r="D4584" t="str">
            <v>PROPAGANDA E PUBLICIDADE</v>
          </cell>
          <cell r="E4584" t="str">
            <v>SV</v>
          </cell>
        </row>
        <row r="4585">
          <cell r="C4585">
            <v>3004564</v>
          </cell>
          <cell r="D4585" t="str">
            <v>SRV GRÁFICOS GERAL</v>
          </cell>
          <cell r="E4585" t="str">
            <v>UN</v>
          </cell>
        </row>
        <row r="4586">
          <cell r="C4586">
            <v>3004565</v>
          </cell>
          <cell r="D4586" t="str">
            <v>SRV IMPRESSÃO MONTAGEM FOTOLITO</v>
          </cell>
          <cell r="E4586" t="str">
            <v>ANO</v>
          </cell>
        </row>
        <row r="4587">
          <cell r="C4587">
            <v>3004566</v>
          </cell>
          <cell r="D4587" t="str">
            <v>SRV IMPRESSÃO MONTAGEM FOTOLITO</v>
          </cell>
          <cell r="E4587" t="str">
            <v>CT</v>
          </cell>
        </row>
        <row r="4588">
          <cell r="C4588">
            <v>3004567</v>
          </cell>
          <cell r="D4588" t="str">
            <v>SRV IMPRESSÃO MONTAGEM FOTOLITO</v>
          </cell>
          <cell r="E4588" t="str">
            <v>DIA</v>
          </cell>
        </row>
        <row r="4589">
          <cell r="C4589">
            <v>3004568</v>
          </cell>
          <cell r="D4589" t="str">
            <v>SRV IMPRESSÃO MONTAGEM FOTOLITO</v>
          </cell>
          <cell r="E4589" t="str">
            <v>M2</v>
          </cell>
        </row>
        <row r="4590">
          <cell r="C4590">
            <v>3004569</v>
          </cell>
          <cell r="D4590" t="str">
            <v>SRV IMPRESSÃO MONTAGEM FOTOLITO</v>
          </cell>
          <cell r="E4590" t="str">
            <v>MES</v>
          </cell>
        </row>
        <row r="4591">
          <cell r="C4591">
            <v>3004570</v>
          </cell>
          <cell r="D4591" t="str">
            <v>SRV IMPRESSÃO MONTAGEM FOTOLITO</v>
          </cell>
          <cell r="E4591" t="str">
            <v>UN</v>
          </cell>
        </row>
        <row r="4592">
          <cell r="C4592">
            <v>3004571</v>
          </cell>
          <cell r="D4592" t="str">
            <v>PERICIA;LAUDO;EXAMES;ANALISE TECNICA</v>
          </cell>
          <cell r="E4592" t="str">
            <v>SV</v>
          </cell>
        </row>
        <row r="4593">
          <cell r="C4593">
            <v>3004572</v>
          </cell>
          <cell r="D4593" t="str">
            <v>SRV INSPEÇÃO DE NÍVEL RADIAÇÃO IONIZANTE</v>
          </cell>
          <cell r="E4593" t="str">
            <v>UN</v>
          </cell>
        </row>
        <row r="4594">
          <cell r="C4594">
            <v>3004573</v>
          </cell>
          <cell r="D4594" t="str">
            <v>PERICIA;LAUDO;EXAMES;ANALISE TECNICA</v>
          </cell>
          <cell r="E4594" t="str">
            <v>SV</v>
          </cell>
        </row>
        <row r="4595">
          <cell r="C4595">
            <v>3004574</v>
          </cell>
          <cell r="D4595" t="str">
            <v>PERICIA;LAUDO;EXAMES;ANALISE TECNICA</v>
          </cell>
          <cell r="E4595" t="str">
            <v>SV</v>
          </cell>
        </row>
        <row r="4596">
          <cell r="C4596">
            <v>3004575</v>
          </cell>
          <cell r="D4596" t="str">
            <v>SRV INSPEÇÃO;TESTE FABRICAÇÃO EQUIP</v>
          </cell>
          <cell r="E4596" t="str">
            <v>DIA</v>
          </cell>
        </row>
        <row r="4597">
          <cell r="C4597">
            <v>3004576</v>
          </cell>
          <cell r="D4597" t="str">
            <v>SRV INSPEÇÃO;TESTE FABRICAÇÃO EQUIP</v>
          </cell>
          <cell r="E4597" t="str">
            <v>H</v>
          </cell>
        </row>
        <row r="4598">
          <cell r="C4598">
            <v>3004577</v>
          </cell>
          <cell r="D4598" t="str">
            <v>SRV INSPEÇÃO;TESTE FABRICAÇÃO EQUIP</v>
          </cell>
          <cell r="E4598" t="str">
            <v>JG</v>
          </cell>
        </row>
        <row r="4599">
          <cell r="C4599">
            <v>3004578</v>
          </cell>
          <cell r="D4599" t="str">
            <v>PERICIA;LAUDO;EXAMES;ANALISE TECNICA</v>
          </cell>
          <cell r="E4599" t="str">
            <v>SV</v>
          </cell>
        </row>
        <row r="4600">
          <cell r="C4600">
            <v>3004579</v>
          </cell>
          <cell r="D4600" t="str">
            <v>SRV INSPEÇÃO;TESTE FABRICAÇÃO EQUIP</v>
          </cell>
          <cell r="E4600" t="str">
            <v>M</v>
          </cell>
        </row>
        <row r="4601">
          <cell r="C4601">
            <v>3004580</v>
          </cell>
          <cell r="D4601" t="str">
            <v>SRV INSPEÇÃO;TESTE FABRICAÇÃO EQUIP</v>
          </cell>
          <cell r="E4601" t="str">
            <v>MES</v>
          </cell>
        </row>
        <row r="4602">
          <cell r="C4602">
            <v>3004581</v>
          </cell>
          <cell r="D4602" t="str">
            <v>SRV INSPEÇÃO;TESTE FABRICAÇÃO EQUIP</v>
          </cell>
          <cell r="E4602" t="str">
            <v>SV</v>
          </cell>
        </row>
        <row r="4603">
          <cell r="C4603">
            <v>3004582</v>
          </cell>
          <cell r="D4603" t="str">
            <v>SRV INSPEÇÃO;TESTE FABRICAÇÃO EQUIP</v>
          </cell>
          <cell r="E4603" t="str">
            <v>UN</v>
          </cell>
        </row>
        <row r="4604">
          <cell r="C4604">
            <v>3004583</v>
          </cell>
          <cell r="D4604" t="str">
            <v>INSTAL,MONT DE PROD,PC,EQUIPS DE OBRAS</v>
          </cell>
          <cell r="E4604" t="str">
            <v>SV</v>
          </cell>
        </row>
        <row r="4605">
          <cell r="C4605">
            <v>3004584</v>
          </cell>
          <cell r="D4605" t="str">
            <v>SRV INST E MONT DE EQUIP AUDIO VISUAL</v>
          </cell>
          <cell r="E4605" t="str">
            <v>UN</v>
          </cell>
        </row>
        <row r="4606">
          <cell r="C4606">
            <v>3004585</v>
          </cell>
          <cell r="D4606" t="str">
            <v>SRV INST E MONT DE EQUIP TRANSMISSÃO</v>
          </cell>
          <cell r="E4606" t="str">
            <v>H</v>
          </cell>
        </row>
        <row r="4607">
          <cell r="C4607">
            <v>3004586</v>
          </cell>
          <cell r="D4607" t="str">
            <v>SRV INST E MONT DE EQUIP TRANSMISSÃO</v>
          </cell>
          <cell r="E4607" t="str">
            <v>HA</v>
          </cell>
        </row>
        <row r="4608">
          <cell r="C4608">
            <v>3004587</v>
          </cell>
          <cell r="D4608" t="str">
            <v>INSTAL,MONT DE PROD,PC,EQUIPS DE OBRAS</v>
          </cell>
          <cell r="E4608" t="str">
            <v>SV</v>
          </cell>
        </row>
        <row r="4609">
          <cell r="C4609">
            <v>3004588</v>
          </cell>
          <cell r="D4609" t="str">
            <v>SRV INST E MONT DE EQUIP TRANSMISSÃO</v>
          </cell>
          <cell r="E4609" t="str">
            <v>M</v>
          </cell>
        </row>
        <row r="4610">
          <cell r="C4610">
            <v>3004589</v>
          </cell>
          <cell r="D4610" t="str">
            <v>SRV INST E MONT DE EQUIP TRANSMISSÃO</v>
          </cell>
          <cell r="E4610" t="str">
            <v>M2</v>
          </cell>
        </row>
        <row r="4611">
          <cell r="C4611">
            <v>3004590</v>
          </cell>
          <cell r="D4611" t="str">
            <v>SRV INST E MONT DE EQUIP TRANSMISSÃO</v>
          </cell>
          <cell r="E4611" t="str">
            <v>M3</v>
          </cell>
        </row>
        <row r="4612">
          <cell r="C4612">
            <v>3004591</v>
          </cell>
          <cell r="D4612" t="str">
            <v>INSTAL,MONT DE PROD,PC,EQUIPS DE OBRAS</v>
          </cell>
          <cell r="E4612" t="str">
            <v>SV</v>
          </cell>
        </row>
        <row r="4613">
          <cell r="C4613">
            <v>3004592</v>
          </cell>
          <cell r="D4613" t="str">
            <v>SRV INST E MONT DE EQUIP TRANSMISSÃO</v>
          </cell>
          <cell r="E4613" t="str">
            <v>UN</v>
          </cell>
        </row>
        <row r="4614">
          <cell r="C4614">
            <v>3004593</v>
          </cell>
          <cell r="D4614" t="str">
            <v>SRV INST E MONT DE SISTEMA ILUMINAÇÃO</v>
          </cell>
          <cell r="E4614" t="str">
            <v>DIA</v>
          </cell>
        </row>
        <row r="4615">
          <cell r="C4615">
            <v>3004594</v>
          </cell>
          <cell r="D4615" t="str">
            <v>SRV INST E MONT DE SISTEMA ILUNINAÇÃO</v>
          </cell>
          <cell r="E4615" t="str">
            <v>H</v>
          </cell>
        </row>
        <row r="4616">
          <cell r="C4616">
            <v>3004595</v>
          </cell>
          <cell r="D4616" t="str">
            <v>SRV INST E MONT DE SISTEMA ILUMINAÇÃO</v>
          </cell>
          <cell r="E4616" t="str">
            <v>KG</v>
          </cell>
        </row>
        <row r="4617">
          <cell r="C4617">
            <v>3004596</v>
          </cell>
          <cell r="D4617" t="str">
            <v>SRV INST E MONT DE SISTEMA ILUMINAÇÃO</v>
          </cell>
          <cell r="E4617" t="str">
            <v>KMS</v>
          </cell>
        </row>
        <row r="4618">
          <cell r="C4618">
            <v>3004597</v>
          </cell>
          <cell r="D4618" t="str">
            <v>SRV INST E MONT DE SISTEMA ILUMINAÇÃO</v>
          </cell>
          <cell r="E4618" t="str">
            <v>M</v>
          </cell>
        </row>
        <row r="4619">
          <cell r="C4619">
            <v>3004598</v>
          </cell>
          <cell r="D4619" t="str">
            <v>SRV INST E MONT DE SISTEMA ILUMINAÇÃO</v>
          </cell>
          <cell r="E4619" t="str">
            <v>M2</v>
          </cell>
        </row>
        <row r="4620">
          <cell r="C4620">
            <v>3004599</v>
          </cell>
          <cell r="D4620" t="str">
            <v>SRV INST E MONT DE SISTEMA ILUMINAÇÃO</v>
          </cell>
          <cell r="E4620" t="str">
            <v>MES</v>
          </cell>
        </row>
        <row r="4621">
          <cell r="C4621">
            <v>3004600</v>
          </cell>
          <cell r="D4621" t="str">
            <v>INSTAL,MONT DE PROD,PC,EQUIPS DE OBRAS</v>
          </cell>
          <cell r="E4621" t="str">
            <v>SV</v>
          </cell>
        </row>
        <row r="4622">
          <cell r="C4622">
            <v>3004601</v>
          </cell>
          <cell r="D4622" t="str">
            <v>SRV INST E MONT DE SISTEMA ILUMINAÇÃO</v>
          </cell>
          <cell r="E4622" t="str">
            <v>UN</v>
          </cell>
        </row>
        <row r="4623">
          <cell r="C4623">
            <v>3004602</v>
          </cell>
          <cell r="D4623" t="str">
            <v>SRV INST E MONT MOBILIÁRIO LABORATÓRIO</v>
          </cell>
          <cell r="E4623" t="str">
            <v>UN</v>
          </cell>
        </row>
        <row r="4624">
          <cell r="C4624">
            <v>3004603</v>
          </cell>
          <cell r="D4624" t="str">
            <v>SRV INST MONTAGEM MAQUINÁRIO INDUSTR</v>
          </cell>
          <cell r="E4624" t="str">
            <v>DIA</v>
          </cell>
        </row>
        <row r="4625">
          <cell r="C4625">
            <v>3004604</v>
          </cell>
          <cell r="D4625" t="str">
            <v>SRV INST MONTAGEM MAQUINÁRIO INDUSTR</v>
          </cell>
          <cell r="E4625" t="str">
            <v>H</v>
          </cell>
        </row>
        <row r="4626">
          <cell r="C4626">
            <v>3004605</v>
          </cell>
          <cell r="D4626" t="str">
            <v>SRV INST MONTAGEM MAQUINÁRIO INDUSTR</v>
          </cell>
          <cell r="E4626" t="str">
            <v>KG</v>
          </cell>
        </row>
        <row r="4627">
          <cell r="C4627">
            <v>3004606</v>
          </cell>
          <cell r="D4627" t="str">
            <v>SRV INST MONTAGEM MAQUINÁRIO INDUSTR</v>
          </cell>
          <cell r="E4627" t="str">
            <v>M</v>
          </cell>
        </row>
        <row r="4628">
          <cell r="C4628">
            <v>3004607</v>
          </cell>
          <cell r="D4628" t="str">
            <v>SRV INST MONTAGEM MAQUINÁRIO INDUSTR</v>
          </cell>
          <cell r="E4628" t="str">
            <v>M2</v>
          </cell>
        </row>
        <row r="4629">
          <cell r="C4629">
            <v>3004608</v>
          </cell>
          <cell r="D4629" t="str">
            <v>INSTAL E MONT DE APARELHOS,MAQS E EQUIPS</v>
          </cell>
          <cell r="E4629" t="str">
            <v>SV</v>
          </cell>
        </row>
        <row r="4630">
          <cell r="C4630">
            <v>3004609</v>
          </cell>
          <cell r="D4630" t="str">
            <v>SRV INST MONTAGEM MAQUINÁRIO INDUSTR</v>
          </cell>
          <cell r="E4630" t="str">
            <v>UN</v>
          </cell>
        </row>
        <row r="4631">
          <cell r="C4631">
            <v>3004610</v>
          </cell>
          <cell r="D4631" t="str">
            <v>SRV INST SISTEMA AUTOMAÃ‡ÃƒO SINALIZAÃ‡Ã</v>
          </cell>
          <cell r="E4631" t="str">
            <v>ANO</v>
          </cell>
        </row>
        <row r="4632">
          <cell r="C4632">
            <v>3004611</v>
          </cell>
          <cell r="D4632" t="str">
            <v>SRV INST SISTEMA AUTOMAÃ‡ÃƒO SINALIZAÃ‡Ã</v>
          </cell>
          <cell r="E4632" t="str">
            <v>H</v>
          </cell>
        </row>
        <row r="4633">
          <cell r="C4633">
            <v>3004612</v>
          </cell>
          <cell r="D4633" t="str">
            <v>SRV INST SISTEMA AUTOMAÃ‡ÃƒO SINALIZAÃ‡Ã</v>
          </cell>
          <cell r="E4633" t="str">
            <v>KMS</v>
          </cell>
        </row>
        <row r="4634">
          <cell r="C4634">
            <v>3004613</v>
          </cell>
          <cell r="D4634" t="str">
            <v>SRV INST SISTEMA AUTOMAÃ‡ÃƒO SINALIZAÃ‡Ã</v>
          </cell>
          <cell r="E4634" t="str">
            <v>M</v>
          </cell>
        </row>
        <row r="4635">
          <cell r="C4635">
            <v>3004614</v>
          </cell>
          <cell r="D4635" t="str">
            <v>SRV INST SISTEMA AUTOMAÃ‡ÃƒO SINALIZAÃ‡Ã</v>
          </cell>
          <cell r="E4635" t="str">
            <v>M2</v>
          </cell>
        </row>
        <row r="4636">
          <cell r="C4636">
            <v>3004615</v>
          </cell>
          <cell r="D4636" t="str">
            <v>SRV INST SISTEMA AUTOMAÇÃO SINALIZAÇÃO</v>
          </cell>
          <cell r="E4636" t="str">
            <v>MES</v>
          </cell>
        </row>
        <row r="4637">
          <cell r="C4637">
            <v>3004616</v>
          </cell>
          <cell r="D4637" t="str">
            <v>SRV INST SISTEMA AUTOMAÇÃO SINALIZAÇÃO</v>
          </cell>
          <cell r="E4637" t="str">
            <v>PAR</v>
          </cell>
        </row>
        <row r="4638">
          <cell r="C4638">
            <v>3004617</v>
          </cell>
          <cell r="D4638" t="str">
            <v>SRV INST SISTEMA AUTOMAÇÃO SINALIZAÇÃO</v>
          </cell>
          <cell r="E4638" t="str">
            <v>PC</v>
          </cell>
        </row>
        <row r="4639">
          <cell r="C4639">
            <v>3004618</v>
          </cell>
          <cell r="D4639" t="str">
            <v>AUTOMACAO</v>
          </cell>
          <cell r="E4639" t="str">
            <v>SV</v>
          </cell>
        </row>
        <row r="4640">
          <cell r="C4640">
            <v>3004619</v>
          </cell>
          <cell r="D4640" t="str">
            <v>SRV INST SISTEMA AUTOMAÃ‡ÃƒO SINALIZAÃ‡Ã</v>
          </cell>
          <cell r="E4640" t="str">
            <v>UN</v>
          </cell>
        </row>
        <row r="4641">
          <cell r="C4641">
            <v>3004620</v>
          </cell>
          <cell r="D4641" t="str">
            <v>SRV INSTAL;MONTAGEM EQUIP CLIENTE C MAT</v>
          </cell>
          <cell r="E4641" t="str">
            <v>DIA</v>
          </cell>
        </row>
        <row r="4642">
          <cell r="C4642">
            <v>3004621</v>
          </cell>
          <cell r="D4642" t="str">
            <v>SRV INSTAL;MONTAGEM EQUIP CLIENTE C MAT</v>
          </cell>
          <cell r="E4642" t="str">
            <v>H</v>
          </cell>
        </row>
        <row r="4643">
          <cell r="C4643">
            <v>3004622</v>
          </cell>
          <cell r="D4643" t="str">
            <v>SRV INSTAL;MONTAGEM EQUIP CLIENTE C MAT</v>
          </cell>
          <cell r="E4643" t="str">
            <v>KG</v>
          </cell>
        </row>
        <row r="4644">
          <cell r="C4644">
            <v>3004623</v>
          </cell>
          <cell r="D4644" t="str">
            <v>SRV INSTAL;MONTAGEM EQUIP CLIENTE C MAT</v>
          </cell>
          <cell r="E4644" t="str">
            <v>KMS</v>
          </cell>
        </row>
        <row r="4645">
          <cell r="C4645">
            <v>3004624</v>
          </cell>
          <cell r="D4645" t="str">
            <v>SRV INSTAL;MONTAGEM EQUIP CLIENTE C MAT</v>
          </cell>
          <cell r="E4645" t="str">
            <v>M</v>
          </cell>
        </row>
        <row r="4646">
          <cell r="C4646">
            <v>3004625</v>
          </cell>
          <cell r="D4646" t="str">
            <v>SRV INSTAL;MONTAGEM EQUIP CLIENTE C MAT</v>
          </cell>
          <cell r="E4646" t="str">
            <v>M2</v>
          </cell>
        </row>
        <row r="4647">
          <cell r="C4647">
            <v>3004626</v>
          </cell>
          <cell r="D4647" t="str">
            <v>SRV INSTAL;MONTAGEM EQUIP CLIENTE C MAT</v>
          </cell>
          <cell r="E4647" t="str">
            <v>M3</v>
          </cell>
        </row>
        <row r="4648">
          <cell r="C4648">
            <v>3004627</v>
          </cell>
          <cell r="D4648" t="str">
            <v>SRV INSTAL;MONTAGEM EQUIP CLIENTE C MAT</v>
          </cell>
          <cell r="E4648" t="str">
            <v>MES</v>
          </cell>
        </row>
        <row r="4649">
          <cell r="C4649">
            <v>3004628</v>
          </cell>
          <cell r="D4649" t="str">
            <v>SRV INSTAL;MONTAGEM EQUIP CLIENTE C MAT</v>
          </cell>
          <cell r="E4649" t="str">
            <v>PC</v>
          </cell>
        </row>
        <row r="4650">
          <cell r="C4650">
            <v>3004629</v>
          </cell>
          <cell r="D4650" t="str">
            <v>SRV INSTAL;MONTAGEM EQUIP CLIENTE C MAT</v>
          </cell>
          <cell r="E4650" t="str">
            <v>SV</v>
          </cell>
        </row>
        <row r="4651">
          <cell r="C4651">
            <v>3004630</v>
          </cell>
          <cell r="D4651" t="str">
            <v>SRV INSTAL;MONTAGEM EQUIP CLIENTE C MAT</v>
          </cell>
          <cell r="E4651" t="str">
            <v>UN</v>
          </cell>
        </row>
        <row r="4652">
          <cell r="C4652">
            <v>3004631</v>
          </cell>
          <cell r="D4652" t="str">
            <v>SRV INSTALAÇÃO E MONT ELÉTRICOS EM GERAL</v>
          </cell>
          <cell r="E4652" t="str">
            <v>DIA</v>
          </cell>
        </row>
        <row r="4653">
          <cell r="C4653">
            <v>3004632</v>
          </cell>
          <cell r="D4653" t="str">
            <v>SRV INSTALAÇÃO E MONT ELÉTRICOS EM GERAL</v>
          </cell>
          <cell r="E4653" t="str">
            <v>H</v>
          </cell>
        </row>
        <row r="4654">
          <cell r="C4654">
            <v>3004633</v>
          </cell>
          <cell r="D4654" t="str">
            <v>SRV INSTALAÇÃO E MONT ELÉTRICOS EM GERAL</v>
          </cell>
          <cell r="E4654" t="str">
            <v>JG</v>
          </cell>
        </row>
        <row r="4655">
          <cell r="C4655">
            <v>3004634</v>
          </cell>
          <cell r="D4655" t="str">
            <v>SRV INSTALAÇÃO E MONT ELÉTRICOS EM GERAL</v>
          </cell>
          <cell r="E4655" t="str">
            <v>KG</v>
          </cell>
        </row>
        <row r="4656">
          <cell r="C4656">
            <v>3004635</v>
          </cell>
          <cell r="D4656" t="str">
            <v>SRV INSTALAÇÃO E MONT ELÉTRICOS EM GERAL</v>
          </cell>
          <cell r="E4656" t="str">
            <v>KMS</v>
          </cell>
        </row>
        <row r="4657">
          <cell r="C4657">
            <v>3004636</v>
          </cell>
          <cell r="D4657" t="str">
            <v>SRV INSTALAÇÃO E MONT ELÉTRICOS EM GERAL</v>
          </cell>
          <cell r="E4657" t="str">
            <v>M</v>
          </cell>
        </row>
        <row r="4658">
          <cell r="C4658">
            <v>3004637</v>
          </cell>
          <cell r="D4658" t="str">
            <v>SRV INSTALAÇÃO E MONT ELÉTRICOS EM GERAL</v>
          </cell>
          <cell r="E4658" t="str">
            <v>M2</v>
          </cell>
        </row>
        <row r="4659">
          <cell r="C4659">
            <v>3004638</v>
          </cell>
          <cell r="D4659" t="str">
            <v>SRV INSTALAÇÃO E MONT ELÉTRICOS EM GERAL</v>
          </cell>
          <cell r="E4659" t="str">
            <v>M3</v>
          </cell>
        </row>
        <row r="4660">
          <cell r="C4660">
            <v>3004639</v>
          </cell>
          <cell r="D4660" t="str">
            <v>SRV INSTALAÇÃO E MONT ELÉTRICOS EM GERAL</v>
          </cell>
          <cell r="E4660" t="str">
            <v>MES</v>
          </cell>
        </row>
        <row r="4661">
          <cell r="C4661">
            <v>3004640</v>
          </cell>
          <cell r="D4661" t="str">
            <v>SRV INSTALAÇÃO E MONT ELÉTRICOS EM GERAL</v>
          </cell>
          <cell r="E4661" t="str">
            <v>PC</v>
          </cell>
        </row>
        <row r="4662">
          <cell r="C4662">
            <v>3004641</v>
          </cell>
          <cell r="D4662" t="str">
            <v>INSTAL,MONT DE PROD,PC,EQUIPS DE OBRAS</v>
          </cell>
          <cell r="E4662" t="str">
            <v>SV</v>
          </cell>
        </row>
        <row r="4663">
          <cell r="C4663">
            <v>3004642</v>
          </cell>
          <cell r="D4663" t="str">
            <v>SRV INSTALAÇÃO E MONT ELÉTRICOS EM GERAL</v>
          </cell>
          <cell r="E4663" t="str">
            <v>UN</v>
          </cell>
        </row>
        <row r="4664">
          <cell r="C4664">
            <v>3004643</v>
          </cell>
          <cell r="D4664" t="str">
            <v>SRV INSTALAÇÃO E MONTAGEM DE SUBESTAÇÃO</v>
          </cell>
          <cell r="E4664" t="str">
            <v>SV</v>
          </cell>
        </row>
        <row r="4665">
          <cell r="C4665">
            <v>3004644</v>
          </cell>
          <cell r="D4665" t="str">
            <v>SRV INSTALAÇÃO E MONTAGEM DE SUBESTAÇÃO</v>
          </cell>
          <cell r="E4665" t="str">
            <v>UN</v>
          </cell>
        </row>
        <row r="4666">
          <cell r="C4666">
            <v>3004645</v>
          </cell>
          <cell r="D4666" t="str">
            <v>SRV INSTALAÇÃO E MONTAGEM DE TUBO E DUTO</v>
          </cell>
          <cell r="E4666" t="str">
            <v>KG</v>
          </cell>
        </row>
        <row r="4667">
          <cell r="C4667">
            <v>3004646</v>
          </cell>
          <cell r="D4667" t="str">
            <v>SRV INSTALAÇÃO E MONTAGEM DE TUBO E DUTO</v>
          </cell>
          <cell r="E4667" t="str">
            <v>M</v>
          </cell>
        </row>
        <row r="4668">
          <cell r="C4668">
            <v>3004647</v>
          </cell>
          <cell r="D4668" t="str">
            <v>SRV INSTALAÇÃO E MONTAGEM DE TUBO E DUTO</v>
          </cell>
          <cell r="E4668" t="str">
            <v>M2</v>
          </cell>
        </row>
        <row r="4669">
          <cell r="C4669">
            <v>3004648</v>
          </cell>
          <cell r="D4669" t="str">
            <v>INSTAL,MONT DE PROD,PC,EQUIPS DE OBRAS</v>
          </cell>
          <cell r="E4669" t="str">
            <v>SV</v>
          </cell>
        </row>
        <row r="4670">
          <cell r="C4670">
            <v>3004649</v>
          </cell>
          <cell r="D4670" t="str">
            <v>INSTAL,MONT DE PROD,PC,EQUIPS DE OBRAS</v>
          </cell>
          <cell r="E4670" t="str">
            <v>SV</v>
          </cell>
        </row>
        <row r="4671">
          <cell r="C4671">
            <v>3004650</v>
          </cell>
          <cell r="D4671" t="str">
            <v>SRV INSTALAÇÃO E MONTAGEM DE TUBO E DUTO</v>
          </cell>
          <cell r="E4671" t="str">
            <v>UN</v>
          </cell>
        </row>
        <row r="4672">
          <cell r="C4672">
            <v>3004651</v>
          </cell>
          <cell r="D4672" t="str">
            <v>SRV INSTALAÇÃO MONTAGEM REFRATÁRIO</v>
          </cell>
          <cell r="E4672" t="str">
            <v>DIA</v>
          </cell>
        </row>
        <row r="4673">
          <cell r="C4673">
            <v>3004652</v>
          </cell>
          <cell r="D4673" t="str">
            <v>SRV INSTALAÇÃO MONTAGEM REFRATÁRIO</v>
          </cell>
          <cell r="E4673" t="str">
            <v>H</v>
          </cell>
        </row>
        <row r="4674">
          <cell r="C4674">
            <v>3004653</v>
          </cell>
          <cell r="D4674" t="str">
            <v>SRV INSTALAÇÃO MONTAGEM REFRATÁRIO</v>
          </cell>
          <cell r="E4674" t="str">
            <v>JG</v>
          </cell>
        </row>
        <row r="4675">
          <cell r="C4675">
            <v>3004654</v>
          </cell>
          <cell r="D4675" t="str">
            <v>INSTAL,MONT DE PROD,PC,EQUIPS DE OBRAS</v>
          </cell>
          <cell r="E4675" t="str">
            <v>SV</v>
          </cell>
        </row>
        <row r="4676">
          <cell r="C4676">
            <v>3004655</v>
          </cell>
          <cell r="D4676" t="str">
            <v>SRV INSTALAÇÃO MONTAGEM REFRATÁRIO</v>
          </cell>
          <cell r="E4676" t="str">
            <v>M2</v>
          </cell>
        </row>
        <row r="4677">
          <cell r="C4677">
            <v>3004656</v>
          </cell>
          <cell r="D4677" t="str">
            <v>SRV INSTALAÇÃO MONTAGEM REFRATÁRIO</v>
          </cell>
          <cell r="E4677" t="str">
            <v>M3</v>
          </cell>
        </row>
        <row r="4678">
          <cell r="C4678">
            <v>3004657</v>
          </cell>
          <cell r="D4678" t="str">
            <v>SRV INSTALAÇÃO MONTAGEM REFRATÁRIO</v>
          </cell>
          <cell r="E4678" t="str">
            <v>PC</v>
          </cell>
        </row>
        <row r="4679">
          <cell r="C4679">
            <v>3004658</v>
          </cell>
          <cell r="D4679" t="str">
            <v>INSTAL,MONT DE PROD,PC,EQUIPS DE OBRAS</v>
          </cell>
          <cell r="E4679" t="str">
            <v>SV</v>
          </cell>
        </row>
        <row r="4680">
          <cell r="C4680">
            <v>3004659</v>
          </cell>
          <cell r="D4680" t="str">
            <v>SRV INSTALAÇÃO MONTAGEM REFRATÁRIO</v>
          </cell>
          <cell r="E4680" t="str">
            <v>UN</v>
          </cell>
        </row>
        <row r="4681">
          <cell r="C4681">
            <v>3004660</v>
          </cell>
          <cell r="D4681" t="str">
            <v>INSTAL,MONT DE PROD,PC,EQUIPS DE OBRAS</v>
          </cell>
          <cell r="E4681" t="str">
            <v>SV</v>
          </cell>
        </row>
        <row r="4682">
          <cell r="C4682">
            <v>3004661</v>
          </cell>
          <cell r="D4682" t="str">
            <v>SRV INSTALAÃ‡ÃƒO MONTAGEM SISTEMA ENERGI</v>
          </cell>
          <cell r="E4682" t="str">
            <v>UN</v>
          </cell>
        </row>
        <row r="4683">
          <cell r="C4683">
            <v>3004662</v>
          </cell>
          <cell r="D4683" t="str">
            <v>SRV INVESTIG PARTICULAR;DETETIVE;OUTROS</v>
          </cell>
          <cell r="E4683" t="str">
            <v>SV</v>
          </cell>
        </row>
        <row r="4684">
          <cell r="C4684">
            <v>3004663</v>
          </cell>
          <cell r="D4684" t="str">
            <v>SRV LEVANTAMENTO GEOFÍSICO TERRESTRE</v>
          </cell>
          <cell r="E4684" t="str">
            <v>DIA</v>
          </cell>
        </row>
        <row r="4685">
          <cell r="C4685">
            <v>3004664</v>
          </cell>
          <cell r="D4685" t="str">
            <v>SRV LEVANTAMENTO GEOFÍSICO TERRESTRE</v>
          </cell>
          <cell r="E4685" t="str">
            <v>HA</v>
          </cell>
        </row>
        <row r="4686">
          <cell r="C4686">
            <v>3004665</v>
          </cell>
          <cell r="D4686" t="str">
            <v>SRV LEVANTAMENTO GEOFÍSICO TERRESTRE</v>
          </cell>
          <cell r="E4686" t="str">
            <v>KMS</v>
          </cell>
        </row>
        <row r="4687">
          <cell r="C4687">
            <v>3004666</v>
          </cell>
          <cell r="D4687" t="str">
            <v>SRV LEVANTAMENTO GEOFÍSICO TERRESTRE</v>
          </cell>
          <cell r="E4687" t="str">
            <v>M</v>
          </cell>
        </row>
        <row r="4688">
          <cell r="C4688">
            <v>3004667</v>
          </cell>
          <cell r="D4688" t="str">
            <v>SRV LEVANTAMENTO GEOFÍSICO TERRESTRE</v>
          </cell>
          <cell r="E4688" t="str">
            <v>SV</v>
          </cell>
        </row>
        <row r="4689">
          <cell r="C4689">
            <v>3004668</v>
          </cell>
          <cell r="D4689" t="str">
            <v>SRV LEVANTAMENTO GEOFÍSICO TERRESTRE</v>
          </cell>
          <cell r="E4689" t="str">
            <v>UN</v>
          </cell>
        </row>
        <row r="4690">
          <cell r="C4690">
            <v>3004669</v>
          </cell>
          <cell r="D4690" t="str">
            <v>SRV LIMPEZA EQUIPAMENTO DE ALTA TENSÃO</v>
          </cell>
          <cell r="E4690" t="str">
            <v>UN</v>
          </cell>
        </row>
        <row r="4691">
          <cell r="C4691">
            <v>3004670</v>
          </cell>
          <cell r="D4691" t="str">
            <v>SRV LOC ESPACO EVENT EMPRES E RECREATIVO</v>
          </cell>
          <cell r="E4691" t="str">
            <v>DIA</v>
          </cell>
        </row>
        <row r="4692">
          <cell r="C4692">
            <v>3004671</v>
          </cell>
          <cell r="D4692" t="str">
            <v>SRV LOC ESPACO EVENT EMPRES E RECREATIVO</v>
          </cell>
          <cell r="E4692" t="str">
            <v>H</v>
          </cell>
        </row>
        <row r="4693">
          <cell r="C4693">
            <v>3004672</v>
          </cell>
          <cell r="D4693" t="str">
            <v>SRV LOC ESPACO EVENT EMPRES E RECREATIVO</v>
          </cell>
          <cell r="E4693" t="str">
            <v>JG</v>
          </cell>
        </row>
        <row r="4694">
          <cell r="C4694">
            <v>3004673</v>
          </cell>
          <cell r="D4694" t="str">
            <v>SRV LOC ESPACO EVENT EMPRES E RECREATIVO</v>
          </cell>
          <cell r="E4694" t="str">
            <v>MES</v>
          </cell>
        </row>
        <row r="4695">
          <cell r="C4695">
            <v>3004674</v>
          </cell>
          <cell r="D4695" t="str">
            <v>SRV LOC ESPACO EVENT EMPRES E RECREATIVO</v>
          </cell>
          <cell r="E4695" t="str">
            <v>SV</v>
          </cell>
        </row>
        <row r="4696">
          <cell r="C4696">
            <v>3004675</v>
          </cell>
          <cell r="D4696" t="str">
            <v>SRV LOC ESPACO EVENT EMPRES E RECREATIVO</v>
          </cell>
          <cell r="E4696" t="str">
            <v>UN</v>
          </cell>
        </row>
        <row r="4697">
          <cell r="C4697">
            <v>3004676</v>
          </cell>
          <cell r="D4697" t="str">
            <v>SRV LOCAÇÃO CILINDROS GASES INDUSTRIAIS</v>
          </cell>
          <cell r="E4697" t="str">
            <v>UN</v>
          </cell>
        </row>
        <row r="4698">
          <cell r="C4698">
            <v>3004677</v>
          </cell>
          <cell r="D4698" t="str">
            <v>SRV LOCAÇÃO DE EQUIPAMENTO AUDIO-VISUAL</v>
          </cell>
          <cell r="E4698" t="str">
            <v>DIA</v>
          </cell>
        </row>
        <row r="4699">
          <cell r="C4699">
            <v>3004678</v>
          </cell>
          <cell r="D4699" t="str">
            <v>SRV LOCAÇÃO DE EQUIPAMENTO AUDIO-VISUAL</v>
          </cell>
          <cell r="E4699" t="str">
            <v>H</v>
          </cell>
        </row>
        <row r="4700">
          <cell r="C4700">
            <v>3004679</v>
          </cell>
          <cell r="D4700" t="str">
            <v>LOC D VEICULOS,BENS MOVEIS S CESSAO MDO</v>
          </cell>
          <cell r="E4700" t="str">
            <v>SV</v>
          </cell>
        </row>
        <row r="4701">
          <cell r="C4701">
            <v>3004680</v>
          </cell>
          <cell r="D4701" t="str">
            <v>LOC D VEICULOS,BENS MOVEIS S CESSAO MDO</v>
          </cell>
          <cell r="E4701" t="str">
            <v>SV</v>
          </cell>
        </row>
        <row r="4702">
          <cell r="C4702">
            <v>3004681</v>
          </cell>
          <cell r="D4702" t="str">
            <v>SRV LOCAÇÃO DE EQUIPAMENTO AUDIO-VISUAL</v>
          </cell>
          <cell r="E4702" t="str">
            <v>UN</v>
          </cell>
        </row>
        <row r="4703">
          <cell r="C4703">
            <v>3004682</v>
          </cell>
          <cell r="D4703" t="str">
            <v>SRV LOCAÇÃO DE EQUIPAMENTO DE TOPOGRAFIA</v>
          </cell>
          <cell r="E4703" t="str">
            <v>DIA</v>
          </cell>
        </row>
        <row r="4704">
          <cell r="C4704">
            <v>3004683</v>
          </cell>
          <cell r="D4704" t="str">
            <v>SRV LOCAÇÃO DE EQUIPAMENTO DE TOPOGRAFIA</v>
          </cell>
          <cell r="E4704" t="str">
            <v>M2</v>
          </cell>
        </row>
        <row r="4705">
          <cell r="C4705">
            <v>3004684</v>
          </cell>
          <cell r="D4705" t="str">
            <v>SRV LOCAÇÃO DE EQUIPAMENTO DE TOPOGRAFIA</v>
          </cell>
          <cell r="E4705" t="str">
            <v>MES</v>
          </cell>
        </row>
        <row r="4706">
          <cell r="C4706">
            <v>3004685</v>
          </cell>
          <cell r="D4706" t="str">
            <v>SRV LOCAÇÃO DE EQUIPAMENTO DE TOPOGRAFIA</v>
          </cell>
          <cell r="E4706" t="str">
            <v>UN</v>
          </cell>
        </row>
        <row r="4707">
          <cell r="C4707">
            <v>3004686</v>
          </cell>
          <cell r="D4707" t="str">
            <v>SRV LOCAÇÃO EQUIP CONDICIONAMENTO AR</v>
          </cell>
          <cell r="E4707" t="str">
            <v>M</v>
          </cell>
        </row>
        <row r="4708">
          <cell r="C4708">
            <v>3004687</v>
          </cell>
          <cell r="D4708" t="str">
            <v>LOC D VEICULOS,BENS MOVEIS S CESSAO MDO</v>
          </cell>
          <cell r="E4708" t="str">
            <v>SV</v>
          </cell>
        </row>
        <row r="4709">
          <cell r="C4709">
            <v>3004688</v>
          </cell>
          <cell r="D4709" t="str">
            <v>LOC D VEICULOS,BENS MOVEIS S CESSAO MDO</v>
          </cell>
          <cell r="E4709" t="str">
            <v>SV</v>
          </cell>
        </row>
        <row r="4710">
          <cell r="C4710">
            <v>3004689</v>
          </cell>
          <cell r="D4710" t="str">
            <v>SRV LOCAÇÃO EQUIP CONDICIONAMENTO AR</v>
          </cell>
          <cell r="E4710" t="str">
            <v>UN</v>
          </cell>
        </row>
        <row r="4711">
          <cell r="C4711">
            <v>3004690</v>
          </cell>
          <cell r="D4711" t="str">
            <v>SRV LOCAÇÃO EQUIP MOV EADI E ARMAZÉNS</v>
          </cell>
          <cell r="E4711" t="str">
            <v>MES</v>
          </cell>
        </row>
        <row r="4712">
          <cell r="C4712">
            <v>3004691</v>
          </cell>
          <cell r="D4712" t="str">
            <v>LOC D VEICULOS,BENS MOVEIS S CESSAO MDO</v>
          </cell>
          <cell r="E4712" t="str">
            <v>SV</v>
          </cell>
        </row>
        <row r="4713">
          <cell r="C4713">
            <v>3004692</v>
          </cell>
          <cell r="D4713" t="str">
            <v>SRV LOCAÇÃO EQUIP MOV EADI E ARMAZÉNS</v>
          </cell>
          <cell r="E4713" t="str">
            <v>UN</v>
          </cell>
        </row>
        <row r="4714">
          <cell r="C4714">
            <v>3004693</v>
          </cell>
          <cell r="D4714" t="str">
            <v>SRV LOCAÇÃO EQUIP MOV PORTOS PRIVADOS</v>
          </cell>
          <cell r="E4714" t="str">
            <v>H</v>
          </cell>
        </row>
        <row r="4715">
          <cell r="C4715">
            <v>3004694</v>
          </cell>
          <cell r="D4715" t="str">
            <v>SRV LOCAÇÃO EQUIP MOV PORTOS PRIVADOS</v>
          </cell>
          <cell r="E4715" t="str">
            <v>UN</v>
          </cell>
        </row>
        <row r="4716">
          <cell r="C4716">
            <v>3004695</v>
          </cell>
          <cell r="D4716" t="str">
            <v>SRV LOCAÇÃO EQUIP MOV PORTOS PÚBLICOS</v>
          </cell>
          <cell r="E4716" t="str">
            <v>DIA</v>
          </cell>
        </row>
        <row r="4717">
          <cell r="C4717">
            <v>3004696</v>
          </cell>
          <cell r="D4717" t="str">
            <v>SRV LOCAÇÃO EQUIP MOV PORTOS PÚBLICOS</v>
          </cell>
          <cell r="E4717" t="str">
            <v>TO</v>
          </cell>
        </row>
        <row r="4718">
          <cell r="C4718">
            <v>3004697</v>
          </cell>
          <cell r="D4718" t="str">
            <v>SRV LOCAÇÃO EQUIP MOV PORTOS PÚBLICOS</v>
          </cell>
          <cell r="E4718" t="str">
            <v>UN</v>
          </cell>
        </row>
        <row r="4719">
          <cell r="C4719">
            <v>3004698</v>
          </cell>
          <cell r="D4719" t="str">
            <v>SRV LOCACAO EQUIP SEGURAN E PROTEC-HORA</v>
          </cell>
          <cell r="E4719" t="str">
            <v>H</v>
          </cell>
        </row>
        <row r="4720">
          <cell r="C4720">
            <v>3004699</v>
          </cell>
          <cell r="D4720" t="str">
            <v>SRV LOCACAO EQUIP SEGURAN E PROTEC- M2</v>
          </cell>
          <cell r="E4720" t="str">
            <v>M2</v>
          </cell>
        </row>
        <row r="4721">
          <cell r="C4721">
            <v>3004700</v>
          </cell>
          <cell r="D4721" t="str">
            <v>SRV LOCACAO EQUIP SEGURAN E PROTEC - MES</v>
          </cell>
          <cell r="E4721" t="str">
            <v>MES</v>
          </cell>
        </row>
        <row r="4722">
          <cell r="C4722">
            <v>3004701</v>
          </cell>
          <cell r="D4722" t="str">
            <v>LOC D VEICULOS,BENS MOVEIS S CESSAO MDO</v>
          </cell>
          <cell r="E4722" t="str">
            <v>SV</v>
          </cell>
        </row>
        <row r="4723">
          <cell r="C4723">
            <v>3004702</v>
          </cell>
          <cell r="D4723" t="str">
            <v>SRV LOCACAO EQUIP SEGURAN E PROTEC - UN</v>
          </cell>
          <cell r="E4723" t="str">
            <v>UN</v>
          </cell>
        </row>
        <row r="4724">
          <cell r="C4724">
            <v>3004703</v>
          </cell>
          <cell r="D4724" t="str">
            <v>SRV LOCAÇÃO EQUIP TRANSP ROD PESADO</v>
          </cell>
          <cell r="E4724" t="str">
            <v>H</v>
          </cell>
        </row>
        <row r="4725">
          <cell r="C4725">
            <v>3004704</v>
          </cell>
          <cell r="D4725" t="str">
            <v>LOC D VEICULOS,BENS MOVEIS S CESSAO MDO</v>
          </cell>
          <cell r="E4725" t="str">
            <v>SV</v>
          </cell>
        </row>
        <row r="4726">
          <cell r="C4726">
            <v>3004705</v>
          </cell>
          <cell r="D4726" t="str">
            <v>SRV LOCAÇÃO EQUIP TRANSP ROD PESADO</v>
          </cell>
          <cell r="E4726" t="str">
            <v>UN</v>
          </cell>
        </row>
        <row r="4727">
          <cell r="C4727">
            <v>3004706</v>
          </cell>
          <cell r="D4727" t="str">
            <v>SRV DE DISTRIBUICAO E VENDA DE BILHETES</v>
          </cell>
          <cell r="E4727" t="str">
            <v>SV</v>
          </cell>
        </row>
        <row r="4728">
          <cell r="C4728">
            <v>3004707</v>
          </cell>
          <cell r="D4728" t="str">
            <v>SRV MANUSEIO E ARRANJO RESÍDUOS CLASSE I</v>
          </cell>
          <cell r="E4728" t="str">
            <v>DIA</v>
          </cell>
        </row>
        <row r="4729">
          <cell r="C4729">
            <v>3004708</v>
          </cell>
          <cell r="D4729" t="str">
            <v>SRV MANUSEIO E ARRANJO RESÍDUOS CLASSE I</v>
          </cell>
          <cell r="E4729" t="str">
            <v>H</v>
          </cell>
        </row>
        <row r="4730">
          <cell r="C4730">
            <v>3004709</v>
          </cell>
          <cell r="D4730" t="str">
            <v>SRV MANUSEIO E ARRANJO RESÍDUOS CLASSE I</v>
          </cell>
          <cell r="E4730" t="str">
            <v>KG</v>
          </cell>
        </row>
        <row r="4731">
          <cell r="C4731">
            <v>3004710</v>
          </cell>
          <cell r="D4731" t="str">
            <v>SRV MANUSEIO E ARRANJO RESÍDUOS CLASSE I</v>
          </cell>
          <cell r="E4731" t="str">
            <v>L</v>
          </cell>
        </row>
        <row r="4732">
          <cell r="C4732">
            <v>3004711</v>
          </cell>
          <cell r="D4732" t="str">
            <v>SRV MANUSEIO E ARRANJO RESÍDUOS CLASSE I</v>
          </cell>
          <cell r="E4732" t="str">
            <v>M</v>
          </cell>
        </row>
        <row r="4733">
          <cell r="C4733">
            <v>3004712</v>
          </cell>
          <cell r="D4733" t="str">
            <v>SRV MANUSEIO E ARRANJO RESÍDUOS CLASSE I</v>
          </cell>
          <cell r="E4733" t="str">
            <v>M2</v>
          </cell>
        </row>
        <row r="4734">
          <cell r="C4734">
            <v>3004713</v>
          </cell>
          <cell r="D4734" t="str">
            <v>SRV MANUSEIO E ARRANJO RESÍDUOS CLASSE I</v>
          </cell>
          <cell r="E4734" t="str">
            <v>M3</v>
          </cell>
        </row>
        <row r="4735">
          <cell r="C4735">
            <v>3004714</v>
          </cell>
          <cell r="D4735" t="str">
            <v>SRV MANUSEIO E ARRANJO RESÍDUOS CLASSE I</v>
          </cell>
          <cell r="E4735" t="str">
            <v>MES</v>
          </cell>
        </row>
        <row r="4736">
          <cell r="C4736">
            <v>3004715</v>
          </cell>
          <cell r="D4736" t="str">
            <v>SRV MANUSEIO E ARRANJO RESÍDUOS CLASSE I</v>
          </cell>
          <cell r="E4736" t="str">
            <v>PC</v>
          </cell>
        </row>
        <row r="4737">
          <cell r="C4737">
            <v>3004716</v>
          </cell>
          <cell r="D4737" t="str">
            <v>SRV MANUSEIO E ARRANJO RESÍDUOS CLASSE I</v>
          </cell>
          <cell r="E4737" t="str">
            <v>SV</v>
          </cell>
        </row>
        <row r="4738">
          <cell r="C4738">
            <v>3004717</v>
          </cell>
          <cell r="D4738" t="str">
            <v>SRV MANUSEIO E ARRANJO RESÍDUOS CLASSE I</v>
          </cell>
          <cell r="E4738" t="str">
            <v>TO</v>
          </cell>
        </row>
        <row r="4739">
          <cell r="C4739">
            <v>3004718</v>
          </cell>
          <cell r="D4739" t="str">
            <v>SRV MANUSEIO E ARRANJO RESÍDUOS CLASSE I</v>
          </cell>
          <cell r="E4739" t="str">
            <v>UN</v>
          </cell>
        </row>
        <row r="4740">
          <cell r="C4740">
            <v>3004719</v>
          </cell>
          <cell r="D4740" t="str">
            <v>SRV MANUT CARREGADOR E DESCARREG NAVIO</v>
          </cell>
          <cell r="E4740" t="str">
            <v>H</v>
          </cell>
        </row>
        <row r="4741">
          <cell r="C4741">
            <v>3004720</v>
          </cell>
          <cell r="D4741" t="str">
            <v>SRV MANUT CARREGADOR E DESCARREG NAVIO</v>
          </cell>
          <cell r="E4741" t="str">
            <v>KG</v>
          </cell>
        </row>
        <row r="4742">
          <cell r="C4742">
            <v>3004721</v>
          </cell>
          <cell r="D4742" t="str">
            <v>SRV MANUT CARREGADOR E DESCARREG NAVIO</v>
          </cell>
          <cell r="E4742" t="str">
            <v>MES</v>
          </cell>
        </row>
        <row r="4743">
          <cell r="C4743">
            <v>3004722</v>
          </cell>
          <cell r="D4743" t="str">
            <v>MANUT CONSERV MAQS,EQUIPS MOV,PC,MOTORES</v>
          </cell>
          <cell r="E4743" t="str">
            <v>SV</v>
          </cell>
        </row>
        <row r="4744">
          <cell r="C4744">
            <v>3004723</v>
          </cell>
          <cell r="D4744" t="str">
            <v>SRV MANUT CARREGADOR E DESCARREG NAVIO</v>
          </cell>
          <cell r="E4744" t="str">
            <v>UN</v>
          </cell>
        </row>
        <row r="4745">
          <cell r="C4745">
            <v>3004724</v>
          </cell>
          <cell r="D4745" t="str">
            <v>MANUT CONSERV MAQS,EQUIPS MOV,PC,MOTORES</v>
          </cell>
          <cell r="E4745" t="str">
            <v>SV</v>
          </cell>
        </row>
        <row r="4746">
          <cell r="C4746">
            <v>3004725</v>
          </cell>
          <cell r="D4746" t="str">
            <v>MANUT CONSERV MAQS,EQUIPS MOV,PC,MOTORES</v>
          </cell>
          <cell r="E4746" t="str">
            <v>SV</v>
          </cell>
        </row>
        <row r="4747">
          <cell r="C4747">
            <v>3004726</v>
          </cell>
          <cell r="D4747" t="str">
            <v>SRV MANUT CARRO DE GRELHA DE MINERAÇÃO</v>
          </cell>
          <cell r="E4747" t="str">
            <v>KG</v>
          </cell>
        </row>
        <row r="4748">
          <cell r="C4748">
            <v>3004727</v>
          </cell>
          <cell r="D4748" t="str">
            <v>MANUT CONSERV MAQS,EQUIPS MOV,PC,MOTORES</v>
          </cell>
          <cell r="E4748" t="str">
            <v>SV</v>
          </cell>
        </row>
        <row r="4749">
          <cell r="C4749">
            <v>3004728</v>
          </cell>
          <cell r="D4749" t="str">
            <v>MANUT CONSERV MAQS,EQUIPS MOV,PC,MOTORES</v>
          </cell>
          <cell r="E4749" t="str">
            <v>SV</v>
          </cell>
        </row>
        <row r="4750">
          <cell r="C4750">
            <v>3004729</v>
          </cell>
          <cell r="D4750" t="str">
            <v>MANUT CONSERV MAQS,EQUIPS MOV,PC,MOTORES</v>
          </cell>
          <cell r="E4750" t="str">
            <v>SV</v>
          </cell>
        </row>
        <row r="4751">
          <cell r="C4751">
            <v>3004730</v>
          </cell>
          <cell r="D4751" t="str">
            <v>SRV MANUT CARRO DE GRELHA DE MINERAÇÃO</v>
          </cell>
          <cell r="E4751" t="str">
            <v>UN</v>
          </cell>
        </row>
        <row r="4752">
          <cell r="C4752">
            <v>3004731</v>
          </cell>
          <cell r="D4752" t="str">
            <v>SRV MANUT DE MOBÍLIA DE ESCRITÓRIO E IND</v>
          </cell>
          <cell r="E4752" t="str">
            <v>M</v>
          </cell>
        </row>
        <row r="4753">
          <cell r="C4753">
            <v>3004732</v>
          </cell>
          <cell r="D4753" t="str">
            <v>SRV MANUT DE MOBÍLIA DE ESCRITÓRIO E IND</v>
          </cell>
          <cell r="E4753" t="str">
            <v>M2</v>
          </cell>
        </row>
        <row r="4754">
          <cell r="C4754">
            <v>3004733</v>
          </cell>
          <cell r="D4754" t="str">
            <v>MANUT CONSERV MAQS,EQUIPS MOV,PC,MOTORES</v>
          </cell>
          <cell r="E4754" t="str">
            <v>SV</v>
          </cell>
        </row>
        <row r="4755">
          <cell r="C4755">
            <v>3004734</v>
          </cell>
          <cell r="D4755" t="str">
            <v>SRV MANUT DE MOBÍLIA DE ESCRITÓRIO E IND</v>
          </cell>
          <cell r="E4755" t="str">
            <v>UN</v>
          </cell>
        </row>
        <row r="4756">
          <cell r="C4756">
            <v>3004735</v>
          </cell>
          <cell r="D4756" t="str">
            <v>SRV MANUT DE MOBÍLIA DE USO DOMÉSTICO</v>
          </cell>
          <cell r="E4756" t="str">
            <v>UN</v>
          </cell>
        </row>
        <row r="4757">
          <cell r="C4757">
            <v>3004736</v>
          </cell>
          <cell r="D4757" t="str">
            <v>SRV MANUT DE REDE ELÉTRICA ALTA TENSÃO</v>
          </cell>
          <cell r="E4757" t="str">
            <v>H</v>
          </cell>
        </row>
        <row r="4758">
          <cell r="C4758">
            <v>3004737</v>
          </cell>
          <cell r="D4758" t="str">
            <v>SRV MANUT DE REDE ELÉTRICA ALTA TENSÃO</v>
          </cell>
          <cell r="E4758" t="str">
            <v>KG</v>
          </cell>
        </row>
        <row r="4759">
          <cell r="C4759">
            <v>3004738</v>
          </cell>
          <cell r="D4759" t="str">
            <v>SRV MANUT DE REDE ELÉTRICA ALTA TENSÃO</v>
          </cell>
          <cell r="E4759" t="str">
            <v>KMS</v>
          </cell>
        </row>
        <row r="4760">
          <cell r="C4760">
            <v>3004739</v>
          </cell>
          <cell r="D4760" t="str">
            <v>SRV MANUT DE REDE ELÉTRICA ALTA TENSÃO</v>
          </cell>
          <cell r="E4760" t="str">
            <v>L</v>
          </cell>
        </row>
        <row r="4761">
          <cell r="C4761">
            <v>3004740</v>
          </cell>
          <cell r="D4761" t="str">
            <v>SRV MANUT DE REDE ELÉTRICA ALTA TENSÃO</v>
          </cell>
          <cell r="E4761" t="str">
            <v>M</v>
          </cell>
        </row>
        <row r="4762">
          <cell r="C4762">
            <v>3004741</v>
          </cell>
          <cell r="D4762" t="str">
            <v>SRV MANUT DE REDE ELÉTRICA ALTA TENSÃO</v>
          </cell>
          <cell r="E4762" t="str">
            <v>M2</v>
          </cell>
        </row>
        <row r="4763">
          <cell r="C4763">
            <v>3004742</v>
          </cell>
          <cell r="D4763" t="str">
            <v>SRV MANUT DE REDE ELÉTRICA ALTA TENSÃO</v>
          </cell>
          <cell r="E4763" t="str">
            <v>M3</v>
          </cell>
        </row>
        <row r="4764">
          <cell r="C4764">
            <v>3004743</v>
          </cell>
          <cell r="D4764" t="str">
            <v>SRV MANUT DE REDE ELÉTRICA ALTA TENSÃO</v>
          </cell>
          <cell r="E4764" t="str">
            <v>PC</v>
          </cell>
        </row>
        <row r="4765">
          <cell r="C4765">
            <v>3004744</v>
          </cell>
          <cell r="D4765" t="str">
            <v>SRV MANUT DE REDE ELÉTRICA ALTA TENSÃO</v>
          </cell>
          <cell r="E4765" t="str">
            <v>SV</v>
          </cell>
        </row>
        <row r="4766">
          <cell r="C4766">
            <v>3004745</v>
          </cell>
          <cell r="D4766" t="str">
            <v>SRV MANUT DE REDE ELÉTRICA ALTA TENSÃO</v>
          </cell>
          <cell r="E4766" t="str">
            <v>UN</v>
          </cell>
        </row>
        <row r="4767">
          <cell r="C4767">
            <v>3004746</v>
          </cell>
          <cell r="D4767" t="str">
            <v>MANUT CONSERV MAQS,EQUIPS MOV,PC,MOTORES</v>
          </cell>
          <cell r="E4767" t="str">
            <v>SV</v>
          </cell>
        </row>
        <row r="4768">
          <cell r="C4768">
            <v>3004747</v>
          </cell>
          <cell r="D4768" t="str">
            <v>SRV MANUT DE REDE ELÉTRICA MEDIA TENSÃO</v>
          </cell>
          <cell r="E4768" t="str">
            <v>KG</v>
          </cell>
        </row>
        <row r="4769">
          <cell r="C4769">
            <v>3004748</v>
          </cell>
          <cell r="D4769" t="str">
            <v>SRV MANUT DE REDE ELÉTRICA MEDIA TENSÃO</v>
          </cell>
          <cell r="E4769" t="str">
            <v>M</v>
          </cell>
        </row>
        <row r="4770">
          <cell r="C4770">
            <v>3004749</v>
          </cell>
          <cell r="D4770" t="str">
            <v>MANUT CONSERV MAQS,EQUIPS MOV,PC,MOTORES</v>
          </cell>
          <cell r="E4770" t="str">
            <v>SV</v>
          </cell>
        </row>
        <row r="4771">
          <cell r="C4771">
            <v>3004750</v>
          </cell>
          <cell r="D4771" t="str">
            <v>MANUT CONSERV MAQS,EQUIPS MOV,PC,MOTORES</v>
          </cell>
          <cell r="E4771" t="str">
            <v>SV</v>
          </cell>
        </row>
        <row r="4772">
          <cell r="C4772">
            <v>3004751</v>
          </cell>
          <cell r="D4772" t="str">
            <v>SRV MANUT DE REDE ELÉTRICA MEDIA TENSÃO</v>
          </cell>
          <cell r="E4772" t="str">
            <v>SV</v>
          </cell>
        </row>
        <row r="4773">
          <cell r="C4773">
            <v>3004752</v>
          </cell>
          <cell r="D4773" t="str">
            <v>SRV MANUT DE REDE ELÉTRICA MEDIA TENSÃO</v>
          </cell>
          <cell r="E4773" t="str">
            <v>UN</v>
          </cell>
        </row>
        <row r="4774">
          <cell r="C4774">
            <v>3004753</v>
          </cell>
          <cell r="D4774" t="str">
            <v>SRV MANUT E REP -HELDRAS E SAPATAS FREIO</v>
          </cell>
          <cell r="E4774" t="str">
            <v>H</v>
          </cell>
        </row>
        <row r="4775">
          <cell r="C4775">
            <v>3004754</v>
          </cell>
          <cell r="D4775" t="str">
            <v>SRV MANUT E REP -HELDRAS E SAPATAS FREIO</v>
          </cell>
          <cell r="E4775" t="str">
            <v>PC</v>
          </cell>
        </row>
        <row r="4776">
          <cell r="C4776">
            <v>3004755</v>
          </cell>
          <cell r="D4776" t="str">
            <v>CONSERT, REP, RESTAUR, REFOR E BLIND</v>
          </cell>
          <cell r="E4776" t="str">
            <v>SV</v>
          </cell>
        </row>
        <row r="4777">
          <cell r="C4777">
            <v>3004756</v>
          </cell>
          <cell r="D4777" t="str">
            <v>SRV MANUT E REP -HELDRAS E SAPATAS FREIO</v>
          </cell>
          <cell r="E4777" t="str">
            <v>UN</v>
          </cell>
        </row>
        <row r="4778">
          <cell r="C4778">
            <v>3004757</v>
          </cell>
          <cell r="D4778" t="str">
            <v>SRV MANUT E REPARO TELECOMUNICAÃ‡Ã•ES</v>
          </cell>
          <cell r="E4778" t="str">
            <v>H</v>
          </cell>
        </row>
        <row r="4779">
          <cell r="C4779">
            <v>3004758</v>
          </cell>
          <cell r="D4779" t="str">
            <v>SRV MANUT E REPARO TELECOMUNICAÇÕES</v>
          </cell>
          <cell r="E4779" t="str">
            <v>KMS</v>
          </cell>
        </row>
        <row r="4780">
          <cell r="C4780">
            <v>3004759</v>
          </cell>
          <cell r="D4780" t="str">
            <v>SRV MANUT E REPARO TELECOMUNICAÇÕES</v>
          </cell>
          <cell r="E4780" t="str">
            <v>M</v>
          </cell>
        </row>
        <row r="4781">
          <cell r="C4781">
            <v>3004760</v>
          </cell>
          <cell r="D4781" t="str">
            <v>CONSERT, REP, RESTAUR, REFOR E BLIND</v>
          </cell>
          <cell r="E4781" t="str">
            <v>SV</v>
          </cell>
        </row>
        <row r="4782">
          <cell r="C4782">
            <v>3004761</v>
          </cell>
          <cell r="D4782" t="str">
            <v>SRV MANUT E REPARO TELECOMUNICAÇÕES</v>
          </cell>
          <cell r="E4782" t="str">
            <v>PC</v>
          </cell>
        </row>
        <row r="4783">
          <cell r="C4783">
            <v>3004762</v>
          </cell>
          <cell r="D4783" t="str">
            <v>CONSERT, REP, RESTAUR, REFOR E BLIND</v>
          </cell>
          <cell r="E4783" t="str">
            <v>SV</v>
          </cell>
        </row>
        <row r="4784">
          <cell r="C4784">
            <v>3004763</v>
          </cell>
          <cell r="D4784" t="str">
            <v>SRV MANUT E REPARO TELECOMUNICAÃ‡Ã•ES</v>
          </cell>
          <cell r="E4784" t="str">
            <v>UN</v>
          </cell>
        </row>
        <row r="4785">
          <cell r="C4785">
            <v>3004764</v>
          </cell>
          <cell r="D4785" t="str">
            <v>SRV MANUT EQUIP ABASTECIMTO COMBUSTÍVEL</v>
          </cell>
          <cell r="E4785" t="str">
            <v>M</v>
          </cell>
        </row>
        <row r="4786">
          <cell r="C4786">
            <v>3004765</v>
          </cell>
          <cell r="D4786" t="str">
            <v>SRV MANUT EQUIP ABASTECIMTO COMBUSTÍVEL</v>
          </cell>
          <cell r="E4786" t="str">
            <v>MES</v>
          </cell>
        </row>
        <row r="4787">
          <cell r="C4787">
            <v>3004766</v>
          </cell>
          <cell r="D4787" t="str">
            <v>SRV MANUT EQUIP ABASTECIMTO COMBUSTÍVEL</v>
          </cell>
          <cell r="E4787" t="str">
            <v>PC</v>
          </cell>
        </row>
        <row r="4788">
          <cell r="C4788">
            <v>3004767</v>
          </cell>
          <cell r="D4788" t="str">
            <v>MANUT CONSERV MAQS,EQUIPS MOV,PC,MOTORES</v>
          </cell>
          <cell r="E4788" t="str">
            <v>SV</v>
          </cell>
        </row>
        <row r="4789">
          <cell r="C4789">
            <v>3004768</v>
          </cell>
          <cell r="D4789" t="str">
            <v>SRV MANUT EQUIP ABASTECIMTO COMBUSTÍVEL</v>
          </cell>
          <cell r="E4789" t="str">
            <v>UN</v>
          </cell>
        </row>
        <row r="4790">
          <cell r="C4790">
            <v>3004769</v>
          </cell>
          <cell r="D4790" t="str">
            <v>SRV MANUT EQUIP DE PROCESSO DE MINERAÇÃO</v>
          </cell>
          <cell r="E4790" t="str">
            <v>H</v>
          </cell>
        </row>
        <row r="4791">
          <cell r="C4791">
            <v>3004770</v>
          </cell>
          <cell r="D4791" t="str">
            <v>SRV MANUT EQUIP DE PROCESSO DE MINERAÇÃO</v>
          </cell>
          <cell r="E4791" t="str">
            <v>MES</v>
          </cell>
        </row>
        <row r="4792">
          <cell r="C4792">
            <v>3004771</v>
          </cell>
          <cell r="D4792" t="str">
            <v>SRV MANUT EQUIP DE PROCESSO DE MINERAÇÃO</v>
          </cell>
          <cell r="E4792" t="str">
            <v>PC</v>
          </cell>
        </row>
        <row r="4793">
          <cell r="C4793">
            <v>3004772</v>
          </cell>
          <cell r="D4793" t="str">
            <v>SRV MANUT EQUIP DE PROCESSO DE MINERAÇÃO</v>
          </cell>
          <cell r="E4793" t="str">
            <v>UN</v>
          </cell>
        </row>
        <row r="4794">
          <cell r="C4794">
            <v>3004773</v>
          </cell>
          <cell r="D4794" t="str">
            <v>SRV MANUT EQUIP DE USINA DE CONCENTRAÇÃO</v>
          </cell>
          <cell r="E4794" t="str">
            <v>UN</v>
          </cell>
        </row>
        <row r="4795">
          <cell r="C4795">
            <v>3004774</v>
          </cell>
          <cell r="D4795" t="str">
            <v>SRV MANUT EQUIP INSTRUMENTO MEDIÇÃO</v>
          </cell>
          <cell r="E4795" t="str">
            <v>H</v>
          </cell>
        </row>
        <row r="4796">
          <cell r="C4796">
            <v>3004775</v>
          </cell>
          <cell r="D4796" t="str">
            <v>SRV MANUT EQUIP INSTRUNENTO MEDIÇÃO</v>
          </cell>
          <cell r="E4796" t="str">
            <v>MES</v>
          </cell>
        </row>
        <row r="4797">
          <cell r="C4797">
            <v>3004776</v>
          </cell>
          <cell r="D4797" t="str">
            <v>SRV MANUT EQUIP INSTRUMENTO MEDIÇÃO</v>
          </cell>
          <cell r="E4797" t="str">
            <v>PC</v>
          </cell>
        </row>
        <row r="4798">
          <cell r="C4798">
            <v>3004777</v>
          </cell>
          <cell r="D4798" t="str">
            <v>MANUT CONSERV MAQS,EQUIPS MOV,PC,MOTORES</v>
          </cell>
          <cell r="E4798" t="str">
            <v>SV</v>
          </cell>
        </row>
        <row r="4799">
          <cell r="C4799">
            <v>3004778</v>
          </cell>
          <cell r="D4799" t="str">
            <v>SRV MANUT EQUIP INSTRUMENTO MEDIÇÃO</v>
          </cell>
          <cell r="E4799" t="str">
            <v>UN</v>
          </cell>
        </row>
        <row r="4800">
          <cell r="C4800">
            <v>3004779</v>
          </cell>
          <cell r="D4800" t="str">
            <v>SRV MANUT EQUIP MÓVEIS MINERAÇÃO - LEVES</v>
          </cell>
          <cell r="E4800" t="str">
            <v>H</v>
          </cell>
        </row>
        <row r="4801">
          <cell r="C4801">
            <v>3004780</v>
          </cell>
          <cell r="D4801" t="str">
            <v>SRV MANUT EQUIP MÓVEIS MINERAÇÃO - LEVES</v>
          </cell>
          <cell r="E4801" t="str">
            <v>KMS</v>
          </cell>
        </row>
        <row r="4802">
          <cell r="C4802">
            <v>3004781</v>
          </cell>
          <cell r="D4802" t="str">
            <v>SRV MANUT EQUIP MÓVEIS MINERAÇÃO - LEVES</v>
          </cell>
          <cell r="E4802" t="str">
            <v>L</v>
          </cell>
        </row>
        <row r="4803">
          <cell r="C4803">
            <v>3004782</v>
          </cell>
          <cell r="D4803" t="str">
            <v>SRV MANUT EQUIP MÓVEIS MINERAÇÃO - LEVES</v>
          </cell>
          <cell r="E4803" t="str">
            <v>M</v>
          </cell>
        </row>
        <row r="4804">
          <cell r="C4804">
            <v>3004783</v>
          </cell>
          <cell r="D4804" t="str">
            <v>MANUT CONSERV MAQS,EQUIPS MOV,PC,MOTORES</v>
          </cell>
          <cell r="E4804" t="str">
            <v>SV</v>
          </cell>
        </row>
        <row r="4805">
          <cell r="C4805">
            <v>3004784</v>
          </cell>
          <cell r="D4805" t="str">
            <v>SRV MANUT EQUIP MÓVEIS MINERAÇÃO - LEVES</v>
          </cell>
          <cell r="E4805" t="str">
            <v>PC</v>
          </cell>
        </row>
        <row r="4806">
          <cell r="C4806">
            <v>3004785</v>
          </cell>
          <cell r="D4806" t="str">
            <v>SRV MANUT EQUIP MÓVEIS MINERAÇÃO - LEVES</v>
          </cell>
          <cell r="E4806" t="str">
            <v>SV</v>
          </cell>
        </row>
        <row r="4807">
          <cell r="C4807">
            <v>3004786</v>
          </cell>
          <cell r="D4807" t="str">
            <v>SRV MANUT EQUIP MÓVEIS MINERAÇÃO - LEVES</v>
          </cell>
          <cell r="E4807" t="str">
            <v>UN</v>
          </cell>
        </row>
        <row r="4808">
          <cell r="C4808">
            <v>3004787</v>
          </cell>
          <cell r="D4808" t="str">
            <v>MANUT CONSERV MAQS,EQUIPS MOV,PC,MOTORES</v>
          </cell>
          <cell r="E4808" t="str">
            <v>SV</v>
          </cell>
        </row>
        <row r="4809">
          <cell r="C4809">
            <v>3004788</v>
          </cell>
          <cell r="D4809" t="str">
            <v>SRV MANUT EQUIP VIGILÂNCIA E DETECÇÃO</v>
          </cell>
          <cell r="E4809" t="str">
            <v>UN</v>
          </cell>
        </row>
        <row r="4810">
          <cell r="C4810">
            <v>3004789</v>
          </cell>
          <cell r="D4810" t="str">
            <v>SRV MANUT EQUIPAMENTO DE MOAGEM E MOINHO</v>
          </cell>
          <cell r="E4810" t="str">
            <v>UN</v>
          </cell>
        </row>
        <row r="4811">
          <cell r="C4811">
            <v>3004790</v>
          </cell>
          <cell r="D4811" t="str">
            <v>SRV MANUT INSTUMENTO HIGIENE E SEGURANÇA</v>
          </cell>
          <cell r="E4811" t="str">
            <v>UN</v>
          </cell>
        </row>
        <row r="4812">
          <cell r="C4812">
            <v>3004791</v>
          </cell>
          <cell r="D4812" t="str">
            <v>SRV MANUT MOTOR E GERADOR ALTA TENSÃO</v>
          </cell>
          <cell r="E4812" t="str">
            <v>DIA</v>
          </cell>
        </row>
        <row r="4813">
          <cell r="C4813">
            <v>3004792</v>
          </cell>
          <cell r="D4813" t="str">
            <v>SRV MANUT MOTOR E GERADOR ALTA TENSÃO</v>
          </cell>
          <cell r="E4813" t="str">
            <v>H</v>
          </cell>
        </row>
        <row r="4814">
          <cell r="C4814">
            <v>3004793</v>
          </cell>
          <cell r="D4814" t="str">
            <v>SRV MANUT MOTOR E GERADOR ALTA TENSÃO</v>
          </cell>
          <cell r="E4814" t="str">
            <v>MES</v>
          </cell>
        </row>
        <row r="4815">
          <cell r="C4815">
            <v>3004794</v>
          </cell>
          <cell r="D4815" t="str">
            <v>MANUT CONSERV MAQS,EQUIPS MOV,PC,MOTORES</v>
          </cell>
          <cell r="E4815" t="str">
            <v>SV</v>
          </cell>
        </row>
        <row r="4816">
          <cell r="C4816">
            <v>3004795</v>
          </cell>
          <cell r="D4816" t="str">
            <v>SRV MANUT MOTOR E GERADOR ALTA TENSÃO</v>
          </cell>
          <cell r="E4816" t="str">
            <v>UN</v>
          </cell>
        </row>
        <row r="4817">
          <cell r="C4817">
            <v>3004796</v>
          </cell>
          <cell r="D4817" t="str">
            <v>SRV MANUT MOTOR E GERADOR BAIXA TENSÃO</v>
          </cell>
          <cell r="E4817" t="str">
            <v>DIA</v>
          </cell>
        </row>
        <row r="4818">
          <cell r="C4818">
            <v>3004797</v>
          </cell>
          <cell r="D4818" t="str">
            <v>SRV MANUT MOTOR E GERADOR BAIXA TENSÃO</v>
          </cell>
          <cell r="E4818" t="str">
            <v>G</v>
          </cell>
        </row>
        <row r="4819">
          <cell r="C4819">
            <v>3004798</v>
          </cell>
          <cell r="D4819" t="str">
            <v>SRV MANUT MOTOR E GERADOR BAIXA TENSÃO</v>
          </cell>
          <cell r="E4819" t="str">
            <v>H</v>
          </cell>
        </row>
        <row r="4820">
          <cell r="C4820">
            <v>3004799</v>
          </cell>
          <cell r="D4820" t="str">
            <v>SRV MANUT MOTOR E GERADOR BAIXA TENSÃO</v>
          </cell>
          <cell r="E4820" t="str">
            <v>M</v>
          </cell>
        </row>
        <row r="4821">
          <cell r="C4821">
            <v>3004800</v>
          </cell>
          <cell r="D4821" t="str">
            <v>SRV MANUT MOTOR E GERADOR BAIXA TENSÃO</v>
          </cell>
          <cell r="E4821" t="str">
            <v>MES</v>
          </cell>
        </row>
        <row r="4822">
          <cell r="C4822">
            <v>3004801</v>
          </cell>
          <cell r="D4822" t="str">
            <v>SRV MANUT MOTOR E GERADOR BAIXA TENSÃO</v>
          </cell>
          <cell r="E4822" t="str">
            <v>PC</v>
          </cell>
        </row>
        <row r="4823">
          <cell r="C4823">
            <v>3004802</v>
          </cell>
          <cell r="D4823" t="str">
            <v>MANUT CONSERV MAQS,EQUIPS MOV,PC,MOTORES</v>
          </cell>
          <cell r="E4823" t="str">
            <v>SV</v>
          </cell>
        </row>
        <row r="4824">
          <cell r="C4824">
            <v>3004803</v>
          </cell>
          <cell r="D4824" t="str">
            <v>SRV MANUT MOTOR E GERADOR BAIXA TENSÃO</v>
          </cell>
          <cell r="E4824" t="str">
            <v>UN</v>
          </cell>
        </row>
        <row r="4825">
          <cell r="C4825">
            <v>3004804</v>
          </cell>
          <cell r="D4825" t="str">
            <v>MANUT CONSERV MAQS,EQUIPS MOV,PC,MOTORES</v>
          </cell>
          <cell r="E4825" t="str">
            <v>SV</v>
          </cell>
        </row>
        <row r="4826">
          <cell r="C4826">
            <v>3004805</v>
          </cell>
          <cell r="D4826" t="str">
            <v>SRV MANUT MOTOR E GERADOR MÉDIA TENSÃO</v>
          </cell>
          <cell r="E4826" t="str">
            <v>UN</v>
          </cell>
        </row>
        <row r="4827">
          <cell r="C4827">
            <v>3004806</v>
          </cell>
          <cell r="D4827" t="str">
            <v>SRV MANUT OUTROS EQUIPAMENTOS ELÉTRICOS</v>
          </cell>
          <cell r="E4827" t="str">
            <v>DIA</v>
          </cell>
        </row>
        <row r="4828">
          <cell r="C4828">
            <v>3004807</v>
          </cell>
          <cell r="D4828" t="str">
            <v>SRV MANUT OUTROS EQUIPAMENTOS ELÉTRICOS</v>
          </cell>
          <cell r="E4828" t="str">
            <v>H</v>
          </cell>
        </row>
        <row r="4829">
          <cell r="C4829">
            <v>3004808</v>
          </cell>
          <cell r="D4829" t="str">
            <v>SRV MANUT OUTROS EQUIPAMENTOS ELÉTRICOS</v>
          </cell>
          <cell r="E4829" t="str">
            <v>KG</v>
          </cell>
        </row>
        <row r="4830">
          <cell r="C4830">
            <v>3004809</v>
          </cell>
          <cell r="D4830" t="str">
            <v>SRV MANUT OUTROS EQUIPAMENTOS ELÉTRICOS</v>
          </cell>
          <cell r="E4830" t="str">
            <v>KMS</v>
          </cell>
        </row>
        <row r="4831">
          <cell r="C4831">
            <v>3004810</v>
          </cell>
          <cell r="D4831" t="str">
            <v>MANUT CONSERV MAQS,EQUIPS MOV,PC,MOTORES</v>
          </cell>
          <cell r="E4831" t="str">
            <v>SV</v>
          </cell>
        </row>
        <row r="4832">
          <cell r="C4832">
            <v>3004811</v>
          </cell>
          <cell r="D4832" t="str">
            <v>SRV MANUT OUTROS EQUIPAMENTOS ELÉTRICOS</v>
          </cell>
          <cell r="E4832" t="str">
            <v>M</v>
          </cell>
        </row>
        <row r="4833">
          <cell r="C4833">
            <v>3004812</v>
          </cell>
          <cell r="D4833" t="str">
            <v>SRV MANUT OUTROS EQUIPAMENTOS ELÉTRICOS</v>
          </cell>
          <cell r="E4833" t="str">
            <v>M2</v>
          </cell>
        </row>
        <row r="4834">
          <cell r="C4834">
            <v>3004813</v>
          </cell>
          <cell r="D4834" t="str">
            <v>SRV MANUT OUTROS EQUIPAMENTOS ELÉTRICOS</v>
          </cell>
          <cell r="E4834" t="str">
            <v>M3</v>
          </cell>
        </row>
        <row r="4835">
          <cell r="C4835">
            <v>3004814</v>
          </cell>
          <cell r="D4835" t="str">
            <v>SRV MANUT OUTROS EQUIPAMENTOS ELÉTRICOS</v>
          </cell>
          <cell r="E4835" t="str">
            <v>MES</v>
          </cell>
        </row>
        <row r="4836">
          <cell r="C4836">
            <v>3004815</v>
          </cell>
          <cell r="D4836" t="str">
            <v>SRV MANUT OUTROS EQUIPAMENTOS ELÉTRICOS</v>
          </cell>
          <cell r="E4836" t="str">
            <v>PC</v>
          </cell>
        </row>
        <row r="4837">
          <cell r="C4837">
            <v>3004816</v>
          </cell>
          <cell r="D4837" t="str">
            <v>MANUT CONSERV MAQS,EQUIPS MOV,PC,MOTORES</v>
          </cell>
          <cell r="E4837" t="str">
            <v>SV</v>
          </cell>
        </row>
        <row r="4838">
          <cell r="C4838">
            <v>3004817</v>
          </cell>
          <cell r="D4838" t="str">
            <v>SRV MANUT OUTROS EQUIPAMENTOS ELÉTRICOS</v>
          </cell>
          <cell r="E4838" t="str">
            <v>UN</v>
          </cell>
        </row>
        <row r="4839">
          <cell r="C4839">
            <v>3004818</v>
          </cell>
          <cell r="D4839" t="str">
            <v>MANUT CONSERV MAQS,EQUIPS MOV,PC,MOTORES</v>
          </cell>
          <cell r="E4839" t="str">
            <v>SV</v>
          </cell>
        </row>
        <row r="4840">
          <cell r="C4840">
            <v>3004819</v>
          </cell>
          <cell r="D4840" t="str">
            <v>MANUT CONSERV MAQS,EQUIPS MOV,PC,MOTORES</v>
          </cell>
          <cell r="E4840" t="str">
            <v>SV</v>
          </cell>
        </row>
        <row r="4841">
          <cell r="C4841">
            <v>3004820</v>
          </cell>
          <cell r="D4841" t="str">
            <v>MANUT CONSERV MAQS,EQUIPS MOV,PC,MOTORES</v>
          </cell>
          <cell r="E4841" t="str">
            <v>SV</v>
          </cell>
        </row>
        <row r="4842">
          <cell r="C4842">
            <v>3004821</v>
          </cell>
          <cell r="D4842" t="str">
            <v>SRV MANUT REDE ELÉTRICA DE BAIXA TENSÃO</v>
          </cell>
          <cell r="E4842" t="str">
            <v>UN</v>
          </cell>
        </row>
        <row r="4843">
          <cell r="C4843">
            <v>3004822</v>
          </cell>
          <cell r="D4843" t="str">
            <v>SRV MANUT TRANSP CORREIA - VULCANIZAÇÃO</v>
          </cell>
          <cell r="E4843" t="str">
            <v>"</v>
          </cell>
        </row>
        <row r="4844">
          <cell r="C4844">
            <v>3004823</v>
          </cell>
          <cell r="D4844" t="str">
            <v>SRV MANUT TRANSP CORREIA - VULCANIZAÇÃO</v>
          </cell>
          <cell r="E4844" t="str">
            <v>H</v>
          </cell>
        </row>
        <row r="4845">
          <cell r="C4845">
            <v>3004824</v>
          </cell>
          <cell r="D4845" t="str">
            <v>SRV MANUT TRANSP CORREIA - VULCANIZAÇÃO</v>
          </cell>
          <cell r="E4845" t="str">
            <v>M</v>
          </cell>
        </row>
        <row r="4846">
          <cell r="C4846">
            <v>3004825</v>
          </cell>
          <cell r="D4846" t="str">
            <v>SRV MANUT TRANSP CORREIA - VULCANIZAÇÃO</v>
          </cell>
          <cell r="E4846" t="str">
            <v>M2</v>
          </cell>
        </row>
        <row r="4847">
          <cell r="C4847">
            <v>3004826</v>
          </cell>
          <cell r="D4847" t="str">
            <v>SRV MANUT TRANSP CORREIA - VULCANIZAÇÃO</v>
          </cell>
          <cell r="E4847" t="str">
            <v>SV</v>
          </cell>
        </row>
        <row r="4848">
          <cell r="C4848">
            <v>3004827</v>
          </cell>
          <cell r="D4848" t="str">
            <v>SRV MANUT TRANSP CORREIA - VULCANIZAÇÃO</v>
          </cell>
          <cell r="E4848" t="str">
            <v>UN</v>
          </cell>
        </row>
        <row r="4849">
          <cell r="C4849">
            <v>3004828</v>
          </cell>
          <cell r="D4849" t="str">
            <v>SRV MANUT TRANSP DE CORREIA - ACESSÓRIOS</v>
          </cell>
          <cell r="E4849" t="str">
            <v>KG</v>
          </cell>
        </row>
        <row r="4850">
          <cell r="C4850">
            <v>3004829</v>
          </cell>
          <cell r="D4850" t="str">
            <v>SRV MANUT TRANSP DE CORREIA - ACESSÓRIOS</v>
          </cell>
          <cell r="E4850" t="str">
            <v>PC</v>
          </cell>
        </row>
        <row r="4851">
          <cell r="C4851">
            <v>3004830</v>
          </cell>
          <cell r="D4851" t="str">
            <v>MANUT CONSERV MAQS,EQUIPS MOV,PC,MOTORES</v>
          </cell>
          <cell r="E4851" t="str">
            <v>SV</v>
          </cell>
        </row>
        <row r="4852">
          <cell r="C4852">
            <v>3004831</v>
          </cell>
          <cell r="D4852" t="str">
            <v>SRV MANUT TRANSP DE CORREIA - ACESSÓRIOS</v>
          </cell>
          <cell r="E4852" t="str">
            <v>UN</v>
          </cell>
        </row>
        <row r="4853">
          <cell r="C4853">
            <v>3004832</v>
          </cell>
          <cell r="D4853" t="str">
            <v>SRV MANUT VEÍC ESPECIAL - AMBULÂNCIA-UTI</v>
          </cell>
          <cell r="E4853" t="str">
            <v>H</v>
          </cell>
        </row>
        <row r="4854">
          <cell r="C4854">
            <v>3004833</v>
          </cell>
          <cell r="D4854" t="str">
            <v>SRV MANUT VEÍC ESPECIAL - AMBULÂNCIA-UTI</v>
          </cell>
          <cell r="E4854" t="str">
            <v>UN</v>
          </cell>
        </row>
        <row r="4855">
          <cell r="C4855">
            <v>3004834</v>
          </cell>
          <cell r="D4855" t="str">
            <v>SRV MANUT VEÍC UTILITÁRIO E MICRO ÔNIBUS</v>
          </cell>
          <cell r="E4855" t="str">
            <v>H</v>
          </cell>
        </row>
        <row r="4856">
          <cell r="C4856">
            <v>3004835</v>
          </cell>
          <cell r="D4856" t="str">
            <v>MANUT CONSERV MAQS,EQUIPS MOV,PC,MOTORES</v>
          </cell>
          <cell r="E4856" t="str">
            <v>SV</v>
          </cell>
        </row>
        <row r="4857">
          <cell r="C4857">
            <v>3004836</v>
          </cell>
          <cell r="D4857" t="str">
            <v>SRV MANUT;CONSERV;MODERN EMBARCAÇÕES</v>
          </cell>
          <cell r="E4857" t="str">
            <v>UN</v>
          </cell>
        </row>
        <row r="4858">
          <cell r="C4858">
            <v>3004837</v>
          </cell>
          <cell r="D4858" t="str">
            <v>SRV MANUTENÇÃO DE AERONAVE</v>
          </cell>
          <cell r="E4858" t="str">
            <v>H</v>
          </cell>
        </row>
        <row r="4859">
          <cell r="C4859">
            <v>3004838</v>
          </cell>
          <cell r="D4859" t="str">
            <v>SRV MANUTENÇÃO DE AERONAVE</v>
          </cell>
          <cell r="E4859" t="str">
            <v>MES</v>
          </cell>
        </row>
        <row r="4860">
          <cell r="C4860">
            <v>3004839</v>
          </cell>
          <cell r="D4860" t="str">
            <v>MANUT CONSERV MAQS,EQUIPS MOV,PC,MOTORES</v>
          </cell>
          <cell r="E4860" t="str">
            <v>SV</v>
          </cell>
        </row>
        <row r="4861">
          <cell r="C4861">
            <v>3004840</v>
          </cell>
          <cell r="D4861" t="str">
            <v>SRV MANUTENÇÃO DE AERONAVE</v>
          </cell>
          <cell r="E4861" t="str">
            <v>UN</v>
          </cell>
        </row>
        <row r="4862">
          <cell r="C4862">
            <v>3004841</v>
          </cell>
          <cell r="D4862" t="str">
            <v>SRV MANUTENÇÃO DE BALANÇA DE LABORATÓRIO</v>
          </cell>
          <cell r="E4862" t="str">
            <v>H</v>
          </cell>
        </row>
        <row r="4863">
          <cell r="C4863">
            <v>3004842</v>
          </cell>
          <cell r="D4863" t="str">
            <v>SRV MANUTENÇÃO DE BALANÇA DE LABORATÓRIO</v>
          </cell>
          <cell r="E4863" t="str">
            <v>PC</v>
          </cell>
        </row>
        <row r="4864">
          <cell r="C4864">
            <v>3004843</v>
          </cell>
          <cell r="D4864" t="str">
            <v>SRV MANUTENÇÃO DE BALANÇA DE LABORATÓRIO</v>
          </cell>
          <cell r="E4864" t="str">
            <v>SV</v>
          </cell>
        </row>
        <row r="4865">
          <cell r="C4865">
            <v>3004844</v>
          </cell>
          <cell r="D4865" t="str">
            <v>SRV MANUTENÇÃO DE BALANÇA DE LABORATÓRIO</v>
          </cell>
          <cell r="E4865" t="str">
            <v>UN</v>
          </cell>
        </row>
        <row r="4866">
          <cell r="C4866">
            <v>3004845</v>
          </cell>
          <cell r="D4866" t="str">
            <v>SRV MANUTENÇÃO DE BOMBA E BICO INJETOR</v>
          </cell>
          <cell r="E4866" t="str">
            <v>JG</v>
          </cell>
        </row>
        <row r="4867">
          <cell r="C4867">
            <v>3004846</v>
          </cell>
          <cell r="D4867" t="str">
            <v>SRV MANUTENÇÃO DE BOMBA E BICO INJETOR</v>
          </cell>
          <cell r="E4867" t="str">
            <v>PC</v>
          </cell>
        </row>
        <row r="4868">
          <cell r="C4868">
            <v>3004847</v>
          </cell>
          <cell r="D4868" t="str">
            <v>SRV MANUTENÇÃO DE BOMBA E BICO INJETOR</v>
          </cell>
          <cell r="E4868" t="str">
            <v>UN</v>
          </cell>
        </row>
        <row r="4869">
          <cell r="C4869">
            <v>3004848</v>
          </cell>
          <cell r="D4869" t="str">
            <v>SRV MANUTENÇÃO DE CENTRO DISTRIB ENERGIA</v>
          </cell>
          <cell r="E4869" t="str">
            <v>KG</v>
          </cell>
        </row>
        <row r="4870">
          <cell r="C4870">
            <v>3004849</v>
          </cell>
          <cell r="D4870" t="str">
            <v>MANUT CONSERV MAQS,EQUIPS MOV,PC,MOTORES</v>
          </cell>
          <cell r="E4870" t="str">
            <v>SV</v>
          </cell>
        </row>
        <row r="4871">
          <cell r="C4871">
            <v>3004850</v>
          </cell>
          <cell r="D4871" t="str">
            <v>SRV MANUTENÇÃO DE CENTRO DISTRIB ENERGIA</v>
          </cell>
          <cell r="E4871" t="str">
            <v>M</v>
          </cell>
        </row>
        <row r="4872">
          <cell r="C4872">
            <v>3004851</v>
          </cell>
          <cell r="D4872" t="str">
            <v>SRV MANUTENÇÃO DE CENTRO DISTRIB ENERGIA</v>
          </cell>
          <cell r="E4872" t="str">
            <v>M2</v>
          </cell>
        </row>
        <row r="4873">
          <cell r="C4873">
            <v>3004852</v>
          </cell>
          <cell r="D4873" t="str">
            <v>SRV MANUTENÇÃO DE CENTRO DISTRIB ENERGIA</v>
          </cell>
          <cell r="E4873" t="str">
            <v>PC</v>
          </cell>
        </row>
        <row r="4874">
          <cell r="C4874">
            <v>3004853</v>
          </cell>
          <cell r="D4874" t="str">
            <v>SRV MANUTENÇÃO DE CENTRO DISTRIB ENERGIA</v>
          </cell>
          <cell r="E4874" t="str">
            <v>SV</v>
          </cell>
        </row>
        <row r="4875">
          <cell r="C4875">
            <v>3004854</v>
          </cell>
          <cell r="D4875" t="str">
            <v>SRV MANUTENÇÃO DE CENTRO DISTRIB ENERGIA</v>
          </cell>
          <cell r="E4875" t="str">
            <v>UN</v>
          </cell>
        </row>
        <row r="4876">
          <cell r="C4876">
            <v>3004855</v>
          </cell>
          <cell r="D4876" t="str">
            <v>SRV MANUTENÇÃO DE CORREIA TRANSPORTADORA</v>
          </cell>
          <cell r="E4876" t="str">
            <v>H</v>
          </cell>
        </row>
        <row r="4877">
          <cell r="C4877">
            <v>3004856</v>
          </cell>
          <cell r="D4877" t="str">
            <v>MANUT CONSERV MAQS,EQUIPS MOV,PC,MOTORES</v>
          </cell>
          <cell r="E4877" t="str">
            <v>SV</v>
          </cell>
        </row>
        <row r="4878">
          <cell r="C4878">
            <v>3004857</v>
          </cell>
          <cell r="D4878" t="str">
            <v>SRV MANUTENÇÃO DE CORREIA TRANSPORTADORA</v>
          </cell>
          <cell r="E4878" t="str">
            <v>M</v>
          </cell>
        </row>
        <row r="4879">
          <cell r="C4879">
            <v>3004858</v>
          </cell>
          <cell r="D4879" t="str">
            <v>MANUT CONSERV MAQS,EQUIPS MOV,PC,MOTORES</v>
          </cell>
          <cell r="E4879" t="str">
            <v>SV</v>
          </cell>
        </row>
        <row r="4880">
          <cell r="C4880">
            <v>3004859</v>
          </cell>
          <cell r="D4880" t="str">
            <v>MANUT CONSERV MAQS,EQUIPS MOV,PC,MOTORES</v>
          </cell>
          <cell r="E4880" t="str">
            <v>SV</v>
          </cell>
        </row>
        <row r="4881">
          <cell r="C4881">
            <v>3004860</v>
          </cell>
          <cell r="D4881" t="str">
            <v>SRV MANUTENÇÃO DE CORREIA TRANSPORTADORA</v>
          </cell>
          <cell r="E4881" t="str">
            <v>UN</v>
          </cell>
        </row>
        <row r="4882">
          <cell r="C4882">
            <v>3004861</v>
          </cell>
          <cell r="D4882" t="str">
            <v>MANUT CONSERV MAQS,EQUIPS MOV,PC,MOTORES</v>
          </cell>
          <cell r="E4882" t="str">
            <v>SV</v>
          </cell>
        </row>
        <row r="4883">
          <cell r="C4883">
            <v>3004862</v>
          </cell>
          <cell r="D4883" t="str">
            <v>SRV MANUTENÇÃO DE EQUIPAMENTO DE OFICINA</v>
          </cell>
          <cell r="E4883" t="str">
            <v>UN</v>
          </cell>
        </row>
        <row r="4884">
          <cell r="C4884">
            <v>3004863</v>
          </cell>
          <cell r="D4884" t="str">
            <v>SRV MANUTENÇÃO DE EQUIPAMENTO HIDRÁULICO</v>
          </cell>
          <cell r="E4884" t="str">
            <v>PC</v>
          </cell>
        </row>
        <row r="4885">
          <cell r="C4885">
            <v>3004864</v>
          </cell>
          <cell r="D4885" t="str">
            <v>SRV MANUTENÇÃO DE EQUIPAMENTO HIDRÁULICO</v>
          </cell>
          <cell r="E4885" t="str">
            <v>SV</v>
          </cell>
        </row>
        <row r="4886">
          <cell r="C4886">
            <v>3004865</v>
          </cell>
          <cell r="D4886" t="str">
            <v>SRV MANUTENÇÃO DE EQUIPAMENTO HIDRÁULICO</v>
          </cell>
          <cell r="E4886" t="str">
            <v>UN</v>
          </cell>
        </row>
        <row r="4887">
          <cell r="C4887">
            <v>3004866</v>
          </cell>
          <cell r="D4887" t="str">
            <v>SRV MANUTENÇÃO DE EQUIPAMENTO INDUSTRIAL</v>
          </cell>
          <cell r="E4887" t="str">
            <v>DIA</v>
          </cell>
        </row>
        <row r="4888">
          <cell r="C4888">
            <v>3004867</v>
          </cell>
          <cell r="D4888" t="str">
            <v>SRV MANUTENÇÃO DE EQUIPAMENTO INDUSTRIAL</v>
          </cell>
          <cell r="E4888" t="str">
            <v>H</v>
          </cell>
        </row>
        <row r="4889">
          <cell r="C4889">
            <v>3004868</v>
          </cell>
          <cell r="D4889" t="str">
            <v>SRV MANUTENÇÃO DE EQUIPAMENTO INDUSTRIAL</v>
          </cell>
          <cell r="E4889" t="str">
            <v>JG</v>
          </cell>
        </row>
        <row r="4890">
          <cell r="C4890">
            <v>3004869</v>
          </cell>
          <cell r="D4890" t="str">
            <v>SRV MANUTENÇÃO DE EQUIPAMENTO INDUSTRIAL</v>
          </cell>
          <cell r="E4890" t="str">
            <v>KG</v>
          </cell>
        </row>
        <row r="4891">
          <cell r="C4891">
            <v>3004870</v>
          </cell>
          <cell r="D4891" t="str">
            <v>SRV MANUTENÇÃO DE EQUIPAMENTO INDUSTRIAL</v>
          </cell>
          <cell r="E4891" t="str">
            <v>KMS</v>
          </cell>
        </row>
        <row r="4892">
          <cell r="C4892">
            <v>3004871</v>
          </cell>
          <cell r="D4892" t="str">
            <v>SRV MANUTENÇÃO DE EQUIPAMENTO INDUSTRIAL</v>
          </cell>
          <cell r="E4892" t="str">
            <v>L</v>
          </cell>
        </row>
        <row r="4893">
          <cell r="C4893">
            <v>3004872</v>
          </cell>
          <cell r="D4893" t="str">
            <v>SRV MANUTENÇÃO DE EQUIPAMENTO INDUSTRIAL</v>
          </cell>
          <cell r="E4893" t="str">
            <v>M</v>
          </cell>
        </row>
        <row r="4894">
          <cell r="C4894">
            <v>3004873</v>
          </cell>
          <cell r="D4894" t="str">
            <v>SRV MANUTENÇÃO DE EQUIPAMENTO INDUSTRIAL</v>
          </cell>
          <cell r="E4894" t="str">
            <v>M2</v>
          </cell>
        </row>
        <row r="4895">
          <cell r="C4895">
            <v>3004874</v>
          </cell>
          <cell r="D4895" t="str">
            <v>SRV MANUTENÇÃO DE EQUIPAMENTO INDUSTRIAL</v>
          </cell>
          <cell r="E4895" t="str">
            <v>M3</v>
          </cell>
        </row>
        <row r="4896">
          <cell r="C4896">
            <v>3004875</v>
          </cell>
          <cell r="D4896" t="str">
            <v>SRV MANUTENÇÃO DE EQUIPAMENTO INDUSTRIAL</v>
          </cell>
          <cell r="E4896" t="str">
            <v>MES</v>
          </cell>
        </row>
        <row r="4897">
          <cell r="C4897">
            <v>3004876</v>
          </cell>
          <cell r="D4897" t="str">
            <v>SRV MANUTENÇÃO DE EQUIPAMENTO INDUSTRIAL</v>
          </cell>
          <cell r="E4897" t="str">
            <v>PC</v>
          </cell>
        </row>
        <row r="4898">
          <cell r="C4898">
            <v>3004877</v>
          </cell>
          <cell r="D4898" t="str">
            <v>MANUT CONSERV MAQS,EQUIPS MOV,PC,MOTORES</v>
          </cell>
          <cell r="E4898" t="str">
            <v>SV</v>
          </cell>
        </row>
        <row r="4899">
          <cell r="C4899">
            <v>3004878</v>
          </cell>
          <cell r="D4899" t="str">
            <v>SRV MANUTENÇÃO DE EQUIPAMENTO INDUSTRIAL</v>
          </cell>
          <cell r="E4899" t="str">
            <v>UN</v>
          </cell>
        </row>
        <row r="4900">
          <cell r="C4900">
            <v>3004879</v>
          </cell>
          <cell r="D4900" t="str">
            <v>SRV MANUTENÇÃO DE EQUIPAMENTO PNEUMÁTICO</v>
          </cell>
          <cell r="E4900" t="str">
            <v>UN</v>
          </cell>
        </row>
        <row r="4901">
          <cell r="C4901">
            <v>3004880</v>
          </cell>
          <cell r="D4901" t="str">
            <v>MANUT CONSERV MAQS,EQUIPS MOV,PC,MOTORES</v>
          </cell>
          <cell r="E4901" t="str">
            <v>SV</v>
          </cell>
        </row>
        <row r="4902">
          <cell r="C4902">
            <v>3004881</v>
          </cell>
          <cell r="D4902" t="str">
            <v>SRV MANUTENÇÃO DE ESMERILHADORA</v>
          </cell>
          <cell r="E4902" t="str">
            <v>UN</v>
          </cell>
        </row>
        <row r="4903">
          <cell r="C4903">
            <v>3004882</v>
          </cell>
          <cell r="D4903" t="str">
            <v>SRV MANUTENÇÃO DE INSTRUMENTO DE AVIAÇÃO</v>
          </cell>
          <cell r="E4903" t="str">
            <v>H</v>
          </cell>
        </row>
        <row r="4904">
          <cell r="C4904">
            <v>3004883</v>
          </cell>
          <cell r="D4904" t="str">
            <v>SRV MANUTENÇÃO DE INSTRUNENTO DE AVIAÇÃO</v>
          </cell>
          <cell r="E4904" t="str">
            <v>MES</v>
          </cell>
        </row>
        <row r="4905">
          <cell r="C4905">
            <v>3004884</v>
          </cell>
          <cell r="D4905" t="str">
            <v>SRV MANUTENÇÃO DE INSTRUMENTO DE AVIAÇÃO</v>
          </cell>
          <cell r="E4905" t="str">
            <v>UN</v>
          </cell>
        </row>
        <row r="4906">
          <cell r="C4906">
            <v>3004885</v>
          </cell>
          <cell r="D4906" t="str">
            <v>SRV MANUTENÇÃO DE LINHA DE TRANSMISSÃO</v>
          </cell>
          <cell r="E4906" t="str">
            <v>H</v>
          </cell>
        </row>
        <row r="4907">
          <cell r="C4907">
            <v>3004886</v>
          </cell>
          <cell r="D4907" t="str">
            <v>SRV MANUTENÇÃO DE LINHA DE TRANSMISSÃO</v>
          </cell>
          <cell r="E4907" t="str">
            <v>KG</v>
          </cell>
        </row>
        <row r="4908">
          <cell r="C4908">
            <v>3004887</v>
          </cell>
          <cell r="D4908" t="str">
            <v>SRV MANUTENÇÃO DE LINHA DE TRANSMISSÃO</v>
          </cell>
          <cell r="E4908" t="str">
            <v>M</v>
          </cell>
        </row>
        <row r="4909">
          <cell r="C4909">
            <v>3004888</v>
          </cell>
          <cell r="D4909" t="str">
            <v>SRV MANUTENÇÃO DE LINHA DE TRANSMISSÃO</v>
          </cell>
          <cell r="E4909" t="str">
            <v>M2</v>
          </cell>
        </row>
        <row r="4910">
          <cell r="C4910">
            <v>3004889</v>
          </cell>
          <cell r="D4910" t="str">
            <v>SRV MANUTENÇÃO DE LINHA DE TRANSMISSÃO</v>
          </cell>
          <cell r="E4910" t="str">
            <v>M3</v>
          </cell>
        </row>
        <row r="4911">
          <cell r="C4911">
            <v>3004890</v>
          </cell>
          <cell r="D4911" t="str">
            <v>SRV MANUTENÇÃO DE LINHA DE TRANSMISSÃO</v>
          </cell>
          <cell r="E4911" t="str">
            <v>MES</v>
          </cell>
        </row>
        <row r="4912">
          <cell r="C4912">
            <v>3004891</v>
          </cell>
          <cell r="D4912" t="str">
            <v>SRV MANUTENÇÃO DE LINHA DE TRANSMISSÃO</v>
          </cell>
          <cell r="E4912" t="str">
            <v>PC</v>
          </cell>
        </row>
        <row r="4913">
          <cell r="C4913">
            <v>3004892</v>
          </cell>
          <cell r="D4913" t="str">
            <v>MANUT CONSERV MAQS,EQUIPS MOV,PC,MOTORES</v>
          </cell>
          <cell r="E4913" t="str">
            <v>SV</v>
          </cell>
        </row>
        <row r="4914">
          <cell r="C4914">
            <v>3004893</v>
          </cell>
          <cell r="D4914" t="str">
            <v>SRV MANUTENÇÃO DE LINHA DE TRANSMISSÃO</v>
          </cell>
          <cell r="E4914" t="str">
            <v>UN</v>
          </cell>
        </row>
        <row r="4915">
          <cell r="C4915">
            <v>3004894</v>
          </cell>
          <cell r="D4915" t="str">
            <v>SRV MANUTENÇÃO DE SISTEMA DE PELOTIZAÇÃO</v>
          </cell>
          <cell r="E4915" t="str">
            <v>H</v>
          </cell>
        </row>
        <row r="4916">
          <cell r="C4916">
            <v>3004895</v>
          </cell>
          <cell r="D4916" t="str">
            <v>SRV MANUTENÇÃO DE SISTEMA DE PELOTIZAÇÃO</v>
          </cell>
          <cell r="E4916" t="str">
            <v>JG</v>
          </cell>
        </row>
        <row r="4917">
          <cell r="C4917">
            <v>3004896</v>
          </cell>
          <cell r="D4917" t="str">
            <v>SRV MANUTENÇÃO DE SISTEMA DE PELOTIZAÇÃO</v>
          </cell>
          <cell r="E4917" t="str">
            <v>KG</v>
          </cell>
        </row>
        <row r="4918">
          <cell r="C4918">
            <v>3004897</v>
          </cell>
          <cell r="D4918" t="str">
            <v>SRV MANUTENÇÃO DE SISTEMA DE PELOTIZAÇÃO</v>
          </cell>
          <cell r="E4918" t="str">
            <v>M</v>
          </cell>
        </row>
        <row r="4919">
          <cell r="C4919">
            <v>3004898</v>
          </cell>
          <cell r="D4919" t="str">
            <v>SRV MANUTENÇÃO DE SISTEMA DE PELOTIZAÇÃO</v>
          </cell>
          <cell r="E4919" t="str">
            <v>M2</v>
          </cell>
        </row>
        <row r="4920">
          <cell r="C4920">
            <v>3004899</v>
          </cell>
          <cell r="D4920" t="str">
            <v>SRV MANUTENÇÃO DE SISTEMA DE PELOTIZAÇÃO</v>
          </cell>
          <cell r="E4920" t="str">
            <v>PC</v>
          </cell>
        </row>
        <row r="4921">
          <cell r="C4921">
            <v>3004900</v>
          </cell>
          <cell r="D4921" t="str">
            <v>SRV MANUTENÇÃO DE SISTEMA DE PELOTIZAÇÃO</v>
          </cell>
          <cell r="E4921" t="str">
            <v>SV</v>
          </cell>
        </row>
        <row r="4922">
          <cell r="C4922">
            <v>3004901</v>
          </cell>
          <cell r="D4922" t="str">
            <v>SRV MANUTENÇÃO DE SISTEMA DE PELOTIZAÇÃO</v>
          </cell>
          <cell r="E4922" t="str">
            <v>UN</v>
          </cell>
        </row>
        <row r="4923">
          <cell r="C4923">
            <v>3004902</v>
          </cell>
          <cell r="D4923" t="str">
            <v>SRV MANUTENCAO EQUIP COMBATE A INCENDIO</v>
          </cell>
          <cell r="E4923" t="str">
            <v>DIA</v>
          </cell>
        </row>
        <row r="4924">
          <cell r="C4924">
            <v>3004903</v>
          </cell>
          <cell r="D4924" t="str">
            <v>SRV MANUTENCAO EQUIP COMBATE A INCENDIO</v>
          </cell>
          <cell r="E4924" t="str">
            <v>G</v>
          </cell>
        </row>
        <row r="4925">
          <cell r="C4925">
            <v>3004904</v>
          </cell>
          <cell r="D4925" t="str">
            <v>SRV MANUTENÃ‡ÃƒO EQUIP COMBATE A INCÃŠND</v>
          </cell>
          <cell r="E4925" t="str">
            <v>H</v>
          </cell>
        </row>
        <row r="4926">
          <cell r="C4926">
            <v>3004905</v>
          </cell>
          <cell r="D4926" t="str">
            <v>FIRE FIGHTING EQUIP MAINTEN SERV</v>
          </cell>
          <cell r="E4926" t="str">
            <v>KG</v>
          </cell>
        </row>
        <row r="4927">
          <cell r="C4927">
            <v>3004906</v>
          </cell>
          <cell r="D4927" t="str">
            <v>SRV MANUTENCAO EQUIP COMBATE A INCENDIO</v>
          </cell>
          <cell r="E4927" t="str">
            <v>KMS</v>
          </cell>
        </row>
        <row r="4928">
          <cell r="C4928">
            <v>3004907</v>
          </cell>
          <cell r="D4928" t="str">
            <v>SRV MANUTENCAO EQUIP COMBATE A INCENDIO</v>
          </cell>
          <cell r="E4928" t="str">
            <v>L</v>
          </cell>
        </row>
        <row r="4929">
          <cell r="C4929">
            <v>3004908</v>
          </cell>
          <cell r="D4929" t="str">
            <v>SRV MANUTENCAO EQUIP COMBATE A INCENDIO</v>
          </cell>
          <cell r="E4929" t="str">
            <v>M</v>
          </cell>
        </row>
        <row r="4930">
          <cell r="C4930">
            <v>3004909</v>
          </cell>
          <cell r="D4930" t="str">
            <v>SRV MANUTENCAO EQUIP COMBATE A INCENDIO</v>
          </cell>
          <cell r="E4930" t="str">
            <v>M2</v>
          </cell>
        </row>
        <row r="4931">
          <cell r="C4931">
            <v>3004910</v>
          </cell>
          <cell r="D4931" t="str">
            <v>SRV MANUTENCAO EQUIP COMBATE A INCENDIO</v>
          </cell>
          <cell r="E4931" t="str">
            <v>M3</v>
          </cell>
        </row>
        <row r="4932">
          <cell r="C4932">
            <v>3004911</v>
          </cell>
          <cell r="D4932" t="str">
            <v>SRV MANUTENCAO EQUIP COMBATE A INCENDIO</v>
          </cell>
          <cell r="E4932" t="str">
            <v>MES</v>
          </cell>
        </row>
        <row r="4933">
          <cell r="C4933">
            <v>3004912</v>
          </cell>
          <cell r="D4933" t="str">
            <v>SRV MANUTENÃ‡ÃƒO EQUIP COMBATE A INCÃŠND</v>
          </cell>
          <cell r="E4933" t="str">
            <v>PC</v>
          </cell>
        </row>
        <row r="4934">
          <cell r="C4934">
            <v>3004913</v>
          </cell>
          <cell r="D4934" t="str">
            <v>MANUT CONSERV MAQS,EQUIPS MOV,PC,MOTORES</v>
          </cell>
          <cell r="E4934" t="str">
            <v>SV</v>
          </cell>
        </row>
        <row r="4935">
          <cell r="C4935">
            <v>3004914</v>
          </cell>
          <cell r="D4935" t="str">
            <v>SRV MANUTENÃ‡ÃƒO EQUIP COMBATE A INCÃŠND</v>
          </cell>
          <cell r="E4935" t="str">
            <v>UN</v>
          </cell>
        </row>
        <row r="4936">
          <cell r="C4936">
            <v>3004915</v>
          </cell>
          <cell r="D4936" t="str">
            <v>SRV MANUTENÇÃO EQUIPAMENTO AUDIO-VISUAL</v>
          </cell>
          <cell r="E4936" t="str">
            <v>UN</v>
          </cell>
        </row>
        <row r="4937">
          <cell r="C4937">
            <v>3004916</v>
          </cell>
          <cell r="D4937" t="str">
            <v>SRV MANUTENÇÃO INSTRUMENTO LABORATÓRIO</v>
          </cell>
          <cell r="E4937" t="str">
            <v>DIA</v>
          </cell>
        </row>
        <row r="4938">
          <cell r="C4938">
            <v>3004917</v>
          </cell>
          <cell r="D4938" t="str">
            <v>SRV MANUTENÇÃO INSTRUMENTO LABORATÓRIO</v>
          </cell>
          <cell r="E4938" t="str">
            <v>G</v>
          </cell>
        </row>
        <row r="4939">
          <cell r="C4939">
            <v>3004918</v>
          </cell>
          <cell r="D4939" t="str">
            <v>SRV MANUTENÇÃO INSTRUMENTO LABORATÓRIO</v>
          </cell>
          <cell r="E4939" t="str">
            <v>H</v>
          </cell>
        </row>
        <row r="4940">
          <cell r="C4940">
            <v>3004919</v>
          </cell>
          <cell r="D4940" t="str">
            <v>SRV MANUTENÇÃO INSTRUNENTO LABORATÓRIO</v>
          </cell>
          <cell r="E4940" t="str">
            <v>JG</v>
          </cell>
        </row>
        <row r="4941">
          <cell r="C4941">
            <v>3004920</v>
          </cell>
          <cell r="D4941" t="str">
            <v>SRV MANUTENÇÃO INSTRUMENTO LABORATÓRIO</v>
          </cell>
          <cell r="E4941" t="str">
            <v>MES</v>
          </cell>
        </row>
        <row r="4942">
          <cell r="C4942">
            <v>3004921</v>
          </cell>
          <cell r="D4942" t="str">
            <v>SRV MANUTENÇÃO INSTRUMENTO LABORATÓRIO</v>
          </cell>
          <cell r="E4942" t="str">
            <v>PC</v>
          </cell>
        </row>
        <row r="4943">
          <cell r="C4943">
            <v>3004922</v>
          </cell>
          <cell r="D4943" t="str">
            <v>MANUT CONSERV MAQS,EQUIPS MOV,PC,MOTORES</v>
          </cell>
          <cell r="E4943" t="str">
            <v>SV</v>
          </cell>
        </row>
        <row r="4944">
          <cell r="C4944">
            <v>3004923</v>
          </cell>
          <cell r="D4944" t="str">
            <v>SRV MANUTENÇÃO INSTRUMENTO LABORATÓRIO</v>
          </cell>
          <cell r="E4944" t="str">
            <v>UN</v>
          </cell>
        </row>
        <row r="4945">
          <cell r="C4945">
            <v>3004924</v>
          </cell>
          <cell r="D4945" t="str">
            <v>SRV MANUTENÇÃO SISTEMA DE DESPOEIRAMENTO</v>
          </cell>
          <cell r="E4945" t="str">
            <v>H</v>
          </cell>
        </row>
        <row r="4946">
          <cell r="C4946">
            <v>3004925</v>
          </cell>
          <cell r="D4946" t="str">
            <v>SRV MANUTENÇÃO SISTEMA DE DESPOEIRAMENTO</v>
          </cell>
          <cell r="E4946" t="str">
            <v>JG</v>
          </cell>
        </row>
        <row r="4947">
          <cell r="C4947">
            <v>3004926</v>
          </cell>
          <cell r="D4947" t="str">
            <v>SRV MANUTENÇÃO SISTEMA DE DESPOEIRAMENTO</v>
          </cell>
          <cell r="E4947" t="str">
            <v>M</v>
          </cell>
        </row>
        <row r="4948">
          <cell r="C4948">
            <v>3004927</v>
          </cell>
          <cell r="D4948" t="str">
            <v>SRV MANUTENÇÃO SISTEMA DE DESPOEIRAMENTO</v>
          </cell>
          <cell r="E4948" t="str">
            <v>M2</v>
          </cell>
        </row>
        <row r="4949">
          <cell r="C4949">
            <v>3004928</v>
          </cell>
          <cell r="D4949" t="str">
            <v>SRV MANUTENÇÃO SISTEMA DE DESPOEIRAMENTO</v>
          </cell>
          <cell r="E4949" t="str">
            <v>MES</v>
          </cell>
        </row>
        <row r="4950">
          <cell r="C4950">
            <v>3004929</v>
          </cell>
          <cell r="D4950" t="str">
            <v>SRV MANUTENÇÃO SISTEMA DE DESPOEIRAMENTO</v>
          </cell>
          <cell r="E4950" t="str">
            <v>PC</v>
          </cell>
        </row>
        <row r="4951">
          <cell r="C4951">
            <v>3004930</v>
          </cell>
          <cell r="D4951" t="str">
            <v>MANUT CONSERV MAQS,EQUIPS MOV,PC,MOTORES</v>
          </cell>
          <cell r="E4951" t="str">
            <v>SV</v>
          </cell>
        </row>
        <row r="4952">
          <cell r="C4952">
            <v>3004931</v>
          </cell>
          <cell r="D4952" t="str">
            <v>SRV MANUTENÇÃO SISTEMA DE DESPOEIRAMENTO</v>
          </cell>
          <cell r="E4952" t="str">
            <v>UN</v>
          </cell>
        </row>
        <row r="4953">
          <cell r="C4953">
            <v>3004932</v>
          </cell>
          <cell r="D4953" t="str">
            <v>INSTAL,MONT DE PROD,PC,EQUIPS DE OBRAS</v>
          </cell>
          <cell r="E4953" t="str">
            <v>SV</v>
          </cell>
        </row>
        <row r="4954">
          <cell r="C4954">
            <v>3004933</v>
          </cell>
          <cell r="D4954" t="str">
            <v>SRV MONT DE EDIF INDUSTRIAIS PRÉ FABR</v>
          </cell>
          <cell r="E4954" t="str">
            <v>UN</v>
          </cell>
        </row>
        <row r="4955">
          <cell r="C4955">
            <v>3004934</v>
          </cell>
          <cell r="D4955" t="str">
            <v>INSTAL,MONT DE PROD,PC,EQUIPS DE OBRAS</v>
          </cell>
          <cell r="E4955" t="str">
            <v>SV</v>
          </cell>
        </row>
        <row r="4956">
          <cell r="C4956">
            <v>3004935</v>
          </cell>
          <cell r="D4956" t="str">
            <v>SRV MONT DE VIR VG; MAQ PT; TRANSP</v>
          </cell>
          <cell r="E4956" t="str">
            <v>UN</v>
          </cell>
        </row>
        <row r="4957">
          <cell r="C4957">
            <v>3004936</v>
          </cell>
          <cell r="D4957" t="str">
            <v>SRV MONT E DESMONT DE PAINEL E DIVISORIA</v>
          </cell>
          <cell r="E4957" t="str">
            <v>KG</v>
          </cell>
        </row>
        <row r="4958">
          <cell r="C4958">
            <v>3004937</v>
          </cell>
          <cell r="D4958" t="str">
            <v>SRV MONT E DESMONT DE PAINEL E DIVISORIA</v>
          </cell>
          <cell r="E4958" t="str">
            <v>M</v>
          </cell>
        </row>
        <row r="4959">
          <cell r="C4959">
            <v>3004938</v>
          </cell>
          <cell r="D4959" t="str">
            <v>SRV MONT E DESMONT DE PAINEL E DIVISORIA</v>
          </cell>
          <cell r="E4959" t="str">
            <v>M2</v>
          </cell>
        </row>
        <row r="4960">
          <cell r="C4960">
            <v>3004939</v>
          </cell>
          <cell r="D4960" t="str">
            <v>SRV MONT E DESMONT DE PAINEL E DIVISORIA</v>
          </cell>
          <cell r="E4960" t="str">
            <v>M3</v>
          </cell>
        </row>
        <row r="4961">
          <cell r="C4961">
            <v>3004940</v>
          </cell>
          <cell r="D4961" t="str">
            <v>INSTAL,MONT DE PROD,PC,EQUIPS DE OBRAS</v>
          </cell>
          <cell r="E4961" t="str">
            <v>SV</v>
          </cell>
        </row>
        <row r="4962">
          <cell r="C4962">
            <v>3004941</v>
          </cell>
          <cell r="D4962" t="str">
            <v>SRV MONT E DESMONT DE PAINEL E DIVISORIA</v>
          </cell>
          <cell r="E4962" t="str">
            <v>UN</v>
          </cell>
        </row>
        <row r="4963">
          <cell r="C4963">
            <v>3004942</v>
          </cell>
          <cell r="D4963" t="str">
            <v>SRV MONT NOVOS EDIF COMERC-ESCR PRÃ‰ FAB</v>
          </cell>
          <cell r="E4963" t="str">
            <v>DIA</v>
          </cell>
        </row>
        <row r="4964">
          <cell r="C4964">
            <v>3004943</v>
          </cell>
          <cell r="D4964" t="str">
            <v>SRV MONT NOVOS EDIF COMERC-ESCR PRÉ FABR</v>
          </cell>
          <cell r="E4964" t="str">
            <v>H</v>
          </cell>
        </row>
        <row r="4965">
          <cell r="C4965">
            <v>3004944</v>
          </cell>
          <cell r="D4965" t="str">
            <v>INSTAL,MONT DE PROD,PC,EQUIPS DE OBRAS</v>
          </cell>
          <cell r="E4965" t="str">
            <v>SV</v>
          </cell>
        </row>
        <row r="4966">
          <cell r="C4966">
            <v>3004945</v>
          </cell>
          <cell r="D4966" t="str">
            <v>SRV MONT NOVOS EDIF COMERC-ESCR PRÉ FABR</v>
          </cell>
          <cell r="E4966" t="str">
            <v>KG</v>
          </cell>
        </row>
        <row r="4967">
          <cell r="C4967">
            <v>3004946</v>
          </cell>
          <cell r="D4967" t="str">
            <v>SRV MONT NOVOS EDIF COMERC-ESCR PRÉ FABR</v>
          </cell>
          <cell r="E4967" t="str">
            <v>M</v>
          </cell>
        </row>
        <row r="4968">
          <cell r="C4968">
            <v>3004947</v>
          </cell>
          <cell r="D4968" t="str">
            <v>SRV MONT NOVOS EDIF COMERC-ESCR PRÉ FABR</v>
          </cell>
          <cell r="E4968" t="str">
            <v>M2</v>
          </cell>
        </row>
        <row r="4969">
          <cell r="C4969">
            <v>3004948</v>
          </cell>
          <cell r="D4969" t="str">
            <v>SRV MONT NOVOS EDIF COMERC-ESCR PRÉ FABR</v>
          </cell>
          <cell r="E4969" t="str">
            <v>M3</v>
          </cell>
        </row>
        <row r="4970">
          <cell r="C4970">
            <v>3004949</v>
          </cell>
          <cell r="D4970" t="str">
            <v>INSTAL,MONT DE PROD,PC,EQUIPS DE OBRAS</v>
          </cell>
          <cell r="E4970" t="str">
            <v>SV</v>
          </cell>
        </row>
        <row r="4971">
          <cell r="C4971">
            <v>3004950</v>
          </cell>
          <cell r="D4971" t="str">
            <v>SRV MONT NOVOS EDIF COMERC-ESCR PRÉ FABR</v>
          </cell>
          <cell r="E4971" t="str">
            <v>PC</v>
          </cell>
        </row>
        <row r="4972">
          <cell r="C4972">
            <v>3004951</v>
          </cell>
          <cell r="D4972" t="str">
            <v>SRV MONT NOVOS EDIF COMERC-ESCR PRÃ‰ FAB</v>
          </cell>
          <cell r="E4972" t="str">
            <v>SV</v>
          </cell>
        </row>
        <row r="4973">
          <cell r="C4973">
            <v>3004952</v>
          </cell>
          <cell r="D4973" t="str">
            <v>SRV MONT NOVOS EDIF COMERC-ESCR PRÃ‰ FAB</v>
          </cell>
          <cell r="E4973" t="str">
            <v>UN</v>
          </cell>
        </row>
        <row r="4974">
          <cell r="C4974">
            <v>3004953</v>
          </cell>
          <cell r="D4974" t="str">
            <v>SRV MONTAGEM ELETROMECÂNICA GRANDE PORTE</v>
          </cell>
          <cell r="E4974" t="str">
            <v>H</v>
          </cell>
        </row>
        <row r="4975">
          <cell r="C4975">
            <v>3004954</v>
          </cell>
          <cell r="D4975" t="str">
            <v>SRV MONTAGEM ELETROMECÂNICA GRANDE PORTE</v>
          </cell>
          <cell r="E4975" t="str">
            <v>KG</v>
          </cell>
        </row>
        <row r="4976">
          <cell r="C4976">
            <v>3004955</v>
          </cell>
          <cell r="D4976" t="str">
            <v>INSTAL E MONT DE APARELHOS,MAQS E EQUIPS</v>
          </cell>
          <cell r="E4976" t="str">
            <v>SV</v>
          </cell>
        </row>
        <row r="4977">
          <cell r="C4977">
            <v>3004956</v>
          </cell>
          <cell r="D4977" t="str">
            <v>SRV MONTAGEM ELETROMECÂNICA GRANDE PORTE</v>
          </cell>
          <cell r="E4977" t="str">
            <v>M</v>
          </cell>
        </row>
        <row r="4978">
          <cell r="C4978">
            <v>3004957</v>
          </cell>
          <cell r="D4978" t="str">
            <v>SRV MONTAGEM ELETROMECÂNICA GRANDE PORTE</v>
          </cell>
          <cell r="E4978" t="str">
            <v>M2</v>
          </cell>
        </row>
        <row r="4979">
          <cell r="C4979">
            <v>3004958</v>
          </cell>
          <cell r="D4979" t="str">
            <v>SRV MONTAGEM ELETROMECÂNICA GRANDE PORTE</v>
          </cell>
          <cell r="E4979" t="str">
            <v>M3</v>
          </cell>
        </row>
        <row r="4980">
          <cell r="C4980">
            <v>3004959</v>
          </cell>
          <cell r="D4980" t="str">
            <v>INSTAL E MONT DE APARELHOS,MAQS E EQUIPS</v>
          </cell>
          <cell r="E4980" t="str">
            <v>SV</v>
          </cell>
        </row>
        <row r="4981">
          <cell r="C4981">
            <v>3004960</v>
          </cell>
          <cell r="D4981" t="str">
            <v>SRV MONTAGEM ELETROMECÂNICA GRANDE PORTE</v>
          </cell>
          <cell r="E4981" t="str">
            <v>UN</v>
          </cell>
        </row>
        <row r="4982">
          <cell r="C4982">
            <v>3004961</v>
          </cell>
          <cell r="D4982" t="str">
            <v>SRV MONTAGEM ELETROMECÂNICA MÉDIO PORTE</v>
          </cell>
          <cell r="E4982" t="str">
            <v>H</v>
          </cell>
        </row>
        <row r="4983">
          <cell r="C4983">
            <v>3004962</v>
          </cell>
          <cell r="D4983" t="str">
            <v>SRV MONTAGEM ELETROMECÂNICA MÉDIO PORTE</v>
          </cell>
          <cell r="E4983" t="str">
            <v>KG</v>
          </cell>
        </row>
        <row r="4984">
          <cell r="C4984">
            <v>3004963</v>
          </cell>
          <cell r="D4984" t="str">
            <v>SRV MONTAGEM ELETROMECÂNICA MÉDIO PORTE</v>
          </cell>
          <cell r="E4984" t="str">
            <v>KMS</v>
          </cell>
        </row>
        <row r="4985">
          <cell r="C4985">
            <v>3004964</v>
          </cell>
          <cell r="D4985" t="str">
            <v>SRV MONTAGEM ELETROMECÂNICA MÉDIO PORTE</v>
          </cell>
          <cell r="E4985" t="str">
            <v>M</v>
          </cell>
        </row>
        <row r="4986">
          <cell r="C4986">
            <v>3004965</v>
          </cell>
          <cell r="D4986" t="str">
            <v>SRV MONTAGEM ELETROMECÂNICA MÉDIO PORTE</v>
          </cell>
          <cell r="E4986" t="str">
            <v>M2</v>
          </cell>
        </row>
        <row r="4987">
          <cell r="C4987">
            <v>3004966</v>
          </cell>
          <cell r="D4987" t="str">
            <v>SRV MONTAGEM ELETROMECÂNICA MÉDIO PORTE</v>
          </cell>
          <cell r="E4987" t="str">
            <v>PC</v>
          </cell>
        </row>
        <row r="4988">
          <cell r="C4988">
            <v>3004967</v>
          </cell>
          <cell r="D4988" t="str">
            <v>SRV MONTAGEM ELETROMECÂNICA MÉDIO PORTE</v>
          </cell>
          <cell r="E4988" t="str">
            <v>SV</v>
          </cell>
        </row>
        <row r="4989">
          <cell r="C4989">
            <v>3004968</v>
          </cell>
          <cell r="D4989" t="str">
            <v>SRV MONTAGEM ELETROMECÂNICA MÉDIO PORTE</v>
          </cell>
          <cell r="E4989" t="str">
            <v>UN</v>
          </cell>
        </row>
        <row r="4990">
          <cell r="C4990">
            <v>3004969</v>
          </cell>
          <cell r="D4990" t="str">
            <v>SRV MONTAGEM ELETROMECÂNICA PEQ PORTE</v>
          </cell>
          <cell r="E4990" t="str">
            <v>H</v>
          </cell>
        </row>
        <row r="4991">
          <cell r="C4991">
            <v>3004970</v>
          </cell>
          <cell r="D4991" t="str">
            <v>SRV MONTAGEM ELETROMECÂNICA PEQ PORTE</v>
          </cell>
          <cell r="E4991" t="str">
            <v>KG</v>
          </cell>
        </row>
        <row r="4992">
          <cell r="C4992">
            <v>3004971</v>
          </cell>
          <cell r="D4992" t="str">
            <v>SRV MONTAGEM ELETROMECÂNICA PEQ PORTE</v>
          </cell>
          <cell r="E4992" t="str">
            <v>KMS</v>
          </cell>
        </row>
        <row r="4993">
          <cell r="C4993">
            <v>3004972</v>
          </cell>
          <cell r="D4993" t="str">
            <v>SRV MONTAGEM ELETROMECÂNICA PEQ PORTE</v>
          </cell>
          <cell r="E4993" t="str">
            <v>M</v>
          </cell>
        </row>
        <row r="4994">
          <cell r="C4994">
            <v>3004973</v>
          </cell>
          <cell r="D4994" t="str">
            <v>SRV MONTAGEM ELETROMECÂNICA PEQ PORTE</v>
          </cell>
          <cell r="E4994" t="str">
            <v>M2</v>
          </cell>
        </row>
        <row r="4995">
          <cell r="C4995">
            <v>3004974</v>
          </cell>
          <cell r="D4995" t="str">
            <v>SRV MONTAGEM ELETROMECÂNICA PEQ PORTE</v>
          </cell>
          <cell r="E4995" t="str">
            <v>SV</v>
          </cell>
        </row>
        <row r="4996">
          <cell r="C4996">
            <v>3004975</v>
          </cell>
          <cell r="D4996" t="str">
            <v>SRV MONTAGEM ELETROMECÂNICA PEQ PORTE</v>
          </cell>
          <cell r="E4996" t="str">
            <v>UN</v>
          </cell>
        </row>
        <row r="4997">
          <cell r="C4997">
            <v>3004976</v>
          </cell>
          <cell r="D4997" t="str">
            <v>SRV MOV CARGA NA RETRO-ÁREA PORTOS PRIV</v>
          </cell>
          <cell r="E4997" t="str">
            <v>TO</v>
          </cell>
        </row>
        <row r="4998">
          <cell r="C4998">
            <v>3004977</v>
          </cell>
          <cell r="D4998" t="str">
            <v>SRV MOV CARGA NA RETRO-ÁREA PORTOS PRIV</v>
          </cell>
          <cell r="E4998" t="str">
            <v>UN</v>
          </cell>
        </row>
        <row r="4999">
          <cell r="C4999">
            <v>3004978</v>
          </cell>
          <cell r="D4999" t="str">
            <v>SRV MOV CARGA NA RETRO-ÁREA PORTOS PUB</v>
          </cell>
          <cell r="E4999" t="str">
            <v>CT</v>
          </cell>
        </row>
        <row r="5000">
          <cell r="C5000">
            <v>3004979</v>
          </cell>
          <cell r="D5000" t="str">
            <v>SRV MOV CARGA NA RETRO-ÁREA PORTOS PUB</v>
          </cell>
          <cell r="E5000" t="str">
            <v>SV</v>
          </cell>
        </row>
        <row r="5001">
          <cell r="C5001">
            <v>3004980</v>
          </cell>
          <cell r="D5001" t="str">
            <v>SRV MOV CARGA NA RETRO-ÁREA PORTOS PUB</v>
          </cell>
          <cell r="E5001" t="str">
            <v>TO</v>
          </cell>
        </row>
        <row r="5002">
          <cell r="C5002">
            <v>3004981</v>
          </cell>
          <cell r="D5002" t="str">
            <v>SRV MOV CARGA NA RETRO-ÁREA PORTOS PUB</v>
          </cell>
          <cell r="E5002" t="str">
            <v>UN</v>
          </cell>
        </row>
        <row r="5003">
          <cell r="C5003">
            <v>3004982</v>
          </cell>
          <cell r="D5003" t="str">
            <v>SRV MOV CARGA RETRO-ÁREA EADI E ARMAZÉNS</v>
          </cell>
          <cell r="E5003" t="str">
            <v>60</v>
          </cell>
        </row>
        <row r="5004">
          <cell r="C5004">
            <v>3004983</v>
          </cell>
          <cell r="D5004" t="str">
            <v>SRV MOV CARGA RETRO-ÁREA EADI E ARMAZÉNS</v>
          </cell>
          <cell r="E5004" t="str">
            <v>CT</v>
          </cell>
        </row>
        <row r="5005">
          <cell r="C5005">
            <v>3004984</v>
          </cell>
          <cell r="D5005" t="str">
            <v>SRV MOV CARGA RETRO-ÁREA EADI E ARMAZÉNS</v>
          </cell>
          <cell r="E5005" t="str">
            <v>SV</v>
          </cell>
        </row>
        <row r="5006">
          <cell r="C5006">
            <v>3004985</v>
          </cell>
          <cell r="D5006" t="str">
            <v>SRV MOV CARGA RETRO-ÁREA EADI E ARMAZÉNS</v>
          </cell>
          <cell r="E5006" t="str">
            <v>TO</v>
          </cell>
        </row>
        <row r="5007">
          <cell r="C5007">
            <v>3004986</v>
          </cell>
          <cell r="D5007" t="str">
            <v>SRV MOV CARGA RETRO-ÁREA EADI E ARMAZÉNS</v>
          </cell>
          <cell r="E5007" t="str">
            <v>UN</v>
          </cell>
        </row>
        <row r="5008">
          <cell r="C5008">
            <v>3004987</v>
          </cell>
          <cell r="D5008" t="str">
            <v>SRV MOV COSTADO ATÉ RETRO-ÁREA PORTO PUB</v>
          </cell>
          <cell r="E5008" t="str">
            <v>H</v>
          </cell>
        </row>
        <row r="5009">
          <cell r="C5009">
            <v>3004988</v>
          </cell>
          <cell r="D5009" t="str">
            <v>SRV MOV COSTADO ATÉ RETRO-ÁREA PORTO PUB</v>
          </cell>
          <cell r="E5009" t="str">
            <v>UN</v>
          </cell>
        </row>
        <row r="5010">
          <cell r="C5010">
            <v>3004989</v>
          </cell>
          <cell r="D5010" t="str">
            <v>SRV MOV COSTADO P RETRO-ÁREA PORTO PRIV</v>
          </cell>
          <cell r="E5010" t="str">
            <v>UN</v>
          </cell>
        </row>
        <row r="5011">
          <cell r="C5011">
            <v>3004990</v>
          </cell>
          <cell r="D5011" t="str">
            <v>SRV MOV INTERNA EQUIP FORA ESTRADA</v>
          </cell>
          <cell r="E5011" t="str">
            <v>UN</v>
          </cell>
        </row>
        <row r="5012">
          <cell r="C5012">
            <v>3004991</v>
          </cell>
          <cell r="D5012" t="str">
            <v>SRV MOVIMENTAÇÃO DE PASSAGEIRO AEROPORTO</v>
          </cell>
          <cell r="E5012" t="str">
            <v>MES</v>
          </cell>
        </row>
        <row r="5013">
          <cell r="C5013">
            <v>3004992</v>
          </cell>
          <cell r="D5013" t="str">
            <v>SRV MOVIMENTAÇÃO DE PASSAGEIRO AEROPORTO</v>
          </cell>
          <cell r="E5013" t="str">
            <v>UN</v>
          </cell>
        </row>
        <row r="5014">
          <cell r="C5014">
            <v>3004993</v>
          </cell>
          <cell r="D5014" t="str">
            <v>SRV MOVIMENTAÇÃO DE PASSAGEIROS FERROVIA</v>
          </cell>
          <cell r="E5014" t="str">
            <v>UN</v>
          </cell>
        </row>
        <row r="5015">
          <cell r="C5015">
            <v>3004994</v>
          </cell>
          <cell r="D5015" t="str">
            <v>SRV MOVIMENTAÇÃO DE PASSAGEIROS PORTOS</v>
          </cell>
          <cell r="E5015" t="str">
            <v>UN</v>
          </cell>
        </row>
        <row r="5016">
          <cell r="C5016">
            <v>3004995</v>
          </cell>
          <cell r="D5016" t="str">
            <v>SRV MOVIMENTAÇÃO MERCADORIA METROVIÁRIO</v>
          </cell>
          <cell r="E5016" t="str">
            <v>UN</v>
          </cell>
        </row>
        <row r="5017">
          <cell r="C5017">
            <v>3004996</v>
          </cell>
          <cell r="D5017" t="str">
            <v>SRV MOVIMENTAÇÃO MERCADORIA RODOVIÁRIO</v>
          </cell>
          <cell r="E5017" t="str">
            <v>UN</v>
          </cell>
        </row>
        <row r="5018">
          <cell r="C5018">
            <v>3004997</v>
          </cell>
          <cell r="D5018" t="str">
            <v>SRV MOVIMENTAÇÃO PASSAGEIROS METROVIÁRIO</v>
          </cell>
          <cell r="E5018" t="str">
            <v>UN</v>
          </cell>
        </row>
        <row r="5019">
          <cell r="C5019">
            <v>3004998</v>
          </cell>
          <cell r="D5019" t="str">
            <v>SRV OPERAÇÃO CÂMBIO;SIMILARES</v>
          </cell>
          <cell r="E5019" t="str">
            <v>UN</v>
          </cell>
        </row>
        <row r="5020">
          <cell r="C5020">
            <v>3004999</v>
          </cell>
          <cell r="D5020" t="str">
            <v>SRV OPERACAO EQUIP FORA ESTRADA</v>
          </cell>
          <cell r="E5020" t="str">
            <v>DIA</v>
          </cell>
        </row>
        <row r="5021">
          <cell r="C5021">
            <v>3005000</v>
          </cell>
          <cell r="D5021" t="str">
            <v>SRV OPERACAO EQUIP FORA ESTRADA</v>
          </cell>
          <cell r="E5021" t="str">
            <v>H</v>
          </cell>
        </row>
        <row r="5022">
          <cell r="C5022">
            <v>3005001</v>
          </cell>
          <cell r="D5022" t="str">
            <v>SRV OPERACAO EQUIP FORA ESTRADA</v>
          </cell>
          <cell r="E5022" t="str">
            <v>MES</v>
          </cell>
        </row>
        <row r="5023">
          <cell r="C5023">
            <v>3005002</v>
          </cell>
          <cell r="D5023" t="str">
            <v>OPER, FORNEC DE MAO-DE-OBRA OU OUTSOURC</v>
          </cell>
          <cell r="E5023" t="str">
            <v>SV</v>
          </cell>
        </row>
        <row r="5024">
          <cell r="C5024">
            <v>3005003</v>
          </cell>
          <cell r="D5024" t="str">
            <v>SRV OPERACAO EQUIP FORA ESTRADA</v>
          </cell>
          <cell r="E5024" t="str">
            <v>UN</v>
          </cell>
        </row>
        <row r="5025">
          <cell r="C5025">
            <v>3005004</v>
          </cell>
          <cell r="D5025" t="str">
            <v>SRV DE OURIVESARIA E LAPIDACAO</v>
          </cell>
          <cell r="E5025" t="str">
            <v>SV</v>
          </cell>
        </row>
        <row r="5026">
          <cell r="C5026">
            <v>3005005</v>
          </cell>
          <cell r="D5026" t="str">
            <v>SRV PAVIMENTAÇÃO DE RODOVIAS E ESTRADAS</v>
          </cell>
          <cell r="E5026" t="str">
            <v>H</v>
          </cell>
        </row>
        <row r="5027">
          <cell r="C5027">
            <v>3005006</v>
          </cell>
          <cell r="D5027" t="str">
            <v>SRV PAVIMENTAÇÃO DE RODOVIAS E ESTRADAS</v>
          </cell>
          <cell r="E5027" t="str">
            <v>KG</v>
          </cell>
        </row>
        <row r="5028">
          <cell r="C5028">
            <v>3005007</v>
          </cell>
          <cell r="D5028" t="str">
            <v>SRV PAVIMENTAÇÃO DE RODOVIAS E ESTRADAS</v>
          </cell>
          <cell r="E5028" t="str">
            <v>M</v>
          </cell>
        </row>
        <row r="5029">
          <cell r="C5029">
            <v>3005008</v>
          </cell>
          <cell r="D5029" t="str">
            <v>SRV PAVIMENTAÇÃO DE RODOVIAS E ESTRADAS</v>
          </cell>
          <cell r="E5029" t="str">
            <v>M2</v>
          </cell>
        </row>
        <row r="5030">
          <cell r="C5030">
            <v>3005009</v>
          </cell>
          <cell r="D5030" t="str">
            <v>SRV PAVIMENTAÇÃO DE RODOVIAS E ESTRADAS</v>
          </cell>
          <cell r="E5030" t="str">
            <v>M3</v>
          </cell>
        </row>
        <row r="5031">
          <cell r="C5031">
            <v>3005010</v>
          </cell>
          <cell r="D5031" t="str">
            <v>SRV PAVIMENTAÇÃO DE RODOVIAS E ESTRADAS</v>
          </cell>
          <cell r="E5031" t="str">
            <v>SV</v>
          </cell>
        </row>
        <row r="5032">
          <cell r="C5032">
            <v>3005011</v>
          </cell>
          <cell r="D5032" t="str">
            <v>SRV PAVIMENTAÇÃO DE RODOVIAS E ESTRADAS</v>
          </cell>
          <cell r="E5032" t="str">
            <v>TO</v>
          </cell>
        </row>
        <row r="5033">
          <cell r="C5033">
            <v>3005012</v>
          </cell>
          <cell r="D5033" t="str">
            <v>SRV PAVIMENTAÇÃO DE RODOVIAS E ESTRADAS</v>
          </cell>
          <cell r="E5033" t="str">
            <v>UN</v>
          </cell>
        </row>
        <row r="5034">
          <cell r="C5034">
            <v>3005013</v>
          </cell>
          <cell r="D5034" t="str">
            <v>SRV PESQUISAS E DESENVOLVIMENTO</v>
          </cell>
          <cell r="E5034" t="str">
            <v>DIA</v>
          </cell>
        </row>
        <row r="5035">
          <cell r="C5035">
            <v>3005014</v>
          </cell>
          <cell r="D5035" t="str">
            <v>SRV PESQUISAS E DESENVOLVIMENTO</v>
          </cell>
          <cell r="E5035" t="str">
            <v>H</v>
          </cell>
        </row>
        <row r="5036">
          <cell r="C5036">
            <v>3005015</v>
          </cell>
          <cell r="D5036" t="str">
            <v>SRV PESQUISAS E DESENVOLVIMENTO</v>
          </cell>
          <cell r="E5036" t="str">
            <v>HA</v>
          </cell>
        </row>
        <row r="5037">
          <cell r="C5037">
            <v>3005016</v>
          </cell>
          <cell r="D5037" t="str">
            <v>SRV PESQUISAS E DESENVOLVIMENTO</v>
          </cell>
          <cell r="E5037" t="str">
            <v>MES</v>
          </cell>
        </row>
        <row r="5038">
          <cell r="C5038">
            <v>3005017</v>
          </cell>
          <cell r="D5038" t="str">
            <v>SRV PESQUISAS E DESENVOLVIMENTO</v>
          </cell>
          <cell r="E5038" t="str">
            <v>SV</v>
          </cell>
        </row>
        <row r="5039">
          <cell r="C5039">
            <v>3005018</v>
          </cell>
          <cell r="D5039" t="str">
            <v>SRV PESQUISAS E DESENVOLVIMENTO</v>
          </cell>
          <cell r="E5039" t="str">
            <v>UN</v>
          </cell>
        </row>
        <row r="5040">
          <cell r="C5040">
            <v>3005019</v>
          </cell>
          <cell r="D5040" t="str">
            <v>PLANEJAMENTO ESTRATEGICO</v>
          </cell>
          <cell r="E5040" t="str">
            <v>SV</v>
          </cell>
        </row>
        <row r="5041">
          <cell r="C5041">
            <v>3005020</v>
          </cell>
          <cell r="D5041" t="str">
            <v>SRV PLANEJ ESTRATÉGICO CONSERV FLORESTAL</v>
          </cell>
          <cell r="E5041" t="str">
            <v>UN</v>
          </cell>
        </row>
        <row r="5042">
          <cell r="C5042">
            <v>3005021</v>
          </cell>
          <cell r="D5042" t="str">
            <v>CONSULTORIA EM GERENCIAM,PROJ E PROGRAMA</v>
          </cell>
          <cell r="E5042" t="str">
            <v>UN</v>
          </cell>
        </row>
        <row r="5043">
          <cell r="C5043">
            <v>3005022</v>
          </cell>
          <cell r="D5043" t="str">
            <v>SRV PROG;COMUNIC VISUAL;DESENHO INDUST</v>
          </cell>
          <cell r="E5043" t="str">
            <v>H</v>
          </cell>
        </row>
        <row r="5044">
          <cell r="C5044">
            <v>3005023</v>
          </cell>
          <cell r="D5044" t="str">
            <v>SRV DE PROGRCAO E COMUNIC VISUAL E CONG</v>
          </cell>
          <cell r="E5044" t="str">
            <v>SV</v>
          </cell>
        </row>
        <row r="5045">
          <cell r="C5045">
            <v>3005024</v>
          </cell>
          <cell r="D5045" t="str">
            <v>SRV PROG;COMUNIC VISUAL;DESENHO INDUST</v>
          </cell>
          <cell r="E5045" t="str">
            <v>UN</v>
          </cell>
        </row>
        <row r="5046">
          <cell r="C5046">
            <v>3005025</v>
          </cell>
          <cell r="D5046" t="str">
            <v>SRV REALOCAÇÃO DE PESSOAL</v>
          </cell>
          <cell r="E5046" t="str">
            <v>UN</v>
          </cell>
        </row>
        <row r="5047">
          <cell r="C5047">
            <v>3005026</v>
          </cell>
          <cell r="D5047" t="str">
            <v>REFOR EDIFICIOS,ESTRADAS,PONTES,PORTOS</v>
          </cell>
          <cell r="E5047" t="str">
            <v>SV</v>
          </cell>
        </row>
        <row r="5048">
          <cell r="C5048">
            <v>3005027</v>
          </cell>
          <cell r="D5048" t="str">
            <v>SRV RECAPEAMENTO DE RODOVIAS E ESTRADAS</v>
          </cell>
          <cell r="E5048" t="str">
            <v>UN</v>
          </cell>
        </row>
        <row r="5049">
          <cell r="C5049">
            <v>3005028</v>
          </cell>
          <cell r="D5049" t="str">
            <v>SRV RECONSTRUÇÃO DE BÁSCULAS E CAÇAMBAS</v>
          </cell>
          <cell r="E5049" t="str">
            <v>H</v>
          </cell>
        </row>
        <row r="5050">
          <cell r="C5050">
            <v>3005029</v>
          </cell>
          <cell r="D5050" t="str">
            <v>RESTAUR,PINT,CROMAG,BENEF,TING,GALV</v>
          </cell>
          <cell r="E5050" t="str">
            <v>SV</v>
          </cell>
        </row>
        <row r="5051">
          <cell r="C5051">
            <v>3005030</v>
          </cell>
          <cell r="D5051" t="str">
            <v>SRV RECONSTRUÇÃO DE BÁSCULAS E CAÇAMBAS</v>
          </cell>
          <cell r="E5051" t="str">
            <v>M</v>
          </cell>
        </row>
        <row r="5052">
          <cell r="C5052">
            <v>3005031</v>
          </cell>
          <cell r="D5052" t="str">
            <v>SRV RECONSTRUÇÃO DE BÁSCULAS E CAÇAMBAS</v>
          </cell>
          <cell r="E5052" t="str">
            <v>M2</v>
          </cell>
        </row>
        <row r="5053">
          <cell r="C5053">
            <v>3005032</v>
          </cell>
          <cell r="D5053" t="str">
            <v>SRV RECONSTRUÇÃO DE BÁSCULAS E CAÇAMBAS</v>
          </cell>
          <cell r="E5053" t="str">
            <v>PC</v>
          </cell>
        </row>
        <row r="5054">
          <cell r="C5054">
            <v>3005033</v>
          </cell>
          <cell r="D5054" t="str">
            <v>SRV RECONSTRUÇÃO DE BÁSCULAS E CAÇAMBAS</v>
          </cell>
          <cell r="E5054" t="str">
            <v>UN</v>
          </cell>
        </row>
        <row r="5055">
          <cell r="C5055">
            <v>3005034</v>
          </cell>
          <cell r="D5055" t="str">
            <v>SRV REFORMA E REBITOLAMENTO EQUIPAMENTOS</v>
          </cell>
          <cell r="E5055" t="str">
            <v>KG</v>
          </cell>
        </row>
        <row r="5056">
          <cell r="C5056">
            <v>3005035</v>
          </cell>
          <cell r="D5056" t="str">
            <v>CONSERT, REP, RESTAUR, REFOR E BLIND</v>
          </cell>
          <cell r="E5056" t="str">
            <v>SV</v>
          </cell>
        </row>
        <row r="5057">
          <cell r="C5057">
            <v>3005036</v>
          </cell>
          <cell r="D5057" t="str">
            <v>SRV REFORMA E REBITOLAMENTO EQUIPAMENTOS</v>
          </cell>
          <cell r="E5057" t="str">
            <v>PC</v>
          </cell>
        </row>
        <row r="5058">
          <cell r="C5058">
            <v>3005037</v>
          </cell>
          <cell r="D5058" t="str">
            <v>CONSERT, REP, RESTAUR, REFOR E BLIND</v>
          </cell>
          <cell r="E5058" t="str">
            <v>SV</v>
          </cell>
        </row>
        <row r="5059">
          <cell r="C5059">
            <v>3005038</v>
          </cell>
          <cell r="D5059" t="str">
            <v>SRV REFORMA E REBITOLAMENTO EQUIPAMENTOS</v>
          </cell>
          <cell r="E5059" t="str">
            <v>UN</v>
          </cell>
        </row>
        <row r="5060">
          <cell r="C5060">
            <v>3005039</v>
          </cell>
          <cell r="D5060" t="str">
            <v>SRV REGISTRO PUB;CARTORÁRIO E NOTARIAIS</v>
          </cell>
          <cell r="E5060" t="str">
            <v>SV</v>
          </cell>
        </row>
        <row r="5061">
          <cell r="C5061">
            <v>3005040</v>
          </cell>
          <cell r="D5061" t="str">
            <v>SRV REGISTRO PUB;CARTORÁRIO E NOTARIAIS</v>
          </cell>
          <cell r="E5061" t="str">
            <v>UN</v>
          </cell>
        </row>
        <row r="5062">
          <cell r="C5062">
            <v>3005041</v>
          </cell>
          <cell r="D5062" t="str">
            <v>SRV REGULAÇÃO;SINISTROS CONTRATO SEGURO</v>
          </cell>
          <cell r="E5062" t="str">
            <v>MES</v>
          </cell>
        </row>
        <row r="5063">
          <cell r="C5063">
            <v>3005042</v>
          </cell>
          <cell r="D5063" t="str">
            <v>SRV REGULAÇÃO;SINISTROS CONTRATO SEGURO</v>
          </cell>
          <cell r="E5063" t="str">
            <v>UN</v>
          </cell>
        </row>
        <row r="5064">
          <cell r="C5064">
            <v>3005043</v>
          </cell>
          <cell r="D5064" t="str">
            <v>SRV REGULAMENTORIAL ASSOCIAÇÃO E SIMILAR</v>
          </cell>
          <cell r="E5064" t="str">
            <v>UN</v>
          </cell>
        </row>
        <row r="5065">
          <cell r="C5065">
            <v>3005044</v>
          </cell>
          <cell r="D5065" t="str">
            <v>SRV REPARO PONTES - GRANDE PORTE</v>
          </cell>
          <cell r="E5065" t="str">
            <v>KG</v>
          </cell>
        </row>
        <row r="5066">
          <cell r="C5066">
            <v>3005045</v>
          </cell>
          <cell r="D5066" t="str">
            <v>SRV REPARO PONTES - GRANDE PORTE</v>
          </cell>
          <cell r="E5066" t="str">
            <v>M</v>
          </cell>
        </row>
        <row r="5067">
          <cell r="C5067">
            <v>3005046</v>
          </cell>
          <cell r="D5067" t="str">
            <v>SRV REPARO PONTES - GRANDE PORTE</v>
          </cell>
          <cell r="E5067" t="str">
            <v>M2</v>
          </cell>
        </row>
        <row r="5068">
          <cell r="C5068">
            <v>3005047</v>
          </cell>
          <cell r="D5068" t="str">
            <v>SRV REPARO PONTES - GRANDE PORTE</v>
          </cell>
          <cell r="E5068" t="str">
            <v>M3</v>
          </cell>
        </row>
        <row r="5069">
          <cell r="C5069">
            <v>3005048</v>
          </cell>
          <cell r="D5069" t="str">
            <v>REFOR EDIFICIOS,ESTRADAS,PONTES,PORTOS</v>
          </cell>
          <cell r="E5069" t="str">
            <v>SV</v>
          </cell>
        </row>
        <row r="5070">
          <cell r="C5070">
            <v>3005049</v>
          </cell>
          <cell r="D5070" t="str">
            <v>SRV REPARO PONTES - GRANDE PORTE</v>
          </cell>
          <cell r="E5070" t="str">
            <v>TO</v>
          </cell>
        </row>
        <row r="5071">
          <cell r="C5071">
            <v>3005050</v>
          </cell>
          <cell r="D5071" t="str">
            <v>SRV REPARO PONTES - GRANDE PORTE</v>
          </cell>
          <cell r="E5071" t="str">
            <v>UN</v>
          </cell>
        </row>
        <row r="5072">
          <cell r="C5072">
            <v>3005051</v>
          </cell>
          <cell r="D5072" t="str">
            <v>SRV REPARO VIADUTO - MÉDIO PORTE</v>
          </cell>
          <cell r="E5072" t="str">
            <v>UN</v>
          </cell>
        </row>
        <row r="5073">
          <cell r="C5073">
            <v>3005052</v>
          </cell>
          <cell r="D5073" t="str">
            <v>SRV REPARO PONTES - GRANDE PORTE</v>
          </cell>
          <cell r="E5073" t="str">
            <v>UN</v>
          </cell>
        </row>
        <row r="5074">
          <cell r="C5074">
            <v>3005053</v>
          </cell>
          <cell r="D5074" t="str">
            <v>SRV REPARO PONTES - PEQUENO PORTE</v>
          </cell>
          <cell r="E5074" t="str">
            <v>UN</v>
          </cell>
        </row>
        <row r="5075">
          <cell r="C5075">
            <v>3005054</v>
          </cell>
          <cell r="D5075" t="str">
            <v>SRV REPORTAGEM, JORNALISMO E REL PÚBLICA</v>
          </cell>
          <cell r="E5075" t="str">
            <v>UN</v>
          </cell>
        </row>
        <row r="5076">
          <cell r="C5076">
            <v>3005055</v>
          </cell>
          <cell r="D5076" t="str">
            <v>SRV REPORTAGEM, JORNALISMO, REL PÚBLICAS</v>
          </cell>
          <cell r="E5076" t="str">
            <v>ANO</v>
          </cell>
        </row>
        <row r="5077">
          <cell r="C5077">
            <v>3005056</v>
          </cell>
          <cell r="D5077" t="str">
            <v>SRV REPORT,ASSESS IMPRENSA,RELACOES PUB</v>
          </cell>
          <cell r="E5077" t="str">
            <v>SV</v>
          </cell>
        </row>
        <row r="5078">
          <cell r="C5078">
            <v>3005057</v>
          </cell>
          <cell r="D5078" t="str">
            <v>SRV REPORTAGEM, JORNALISMO, REL PÚBLICAS</v>
          </cell>
          <cell r="E5078" t="str">
            <v>UN</v>
          </cell>
        </row>
        <row r="5079">
          <cell r="C5079">
            <v>3005058</v>
          </cell>
          <cell r="D5079" t="str">
            <v>SRV REPROC OUTROS RESÍDUOS CLASSE II</v>
          </cell>
          <cell r="E5079" t="str">
            <v>H</v>
          </cell>
        </row>
        <row r="5080">
          <cell r="C5080">
            <v>3005059</v>
          </cell>
          <cell r="D5080" t="str">
            <v>SRV REPROC OUTROS RESÍDUOS CLASSE II</v>
          </cell>
          <cell r="E5080" t="str">
            <v>KG</v>
          </cell>
        </row>
        <row r="5081">
          <cell r="C5081">
            <v>3005060</v>
          </cell>
          <cell r="D5081" t="str">
            <v>SRV REPROC OUTROS RESÍDUOS CLASSE II</v>
          </cell>
          <cell r="E5081" t="str">
            <v>M3</v>
          </cell>
        </row>
        <row r="5082">
          <cell r="C5082">
            <v>3005061</v>
          </cell>
          <cell r="D5082" t="str">
            <v>SRV REPROC OUTROS RESÍDUOS CLASSE II</v>
          </cell>
          <cell r="E5082" t="str">
            <v>MES</v>
          </cell>
        </row>
        <row r="5083">
          <cell r="C5083">
            <v>3005062</v>
          </cell>
          <cell r="D5083" t="str">
            <v>SRV REPROC OUTROS RESÍDUOS CLASSE II</v>
          </cell>
          <cell r="E5083" t="str">
            <v>SEM</v>
          </cell>
        </row>
        <row r="5084">
          <cell r="C5084">
            <v>3005063</v>
          </cell>
          <cell r="D5084" t="str">
            <v>SRV REPROC OUTROS RESÍDUOS CLASSE II</v>
          </cell>
          <cell r="E5084" t="str">
            <v>SV</v>
          </cell>
        </row>
        <row r="5085">
          <cell r="C5085">
            <v>3005064</v>
          </cell>
          <cell r="D5085" t="str">
            <v>SRV REPROC OUTROS RESÍDUOS CLASSE II</v>
          </cell>
          <cell r="E5085" t="str">
            <v>TO</v>
          </cell>
        </row>
        <row r="5086">
          <cell r="C5086">
            <v>3005065</v>
          </cell>
          <cell r="D5086" t="str">
            <v>SRV REPROC OUTROS RESÍDUOS CLASSE II</v>
          </cell>
          <cell r="E5086" t="str">
            <v>UN</v>
          </cell>
        </row>
        <row r="5087">
          <cell r="C5087">
            <v>3005066</v>
          </cell>
          <cell r="D5087" t="str">
            <v>SRV REPROCESSAMENTO RESÍDUOS REFRATÁRIOS</v>
          </cell>
          <cell r="E5087" t="str">
            <v>UN</v>
          </cell>
        </row>
        <row r="5088">
          <cell r="C5088">
            <v>3005067</v>
          </cell>
          <cell r="D5088" t="str">
            <v>SRV REPROCESSAMENTO SUCATA MET; N MET</v>
          </cell>
          <cell r="E5088" t="str">
            <v>KG</v>
          </cell>
        </row>
        <row r="5089">
          <cell r="C5089">
            <v>3005068</v>
          </cell>
          <cell r="D5089" t="str">
            <v>SRV REPROCESSAMENTO SUCATA MET; N MET</v>
          </cell>
          <cell r="E5089" t="str">
            <v>MES</v>
          </cell>
        </row>
        <row r="5090">
          <cell r="C5090">
            <v>3005069</v>
          </cell>
          <cell r="D5090" t="str">
            <v>SRV REPROCESSAMENTO SUCATA MET; N MET</v>
          </cell>
          <cell r="E5090" t="str">
            <v>UN</v>
          </cell>
        </row>
        <row r="5091">
          <cell r="C5091">
            <v>3005070</v>
          </cell>
          <cell r="D5091" t="str">
            <v>SRV RETIFICA MOTOR VEICULO UTIL. E LEVE</v>
          </cell>
          <cell r="E5091" t="str">
            <v>JG</v>
          </cell>
        </row>
        <row r="5092">
          <cell r="C5092">
            <v>3005071</v>
          </cell>
          <cell r="D5092" t="str">
            <v>SRV RETIFICA MOTOR VEICULO UTIL. E LEVE</v>
          </cell>
          <cell r="E5092" t="str">
            <v>KMS</v>
          </cell>
        </row>
        <row r="5093">
          <cell r="C5093">
            <v>3005072</v>
          </cell>
          <cell r="D5093" t="str">
            <v>SRV RETIFICA MOTOR VEICULO UTIL. E LEVE</v>
          </cell>
          <cell r="E5093" t="str">
            <v>UN</v>
          </cell>
        </row>
        <row r="5094">
          <cell r="C5094">
            <v>3005073</v>
          </cell>
          <cell r="D5094" t="str">
            <v>INSTAL,MONT DE PROD,PC,EQUIPS DE OBRAS</v>
          </cell>
          <cell r="E5094" t="str">
            <v>SV</v>
          </cell>
        </row>
        <row r="5095">
          <cell r="C5095">
            <v>3005074</v>
          </cell>
          <cell r="D5095" t="str">
            <v>SRV SIST P GERENC-COMISS DE MINA</v>
          </cell>
          <cell r="E5095" t="str">
            <v>UN</v>
          </cell>
        </row>
        <row r="5096">
          <cell r="C5096">
            <v>3005075</v>
          </cell>
          <cell r="D5096" t="str">
            <v>SRV SISTEMA AUTOMATIZ CARREGAMENTO TRENS</v>
          </cell>
          <cell r="E5096" t="str">
            <v>UN</v>
          </cell>
        </row>
        <row r="5097">
          <cell r="C5097">
            <v>3005076</v>
          </cell>
          <cell r="D5097" t="str">
            <v>SRV SISTEMA DE COMUNICAÇÃO POR SATÉLITE</v>
          </cell>
          <cell r="E5097" t="str">
            <v>MES</v>
          </cell>
        </row>
        <row r="5098">
          <cell r="C5098">
            <v>3005077</v>
          </cell>
          <cell r="D5098" t="str">
            <v>SRV TECNICOS EM EDIFICACOES</v>
          </cell>
          <cell r="E5098" t="str">
            <v>SV</v>
          </cell>
        </row>
        <row r="5099">
          <cell r="C5099">
            <v>3005078</v>
          </cell>
          <cell r="D5099" t="str">
            <v>SRV SISTEMA DE COMUNICAÇÃO POR SATÉLITE</v>
          </cell>
          <cell r="E5099" t="str">
            <v>UN</v>
          </cell>
        </row>
        <row r="5100">
          <cell r="C5100">
            <v>3005079</v>
          </cell>
          <cell r="D5100" t="str">
            <v>SRV SISTEMAS VÃ�DEO AUTOMAÃ‡ÃƒO</v>
          </cell>
          <cell r="E5100" t="str">
            <v>UN</v>
          </cell>
        </row>
        <row r="5101">
          <cell r="C5101">
            <v>3005080</v>
          </cell>
          <cell r="D5101" t="str">
            <v>CONSULTORIA SUP CLASSIF FISCAL,IMP E EXP</v>
          </cell>
          <cell r="E5101" t="str">
            <v>UN</v>
          </cell>
        </row>
        <row r="5102">
          <cell r="C5102">
            <v>3005081</v>
          </cell>
          <cell r="D5102" t="str">
            <v>SRV SUPORTE GARANTIA TELECOMUNICAÇÕES</v>
          </cell>
          <cell r="E5102" t="str">
            <v>MES</v>
          </cell>
        </row>
        <row r="5103">
          <cell r="C5103">
            <v>3005082</v>
          </cell>
          <cell r="D5103" t="str">
            <v>SRV SUPORTE GARANTIA TELECOMUNICAÇÕES</v>
          </cell>
          <cell r="E5103" t="str">
            <v>SV</v>
          </cell>
        </row>
        <row r="5104">
          <cell r="C5104">
            <v>3005083</v>
          </cell>
          <cell r="D5104" t="str">
            <v>SRV SUPORTE GARANTIA TELECOMUNICAÇÕES</v>
          </cell>
          <cell r="E5104" t="str">
            <v>UN</v>
          </cell>
        </row>
        <row r="5105">
          <cell r="C5105">
            <v>3005084</v>
          </cell>
          <cell r="D5105" t="str">
            <v>CONSULTORIA SUP LEGISL E TRÂMITES ADUAN</v>
          </cell>
          <cell r="E5105" t="str">
            <v>H</v>
          </cell>
        </row>
        <row r="5106">
          <cell r="C5106">
            <v>3005085</v>
          </cell>
          <cell r="D5106" t="str">
            <v>CONSULTORIA SUP LEGISL E TRÂMITES ADUAN</v>
          </cell>
          <cell r="E5106" t="str">
            <v>MES</v>
          </cell>
        </row>
        <row r="5107">
          <cell r="C5107">
            <v>3005086</v>
          </cell>
          <cell r="D5107" t="str">
            <v>ASSESSORIA OU CONSULTORIA DE QQ NATUREZA</v>
          </cell>
          <cell r="E5107" t="str">
            <v>SV</v>
          </cell>
        </row>
        <row r="5108">
          <cell r="C5108">
            <v>3005087</v>
          </cell>
          <cell r="D5108" t="str">
            <v>CONSULTORIA SUP LEGISL E TRÂMITES ADUAN</v>
          </cell>
          <cell r="E5108" t="str">
            <v>UN</v>
          </cell>
        </row>
        <row r="5109">
          <cell r="C5109">
            <v>3005088</v>
          </cell>
          <cell r="D5109" t="str">
            <v>SRV TÉCNICOS EDIFICAÇÕES E SIMILARES</v>
          </cell>
          <cell r="E5109" t="str">
            <v>DIA</v>
          </cell>
        </row>
        <row r="5110">
          <cell r="C5110">
            <v>3005089</v>
          </cell>
          <cell r="D5110" t="str">
            <v>SRV TÉCNICOS EDIFICAÇÕES E SIMILARES</v>
          </cell>
          <cell r="E5110" t="str">
            <v>H</v>
          </cell>
        </row>
        <row r="5111">
          <cell r="C5111">
            <v>3005090</v>
          </cell>
          <cell r="D5111" t="str">
            <v>SRV TÉCNICOS EDIFICAÇÕES E SIMILARES</v>
          </cell>
          <cell r="E5111" t="str">
            <v>JG</v>
          </cell>
        </row>
        <row r="5112">
          <cell r="C5112">
            <v>3005091</v>
          </cell>
          <cell r="D5112" t="str">
            <v>SRV TÉCNICOS EDIFICAÇÕES E SIMILARES</v>
          </cell>
          <cell r="E5112" t="str">
            <v>KG</v>
          </cell>
        </row>
        <row r="5113">
          <cell r="C5113">
            <v>3005092</v>
          </cell>
          <cell r="D5113" t="str">
            <v>SRV TECNICOS EM EDIFICACOES</v>
          </cell>
          <cell r="E5113" t="str">
            <v>SV</v>
          </cell>
        </row>
        <row r="5114">
          <cell r="C5114">
            <v>3005093</v>
          </cell>
          <cell r="D5114" t="str">
            <v>SRV TÉCNICOS EDIFICAÇÕES E SIMILARES</v>
          </cell>
          <cell r="E5114" t="str">
            <v>M</v>
          </cell>
        </row>
        <row r="5115">
          <cell r="C5115">
            <v>3005094</v>
          </cell>
          <cell r="D5115" t="str">
            <v>SRV TÉCNICOS EDIFICAÇÕES E SIMILARES</v>
          </cell>
          <cell r="E5115" t="str">
            <v>M2</v>
          </cell>
        </row>
        <row r="5116">
          <cell r="C5116">
            <v>3005095</v>
          </cell>
          <cell r="D5116" t="str">
            <v>SRV TÉCNICOS EDIFICAÇÕES E SIMILARES</v>
          </cell>
          <cell r="E5116" t="str">
            <v>M3</v>
          </cell>
        </row>
        <row r="5117">
          <cell r="C5117">
            <v>3005096</v>
          </cell>
          <cell r="D5117" t="str">
            <v>SRV TÉCNICOS EDIFICAÇÕES E SIMILARES</v>
          </cell>
          <cell r="E5117" t="str">
            <v>MES</v>
          </cell>
        </row>
        <row r="5118">
          <cell r="C5118">
            <v>3005097</v>
          </cell>
          <cell r="D5118" t="str">
            <v>SRV TECNICOS EM EDIFICACOES</v>
          </cell>
          <cell r="E5118" t="str">
            <v>SV</v>
          </cell>
        </row>
        <row r="5119">
          <cell r="C5119">
            <v>3005098</v>
          </cell>
          <cell r="D5119" t="str">
            <v>SRV TECNICOS EM EDIFICACOES</v>
          </cell>
          <cell r="E5119" t="str">
            <v>SV</v>
          </cell>
        </row>
        <row r="5120">
          <cell r="C5120">
            <v>3005099</v>
          </cell>
          <cell r="D5120" t="str">
            <v>SRV TÉCNICOS EDIFICAÇÕES E SIMILARES</v>
          </cell>
          <cell r="E5120" t="str">
            <v>TO</v>
          </cell>
        </row>
        <row r="5121">
          <cell r="C5121">
            <v>3005100</v>
          </cell>
          <cell r="D5121" t="str">
            <v>SRV TÉCNICOS EDIFICAÇÕES E SIMILARES</v>
          </cell>
          <cell r="E5121" t="str">
            <v>UN</v>
          </cell>
        </row>
        <row r="5122">
          <cell r="C5122">
            <v>3005101</v>
          </cell>
          <cell r="D5122" t="str">
            <v>SRV TÉCNICOS EM MECÂNICA E SIMILARES</v>
          </cell>
          <cell r="E5122" t="str">
            <v>H</v>
          </cell>
        </row>
        <row r="5123">
          <cell r="C5123">
            <v>3005102</v>
          </cell>
          <cell r="D5123" t="str">
            <v>SRV TÉCNICOS EM MECÂNICA E SIMILARES</v>
          </cell>
          <cell r="E5123" t="str">
            <v>MES</v>
          </cell>
        </row>
        <row r="5124">
          <cell r="C5124">
            <v>3005103</v>
          </cell>
          <cell r="D5124" t="str">
            <v>SRV TECNICOS EM EDIFICACOES</v>
          </cell>
          <cell r="E5124" t="str">
            <v>SV</v>
          </cell>
        </row>
        <row r="5125">
          <cell r="C5125">
            <v>3005104</v>
          </cell>
          <cell r="D5125" t="str">
            <v>SRV TÉCNICOS EM MECÂNICA E SIMILARES</v>
          </cell>
          <cell r="E5125" t="str">
            <v>UN</v>
          </cell>
        </row>
        <row r="5126">
          <cell r="C5126">
            <v>3005105</v>
          </cell>
          <cell r="D5126" t="str">
            <v>SRV TREINAM OPER E MANUT EQUIP INDUST</v>
          </cell>
          <cell r="E5126" t="str">
            <v>H</v>
          </cell>
        </row>
        <row r="5127">
          <cell r="C5127">
            <v>3005106</v>
          </cell>
          <cell r="D5127" t="str">
            <v>SRV TREINAM OPER E MANUT EQUIP INDUST</v>
          </cell>
          <cell r="E5127" t="str">
            <v>MES</v>
          </cell>
        </row>
        <row r="5128">
          <cell r="C5128">
            <v>3005107</v>
          </cell>
          <cell r="D5128" t="str">
            <v>INSTRUCAO, TREINAMENTO, PEDAGOG E EDUCAC</v>
          </cell>
          <cell r="E5128" t="str">
            <v>SV</v>
          </cell>
        </row>
        <row r="5129">
          <cell r="C5129">
            <v>3005108</v>
          </cell>
          <cell r="D5129" t="str">
            <v>SRV TREINAM OPER E MANUT EQUIP INDUST</v>
          </cell>
          <cell r="E5129" t="str">
            <v>TO</v>
          </cell>
        </row>
        <row r="5130">
          <cell r="C5130">
            <v>3005109</v>
          </cell>
          <cell r="D5130" t="str">
            <v>SRV TREINAM OPER E MANUT EQUIP INDUST</v>
          </cell>
          <cell r="E5130" t="str">
            <v>UN</v>
          </cell>
        </row>
        <row r="5131">
          <cell r="C5131">
            <v>3005110</v>
          </cell>
          <cell r="D5131" t="str">
            <v>SRV TREINAMENTO DE CONDUTOR DE VEÍCULO</v>
          </cell>
          <cell r="E5131" t="str">
            <v>UN</v>
          </cell>
        </row>
        <row r="5132">
          <cell r="C5132">
            <v>3005111</v>
          </cell>
          <cell r="D5132" t="str">
            <v>SRV. APOIO TÉCN P/ ESTATÍSTICAS</v>
          </cell>
          <cell r="E5132" t="str">
            <v>UN</v>
          </cell>
        </row>
        <row r="5133">
          <cell r="C5133">
            <v>3005112</v>
          </cell>
          <cell r="D5133" t="str">
            <v>SRV. DE ADVOCACIA</v>
          </cell>
          <cell r="E5133" t="str">
            <v>H</v>
          </cell>
        </row>
        <row r="5134">
          <cell r="C5134">
            <v>3005113</v>
          </cell>
          <cell r="D5134" t="str">
            <v>SRV. DE ADVOCACIA</v>
          </cell>
          <cell r="E5134" t="str">
            <v>MES</v>
          </cell>
        </row>
        <row r="5135">
          <cell r="C5135">
            <v>3005114</v>
          </cell>
          <cell r="D5135" t="str">
            <v>ADVOCACIA</v>
          </cell>
          <cell r="E5135" t="str">
            <v>SV</v>
          </cell>
        </row>
        <row r="5136">
          <cell r="C5136">
            <v>3005115</v>
          </cell>
          <cell r="D5136" t="str">
            <v>SRV. DE ADVOCACIA</v>
          </cell>
          <cell r="E5136" t="str">
            <v>UN</v>
          </cell>
        </row>
        <row r="5137">
          <cell r="C5137">
            <v>3005116</v>
          </cell>
          <cell r="D5137" t="str">
            <v>SRV. DE AUDITORIA</v>
          </cell>
          <cell r="E5137" t="str">
            <v>DIA</v>
          </cell>
        </row>
        <row r="5138">
          <cell r="C5138">
            <v>3005117</v>
          </cell>
          <cell r="D5138" t="str">
            <v>SRV. DE AUDITORIA</v>
          </cell>
          <cell r="E5138" t="str">
            <v>H</v>
          </cell>
        </row>
        <row r="5139">
          <cell r="C5139">
            <v>3005118</v>
          </cell>
          <cell r="D5139" t="str">
            <v>SRV. DE AUDITORIA</v>
          </cell>
          <cell r="E5139" t="str">
            <v>MES</v>
          </cell>
        </row>
        <row r="5140">
          <cell r="C5140">
            <v>3005119</v>
          </cell>
          <cell r="D5140" t="str">
            <v>AUDITORIA</v>
          </cell>
          <cell r="E5140" t="str">
            <v>SV</v>
          </cell>
        </row>
        <row r="5141">
          <cell r="C5141">
            <v>3005120</v>
          </cell>
          <cell r="D5141" t="str">
            <v>SRV. DE AUDITORIA</v>
          </cell>
          <cell r="E5141" t="str">
            <v>UN</v>
          </cell>
        </row>
        <row r="5142">
          <cell r="C5142">
            <v>3005121</v>
          </cell>
          <cell r="D5142" t="str">
            <v>STC-MICRO-ROD-C/AR-ADM-EV/EX-KM-INTRA</v>
          </cell>
          <cell r="E5142" t="str">
            <v>KMS</v>
          </cell>
        </row>
        <row r="5143">
          <cell r="C5143">
            <v>3005122</v>
          </cell>
          <cell r="D5143" t="str">
            <v>STC-MICRO-ROD-C/AR-ADM-HAB-INTRA</v>
          </cell>
          <cell r="E5143" t="str">
            <v>UN</v>
          </cell>
        </row>
        <row r="5144">
          <cell r="C5144">
            <v>3005123</v>
          </cell>
          <cell r="D5144" t="str">
            <v>STC-MICRO-ROD-C/AR-ADM-HAB-KM-INTRA</v>
          </cell>
          <cell r="E5144" t="str">
            <v>KMS</v>
          </cell>
        </row>
        <row r="5145">
          <cell r="C5145">
            <v>3005124</v>
          </cell>
          <cell r="D5145" t="str">
            <v>STC-MICRO-ROD-C/AR-OPE-EV/EX-INTRA</v>
          </cell>
          <cell r="E5145" t="str">
            <v>DIA</v>
          </cell>
        </row>
        <row r="5146">
          <cell r="C5146">
            <v>3005125</v>
          </cell>
          <cell r="D5146" t="str">
            <v>STC-MICRO-ROD-C/AR-OPE-EV/EX-INTRA</v>
          </cell>
          <cell r="E5146" t="str">
            <v>H</v>
          </cell>
        </row>
        <row r="5147">
          <cell r="C5147">
            <v>3005126</v>
          </cell>
          <cell r="D5147" t="str">
            <v>STC-MICRO-ROD-C/AR-OPE-EV/EX-KM-INTRA</v>
          </cell>
          <cell r="E5147" t="str">
            <v>KMS</v>
          </cell>
        </row>
        <row r="5148">
          <cell r="C5148">
            <v>3005127</v>
          </cell>
          <cell r="D5148" t="str">
            <v>STC-MICRO-ROD-C/AR-OPE-HAB-INTRA</v>
          </cell>
          <cell r="E5148" t="str">
            <v>UN</v>
          </cell>
        </row>
        <row r="5149">
          <cell r="C5149">
            <v>3005128</v>
          </cell>
          <cell r="D5149" t="str">
            <v>STC-MICRO-ROD-C/AR-OPE-HAB-KM-INTRA</v>
          </cell>
          <cell r="E5149" t="str">
            <v>KMS</v>
          </cell>
        </row>
        <row r="5150">
          <cell r="C5150">
            <v>3005129</v>
          </cell>
          <cell r="D5150" t="str">
            <v>STC-MICRO-ROD-C/AR-TUR-EV/EX-INTRA</v>
          </cell>
          <cell r="E5150" t="str">
            <v>DIA</v>
          </cell>
        </row>
        <row r="5151">
          <cell r="C5151">
            <v>3005130</v>
          </cell>
          <cell r="D5151" t="str">
            <v>STC-MICRO-ROD-C/AR-TUR-EV/EX-INTRA</v>
          </cell>
          <cell r="E5151" t="str">
            <v>H</v>
          </cell>
        </row>
        <row r="5152">
          <cell r="C5152">
            <v>3005131</v>
          </cell>
          <cell r="D5152" t="str">
            <v>STC-MICRO-ROD-C/AR-TUR-EV/EX-KM-INTRA</v>
          </cell>
          <cell r="E5152" t="str">
            <v>KMS</v>
          </cell>
        </row>
        <row r="5153">
          <cell r="C5153">
            <v>3005132</v>
          </cell>
          <cell r="D5153" t="str">
            <v>STC-MICRO-ROD-C/AR-TUR-HAB-INTRA</v>
          </cell>
          <cell r="E5153" t="str">
            <v>UN</v>
          </cell>
        </row>
        <row r="5154">
          <cell r="C5154">
            <v>3005133</v>
          </cell>
          <cell r="D5154" t="str">
            <v>STC-MICRO-ROD-C/AR-TUR-HAB-KM-INTRA</v>
          </cell>
          <cell r="E5154" t="str">
            <v>KMS</v>
          </cell>
        </row>
        <row r="5155">
          <cell r="C5155">
            <v>3005134</v>
          </cell>
          <cell r="D5155" t="str">
            <v>STC-MICRO-ROD-S/AR-ADM-EV/EX-INTRA</v>
          </cell>
          <cell r="E5155" t="str">
            <v>DIA</v>
          </cell>
        </row>
        <row r="5156">
          <cell r="C5156">
            <v>3005135</v>
          </cell>
          <cell r="D5156" t="str">
            <v>STC-MICRO-ROD-S/AR-ADM-EV/EX-INTRA</v>
          </cell>
          <cell r="E5156" t="str">
            <v>H</v>
          </cell>
        </row>
        <row r="5157">
          <cell r="C5157">
            <v>3005136</v>
          </cell>
          <cell r="D5157" t="str">
            <v>STC-MICRO-ROD-S/AR-ADM-EV/EX-KM-INTRA</v>
          </cell>
          <cell r="E5157" t="str">
            <v>KMS</v>
          </cell>
        </row>
        <row r="5158">
          <cell r="C5158">
            <v>3005137</v>
          </cell>
          <cell r="D5158" t="str">
            <v>STC-MICRO-ROD-S/AR-ADM-HAB-INTRA</v>
          </cell>
          <cell r="E5158" t="str">
            <v>UN</v>
          </cell>
        </row>
        <row r="5159">
          <cell r="C5159">
            <v>3005138</v>
          </cell>
          <cell r="D5159" t="str">
            <v>STC-MICRO-ROD-S/AR-ADM-HAB-KM-INTRA</v>
          </cell>
          <cell r="E5159" t="str">
            <v>KMS</v>
          </cell>
        </row>
        <row r="5160">
          <cell r="C5160">
            <v>3005139</v>
          </cell>
          <cell r="D5160" t="str">
            <v>STC-MICRO-ROD-S/AR-OPE-EV/EX-INTRA</v>
          </cell>
          <cell r="E5160" t="str">
            <v>DIA</v>
          </cell>
        </row>
        <row r="5161">
          <cell r="C5161">
            <v>3005140</v>
          </cell>
          <cell r="D5161" t="str">
            <v>STC-MICRO-ROD-S/AR-OPE-EV/EX-INTRA</v>
          </cell>
          <cell r="E5161" t="str">
            <v>H</v>
          </cell>
        </row>
        <row r="5162">
          <cell r="C5162">
            <v>3005141</v>
          </cell>
          <cell r="D5162" t="str">
            <v>STC-MICRO-ROD-S/AR-OPE-EV/EX-KM-INTRA</v>
          </cell>
          <cell r="E5162" t="str">
            <v>KMS</v>
          </cell>
        </row>
        <row r="5163">
          <cell r="C5163">
            <v>3005142</v>
          </cell>
          <cell r="D5163" t="str">
            <v>STC-MICRO-ROD-S/AR-OPE-HAB-INTRA</v>
          </cell>
          <cell r="E5163" t="str">
            <v>UN</v>
          </cell>
        </row>
        <row r="5164">
          <cell r="C5164">
            <v>3005143</v>
          </cell>
          <cell r="D5164" t="str">
            <v>STC-MICRO-ROD-S/AR-OPE-HAB-KM-INTRA</v>
          </cell>
          <cell r="E5164" t="str">
            <v>KMS</v>
          </cell>
        </row>
        <row r="5165">
          <cell r="C5165">
            <v>3005144</v>
          </cell>
          <cell r="D5165" t="str">
            <v>STC-MICRO-ROD-S/AR-TUR-EV/EX-INTRA</v>
          </cell>
          <cell r="E5165" t="str">
            <v>DIA</v>
          </cell>
        </row>
        <row r="5166">
          <cell r="C5166">
            <v>3005145</v>
          </cell>
          <cell r="D5166" t="str">
            <v>STC-MICRO-ROD-S/AR-TUR-EV/EX-INTRA</v>
          </cell>
          <cell r="E5166" t="str">
            <v>H</v>
          </cell>
        </row>
        <row r="5167">
          <cell r="C5167">
            <v>3005146</v>
          </cell>
          <cell r="D5167" t="str">
            <v>STC-MICRO-ROD-S/AR-TUR-EV/EX-KM-INTRA</v>
          </cell>
          <cell r="E5167" t="str">
            <v>KMS</v>
          </cell>
        </row>
        <row r="5168">
          <cell r="C5168">
            <v>3005147</v>
          </cell>
          <cell r="D5168" t="str">
            <v>STC-MICRO-ROD-S/AR-TUR-HAB-INTRA</v>
          </cell>
          <cell r="E5168" t="str">
            <v>UN</v>
          </cell>
        </row>
        <row r="5169">
          <cell r="C5169">
            <v>3005148</v>
          </cell>
          <cell r="D5169" t="str">
            <v>STC-MICRO-ROD-S/AR-TUR-HAB-KM-INTRA</v>
          </cell>
          <cell r="E5169" t="str">
            <v>KMS</v>
          </cell>
        </row>
        <row r="5170">
          <cell r="C5170">
            <v>3005149</v>
          </cell>
          <cell r="D5170" t="str">
            <v>STC-ON-MIS-C/AR-C/RET-ADM-EV/EX-INTRA</v>
          </cell>
          <cell r="E5170" t="str">
            <v>DIA</v>
          </cell>
        </row>
        <row r="5171">
          <cell r="C5171">
            <v>3005150</v>
          </cell>
          <cell r="D5171" t="str">
            <v>STC-ON-MIS-C/AR-C/RET-ADM-EV/EX-INTRA</v>
          </cell>
          <cell r="E5171" t="str">
            <v>H</v>
          </cell>
        </row>
        <row r="5172">
          <cell r="C5172">
            <v>3005151</v>
          </cell>
          <cell r="D5172" t="str">
            <v>STC-ON-MIS-C/AR-C/RET-ADM-EV/EX-KM-INTRA</v>
          </cell>
          <cell r="E5172" t="str">
            <v>KMS</v>
          </cell>
        </row>
        <row r="5173">
          <cell r="C5173">
            <v>3005152</v>
          </cell>
          <cell r="D5173" t="str">
            <v>STC-ON-MIS-C/AR-C/RET-ADM-HAB-INTRA</v>
          </cell>
          <cell r="E5173" t="str">
            <v>UN</v>
          </cell>
        </row>
        <row r="5174">
          <cell r="C5174">
            <v>3005153</v>
          </cell>
          <cell r="D5174" t="str">
            <v>STC-ON-MIS-C/AR-C/RET-ADM-HAB-KM-INTRA</v>
          </cell>
          <cell r="E5174" t="str">
            <v>KMS</v>
          </cell>
        </row>
        <row r="5175">
          <cell r="C5175">
            <v>3005154</v>
          </cell>
          <cell r="D5175" t="str">
            <v>STC-ON-MIS-C/AR-C/RET-OPE-EV/EX-INTRA</v>
          </cell>
          <cell r="E5175" t="str">
            <v>DIA</v>
          </cell>
        </row>
        <row r="5176">
          <cell r="C5176">
            <v>3005155</v>
          </cell>
          <cell r="D5176" t="str">
            <v>STC-ON-MIS-C/AR-C/RET-OPE-EV/EX-INTRA</v>
          </cell>
          <cell r="E5176" t="str">
            <v>H</v>
          </cell>
        </row>
        <row r="5177">
          <cell r="C5177">
            <v>3005156</v>
          </cell>
          <cell r="D5177" t="str">
            <v>STC-ON-MIS-C/AR-C/RET-OPE-EV/EX-KM-INTRA</v>
          </cell>
          <cell r="E5177" t="str">
            <v>KMS</v>
          </cell>
        </row>
        <row r="5178">
          <cell r="C5178">
            <v>3005157</v>
          </cell>
          <cell r="D5178" t="str">
            <v>STC-ON-MIS-C/AR-C/RET-OPE-HAB-INTRA</v>
          </cell>
          <cell r="E5178" t="str">
            <v>UN</v>
          </cell>
        </row>
        <row r="5179">
          <cell r="C5179">
            <v>3005158</v>
          </cell>
          <cell r="D5179" t="str">
            <v>STC-ON-MIS-C/AR-C/RET-OPE-HAB-KM-INTRA</v>
          </cell>
          <cell r="E5179" t="str">
            <v>KMS</v>
          </cell>
        </row>
        <row r="5180">
          <cell r="C5180">
            <v>3005159</v>
          </cell>
          <cell r="D5180" t="str">
            <v>STC-ON-MIS-C/AR-C/RET-TUR-EV/EX-INTRA</v>
          </cell>
          <cell r="E5180" t="str">
            <v>DIA</v>
          </cell>
        </row>
        <row r="5181">
          <cell r="C5181">
            <v>3005160</v>
          </cell>
          <cell r="D5181" t="str">
            <v>STC-ON-MIS-C/AR-C/RET-TUR-EV/EX-INTRA</v>
          </cell>
          <cell r="E5181" t="str">
            <v>H</v>
          </cell>
        </row>
        <row r="5182">
          <cell r="C5182">
            <v>3005161</v>
          </cell>
          <cell r="D5182" t="str">
            <v>STC-ON-MIS-C/AR-C/RET-TUR-EV/EX-KM-INTRA</v>
          </cell>
          <cell r="E5182" t="str">
            <v>KMS</v>
          </cell>
        </row>
        <row r="5183">
          <cell r="C5183">
            <v>3005162</v>
          </cell>
          <cell r="D5183" t="str">
            <v>STC-ON-MIS-C/AR-C/RET-TUR-HAB-INTRA</v>
          </cell>
          <cell r="E5183" t="str">
            <v>UN</v>
          </cell>
        </row>
        <row r="5184">
          <cell r="C5184">
            <v>3005163</v>
          </cell>
          <cell r="D5184" t="str">
            <v>STC-ON-MIS-C/AR-C/RET-TUR-HAB-KM-INTRA</v>
          </cell>
          <cell r="E5184" t="str">
            <v>KMS</v>
          </cell>
        </row>
        <row r="5185">
          <cell r="C5185">
            <v>3005164</v>
          </cell>
          <cell r="D5185" t="str">
            <v>STC-ON-MIS-C/AR-S/RET-ADM-EV/EX-INTRA</v>
          </cell>
          <cell r="E5185" t="str">
            <v>DIA</v>
          </cell>
        </row>
        <row r="5186">
          <cell r="C5186">
            <v>3005165</v>
          </cell>
          <cell r="D5186" t="str">
            <v>STC-ON-MIS-C/AR-S/RET-ADM-EV/EX-INTRA</v>
          </cell>
          <cell r="E5186" t="str">
            <v>H</v>
          </cell>
        </row>
        <row r="5187">
          <cell r="C5187">
            <v>3005166</v>
          </cell>
          <cell r="D5187" t="str">
            <v>STC-ON-MIS-C/AR-S/RET-ADM-EV/EX-KM-INTRA</v>
          </cell>
          <cell r="E5187" t="str">
            <v>KMS</v>
          </cell>
        </row>
        <row r="5188">
          <cell r="C5188">
            <v>3005167</v>
          </cell>
          <cell r="D5188" t="str">
            <v>STC-ON-MIS-C/AR-S/RET-ADM-HAB-INTRA</v>
          </cell>
          <cell r="E5188" t="str">
            <v>UN</v>
          </cell>
        </row>
        <row r="5189">
          <cell r="C5189">
            <v>3005168</v>
          </cell>
          <cell r="D5189" t="str">
            <v>STC-ON-MIS-C/AR-S/RET-ADM-HAB-KM-INTRA</v>
          </cell>
          <cell r="E5189" t="str">
            <v>KMS</v>
          </cell>
        </row>
        <row r="5190">
          <cell r="C5190">
            <v>3005169</v>
          </cell>
          <cell r="D5190" t="str">
            <v>STC-ON-MIS-C/AR-S/RET-OPE-EV/EX-INTRA</v>
          </cell>
          <cell r="E5190" t="str">
            <v>DIA</v>
          </cell>
        </row>
        <row r="5191">
          <cell r="C5191">
            <v>3005170</v>
          </cell>
          <cell r="D5191" t="str">
            <v>STC-ON-MIS-C/AR-S/RET-OPE-EV/EX-INTRA</v>
          </cell>
          <cell r="E5191" t="str">
            <v>H</v>
          </cell>
        </row>
        <row r="5192">
          <cell r="C5192">
            <v>3005171</v>
          </cell>
          <cell r="D5192" t="str">
            <v>STC-ON-MIS-C/AR-S/RET-OPE-EV/EX-KM-INTRA</v>
          </cell>
          <cell r="E5192" t="str">
            <v>KMS</v>
          </cell>
        </row>
        <row r="5193">
          <cell r="C5193">
            <v>3005172</v>
          </cell>
          <cell r="D5193" t="str">
            <v>STC-ON-MIS-C/AR-S/RET-OPE-HAB-INTRA</v>
          </cell>
          <cell r="E5193" t="str">
            <v>UN</v>
          </cell>
        </row>
        <row r="5194">
          <cell r="C5194">
            <v>3005173</v>
          </cell>
          <cell r="D5194" t="str">
            <v>STC-ON-MIS-C/AR-S/RET-OPE-HAB-KM-INTRA</v>
          </cell>
          <cell r="E5194" t="str">
            <v>KMS</v>
          </cell>
        </row>
        <row r="5195">
          <cell r="C5195">
            <v>3005174</v>
          </cell>
          <cell r="D5195" t="str">
            <v>STC-ON-MIS-C/AR-S/RET-TUR-EV/EX-INTRA</v>
          </cell>
          <cell r="E5195" t="str">
            <v>DIA</v>
          </cell>
        </row>
        <row r="5196">
          <cell r="C5196">
            <v>3005175</v>
          </cell>
          <cell r="D5196" t="str">
            <v>STC-ON-MIS-C/AR-S/RET-TUR-EV/EX-INTRA</v>
          </cell>
          <cell r="E5196" t="str">
            <v>H</v>
          </cell>
        </row>
        <row r="5197">
          <cell r="C5197">
            <v>3005176</v>
          </cell>
          <cell r="D5197" t="str">
            <v>STC-ON-MIS-C/AR-S/RET-TUR-EV/EX-KM-INTRA</v>
          </cell>
          <cell r="E5197" t="str">
            <v>KMS</v>
          </cell>
        </row>
        <row r="5198">
          <cell r="C5198">
            <v>3005177</v>
          </cell>
          <cell r="D5198" t="str">
            <v>STC-ON-MIS-C/AR-S/RET-TUR-HAB-INTRA</v>
          </cell>
          <cell r="E5198" t="str">
            <v>UN</v>
          </cell>
        </row>
        <row r="5199">
          <cell r="C5199">
            <v>3005178</v>
          </cell>
          <cell r="D5199" t="str">
            <v>STC-ON-MIS-C/AR-S/RET-TUR-HAB-KM-INTRA</v>
          </cell>
          <cell r="E5199" t="str">
            <v>KMS</v>
          </cell>
        </row>
        <row r="5200">
          <cell r="C5200">
            <v>3005179</v>
          </cell>
          <cell r="D5200" t="str">
            <v>STC-ON-MIS-S/AR-C/RET-ADM-EV/EX-INTRA</v>
          </cell>
          <cell r="E5200" t="str">
            <v>DIA</v>
          </cell>
        </row>
        <row r="5201">
          <cell r="C5201">
            <v>3005180</v>
          </cell>
          <cell r="D5201" t="str">
            <v>STC-ON-MIS-S/AR-C/RET-ADM-EV/EX-INTRA</v>
          </cell>
          <cell r="E5201" t="str">
            <v>H</v>
          </cell>
        </row>
        <row r="5202">
          <cell r="C5202">
            <v>3005181</v>
          </cell>
          <cell r="D5202" t="str">
            <v>STC-ON-MIS-S/AR-C/RET-ADM-EV/EX-KM-INTRA</v>
          </cell>
          <cell r="E5202" t="str">
            <v>KMS</v>
          </cell>
        </row>
        <row r="5203">
          <cell r="C5203">
            <v>3005182</v>
          </cell>
          <cell r="D5203" t="str">
            <v>STC-ON-MIS-S/AR-C/RET-ADM-HAB-INTRA</v>
          </cell>
          <cell r="E5203" t="str">
            <v>UN</v>
          </cell>
        </row>
        <row r="5204">
          <cell r="C5204">
            <v>3005183</v>
          </cell>
          <cell r="D5204" t="str">
            <v>STC-ON-MIS-S/AR-C/RET-ADM-HAB-KM-INTRA</v>
          </cell>
          <cell r="E5204" t="str">
            <v>KMS</v>
          </cell>
        </row>
        <row r="5205">
          <cell r="C5205">
            <v>3005184</v>
          </cell>
          <cell r="D5205" t="str">
            <v>STC-ON-MIS-S/AR-C/RET-OPE-EV/EX-INTRA</v>
          </cell>
          <cell r="E5205" t="str">
            <v>DIA</v>
          </cell>
        </row>
        <row r="5206">
          <cell r="C5206">
            <v>3005185</v>
          </cell>
          <cell r="D5206" t="str">
            <v>STC-ON-MIS-S/AR-C/RET-OPE-EV/EX-INTRA</v>
          </cell>
          <cell r="E5206" t="str">
            <v>H</v>
          </cell>
        </row>
        <row r="5207">
          <cell r="C5207">
            <v>3005186</v>
          </cell>
          <cell r="D5207" t="str">
            <v>STC-ON-MIS-S/AR-C/RET-OPE-EV/EX-KM-INTRA</v>
          </cell>
          <cell r="E5207" t="str">
            <v>KMS</v>
          </cell>
        </row>
        <row r="5208">
          <cell r="C5208">
            <v>3005187</v>
          </cell>
          <cell r="D5208" t="str">
            <v>STC-ON-MIS-S/AR-C/RET-OPE-HAB-INTRA</v>
          </cell>
          <cell r="E5208" t="str">
            <v>UN</v>
          </cell>
        </row>
        <row r="5209">
          <cell r="C5209">
            <v>3005188</v>
          </cell>
          <cell r="D5209" t="str">
            <v>STC-ON-MIS-S/AR-C/RET-OPE-HAB-KM-INTRA</v>
          </cell>
          <cell r="E5209" t="str">
            <v>KMS</v>
          </cell>
        </row>
        <row r="5210">
          <cell r="C5210">
            <v>3005189</v>
          </cell>
          <cell r="D5210" t="str">
            <v>STC-ON-MIS-S/AR-C/RET-TUR-EV/EX-INTRA</v>
          </cell>
          <cell r="E5210" t="str">
            <v>DIA</v>
          </cell>
        </row>
        <row r="5211">
          <cell r="C5211">
            <v>3005190</v>
          </cell>
          <cell r="D5211" t="str">
            <v>STC-ON-MIS-S/AR-C/RET-TUR-EV/EX-INTRA</v>
          </cell>
          <cell r="E5211" t="str">
            <v>H</v>
          </cell>
        </row>
        <row r="5212">
          <cell r="C5212">
            <v>3005191</v>
          </cell>
          <cell r="D5212" t="str">
            <v>STC-ON-MIS-S/AR-C/RET-TUR-EV/EX-KM-INTRA</v>
          </cell>
          <cell r="E5212" t="str">
            <v>KMS</v>
          </cell>
        </row>
        <row r="5213">
          <cell r="C5213">
            <v>3005192</v>
          </cell>
          <cell r="D5213" t="str">
            <v>STC-ON-MIS-S/AR-C/RET-TUR-HAB-INTRA</v>
          </cell>
          <cell r="E5213" t="str">
            <v>UN</v>
          </cell>
        </row>
        <row r="5214">
          <cell r="C5214">
            <v>3005193</v>
          </cell>
          <cell r="D5214" t="str">
            <v>STC-ON-MIS-S/AR-C/RET-TUR-HAB-KM-INTRA</v>
          </cell>
          <cell r="E5214" t="str">
            <v>KMS</v>
          </cell>
        </row>
        <row r="5215">
          <cell r="C5215">
            <v>3005194</v>
          </cell>
          <cell r="D5215" t="str">
            <v>STC-ON-MIS-S/AR-S/RET-ADM-EV/EX-INTRA</v>
          </cell>
          <cell r="E5215" t="str">
            <v>DIA</v>
          </cell>
        </row>
        <row r="5216">
          <cell r="C5216">
            <v>3005195</v>
          </cell>
          <cell r="D5216" t="str">
            <v>STC-ON-MIS-S/AR-S/RET-ADM-EV/EX-INTRA</v>
          </cell>
          <cell r="E5216" t="str">
            <v>H</v>
          </cell>
        </row>
        <row r="5217">
          <cell r="C5217">
            <v>3005196</v>
          </cell>
          <cell r="D5217" t="str">
            <v>STC-ON-MIS-S/AR-S/RET-ADM-EV/EX-KM-INTRA</v>
          </cell>
          <cell r="E5217" t="str">
            <v>KMS</v>
          </cell>
        </row>
        <row r="5218">
          <cell r="C5218">
            <v>3005197</v>
          </cell>
          <cell r="D5218" t="str">
            <v>STC-ON-MIS-S/AR-S/RET-ADM-HAB-INTRA</v>
          </cell>
          <cell r="E5218" t="str">
            <v>UN</v>
          </cell>
        </row>
        <row r="5219">
          <cell r="C5219">
            <v>3005198</v>
          </cell>
          <cell r="D5219" t="str">
            <v>STC-ON-MIS-S/AR-S/RET-ADM-HAB-KM-INTRA</v>
          </cell>
          <cell r="E5219" t="str">
            <v>KMS</v>
          </cell>
        </row>
        <row r="5220">
          <cell r="C5220">
            <v>3005199</v>
          </cell>
          <cell r="D5220" t="str">
            <v>STC-ON-MIS-S/AR-S/RET-OPE-EV/EX-INTRA</v>
          </cell>
          <cell r="E5220" t="str">
            <v>DIA</v>
          </cell>
        </row>
        <row r="5221">
          <cell r="C5221">
            <v>3005200</v>
          </cell>
          <cell r="D5221" t="str">
            <v>STC-ON-MIS-S/AR-S/RET-OPE-EV/EX-INTRA</v>
          </cell>
          <cell r="E5221" t="str">
            <v>H</v>
          </cell>
        </row>
        <row r="5222">
          <cell r="C5222">
            <v>3005201</v>
          </cell>
          <cell r="D5222" t="str">
            <v>STC-ON-MIS-S/AR-S/RET-OPE-EV/EX-KM-INTRA</v>
          </cell>
          <cell r="E5222" t="str">
            <v>KMS</v>
          </cell>
        </row>
        <row r="5223">
          <cell r="C5223">
            <v>3005202</v>
          </cell>
          <cell r="D5223" t="str">
            <v>STC-ON-MIS-S/AR-S/RET-OPE-HAB-INTRA</v>
          </cell>
          <cell r="E5223" t="str">
            <v>UN</v>
          </cell>
        </row>
        <row r="5224">
          <cell r="C5224">
            <v>3005203</v>
          </cell>
          <cell r="D5224" t="str">
            <v>STC-ON-MIS-S/AR-S/RET-OPE-HAB-KM-INTRA</v>
          </cell>
          <cell r="E5224" t="str">
            <v>KMS</v>
          </cell>
        </row>
        <row r="5225">
          <cell r="C5225">
            <v>3005204</v>
          </cell>
          <cell r="D5225" t="str">
            <v>STC-ON-MIS-S/AR-S/RET-TUR-EV/EX-INTRA</v>
          </cell>
          <cell r="E5225" t="str">
            <v>DIA</v>
          </cell>
        </row>
        <row r="5226">
          <cell r="C5226">
            <v>3005205</v>
          </cell>
          <cell r="D5226" t="str">
            <v>STC-ON-MIS-S/AR-S/RET-TUR-EV/EX-INTRA</v>
          </cell>
          <cell r="E5226" t="str">
            <v>H</v>
          </cell>
        </row>
        <row r="5227">
          <cell r="C5227">
            <v>3005206</v>
          </cell>
          <cell r="D5227" t="str">
            <v>STC-ON-MIS-S/AR-S/RET-TUR-EV/EX-KM-INTRA</v>
          </cell>
          <cell r="E5227" t="str">
            <v>KMS</v>
          </cell>
        </row>
        <row r="5228">
          <cell r="C5228">
            <v>3005207</v>
          </cell>
          <cell r="D5228" t="str">
            <v>STC-ON-MIS-S/AR-S/RET-TUR-HAB-INTRA</v>
          </cell>
          <cell r="E5228" t="str">
            <v>UN</v>
          </cell>
        </row>
        <row r="5229">
          <cell r="C5229">
            <v>3005208</v>
          </cell>
          <cell r="D5229" t="str">
            <v>STC-ON-MIS-S/AR-S/RET-TUR-HAB-KM-INTRA</v>
          </cell>
          <cell r="E5229" t="str">
            <v>KMS</v>
          </cell>
        </row>
        <row r="5230">
          <cell r="C5230">
            <v>3005209</v>
          </cell>
          <cell r="D5230" t="str">
            <v>STC-ON-OFF-C/AR-C/RET-ADM-EV/EX-INTRA</v>
          </cell>
          <cell r="E5230" t="str">
            <v>DIA</v>
          </cell>
        </row>
        <row r="5231">
          <cell r="C5231">
            <v>3005210</v>
          </cell>
          <cell r="D5231" t="str">
            <v>STC-ON-OFF-C/AR-C/RET-ADM-EV/EX-INTRA</v>
          </cell>
          <cell r="E5231" t="str">
            <v>H</v>
          </cell>
        </row>
        <row r="5232">
          <cell r="C5232">
            <v>3005211</v>
          </cell>
          <cell r="D5232" t="str">
            <v>STC-ON-OFF-C/AR-C/RET-ADM-EV/EX-KM-INTRA</v>
          </cell>
          <cell r="E5232" t="str">
            <v>KMS</v>
          </cell>
        </row>
        <row r="5233">
          <cell r="C5233">
            <v>3005212</v>
          </cell>
          <cell r="D5233" t="str">
            <v>STC-ON-OFF-C/AR-C/RET-ADM-HAB-INTRA</v>
          </cell>
          <cell r="E5233" t="str">
            <v>UN</v>
          </cell>
        </row>
        <row r="5234">
          <cell r="C5234">
            <v>3005213</v>
          </cell>
          <cell r="D5234" t="str">
            <v>STC-ON-OFF-C/AR-C/RET-ADM-HAB-KM-INTRA</v>
          </cell>
          <cell r="E5234" t="str">
            <v>KMS</v>
          </cell>
        </row>
        <row r="5235">
          <cell r="C5235">
            <v>3005214</v>
          </cell>
          <cell r="D5235" t="str">
            <v>STC-ON-OFF-C/AR-C/RET-OPE-EV/EX-INTRA</v>
          </cell>
          <cell r="E5235" t="str">
            <v>DIA</v>
          </cell>
        </row>
        <row r="5236">
          <cell r="C5236">
            <v>3005215</v>
          </cell>
          <cell r="D5236" t="str">
            <v>STC-ON-OFF-C/AR-C/RET-OPE-EV/EX-INTRA</v>
          </cell>
          <cell r="E5236" t="str">
            <v>H</v>
          </cell>
        </row>
        <row r="5237">
          <cell r="C5237">
            <v>3005216</v>
          </cell>
          <cell r="D5237" t="str">
            <v>STC-ON-OFF-C/AR-C/RET-OPE-EV/EX-KM-INTRA</v>
          </cell>
          <cell r="E5237" t="str">
            <v>KMS</v>
          </cell>
        </row>
        <row r="5238">
          <cell r="C5238">
            <v>3005217</v>
          </cell>
          <cell r="D5238" t="str">
            <v>STC-ON-OFF-C/AR-C/RET-OPE-HAB-INTRA</v>
          </cell>
          <cell r="E5238" t="str">
            <v>UN</v>
          </cell>
        </row>
        <row r="5239">
          <cell r="C5239">
            <v>3005218</v>
          </cell>
          <cell r="D5239" t="str">
            <v>STC-ON-OFF-C/AR-C/RET-OPE-HAB-KM-INTRA</v>
          </cell>
          <cell r="E5239" t="str">
            <v>KMS</v>
          </cell>
        </row>
        <row r="5240">
          <cell r="C5240">
            <v>3005219</v>
          </cell>
          <cell r="D5240" t="str">
            <v>STC-ON-OFF-C/AR-C/RET-TUR-EV/EX-INTRA</v>
          </cell>
          <cell r="E5240" t="str">
            <v>DIA</v>
          </cell>
        </row>
        <row r="5241">
          <cell r="C5241">
            <v>3005220</v>
          </cell>
          <cell r="D5241" t="str">
            <v>STC-ON-OFF-C/AR-C/RET-TUR-EV/EX-INTRA</v>
          </cell>
          <cell r="E5241" t="str">
            <v>H</v>
          </cell>
        </row>
        <row r="5242">
          <cell r="C5242">
            <v>3005221</v>
          </cell>
          <cell r="D5242" t="str">
            <v>STC-ON-OFF-C/AR-C/RET-TUR-EV/EX-KM-INTRA</v>
          </cell>
          <cell r="E5242" t="str">
            <v>KMS</v>
          </cell>
        </row>
        <row r="5243">
          <cell r="C5243">
            <v>3005222</v>
          </cell>
          <cell r="D5243" t="str">
            <v>STC-ON-OFF-C/AR-C/RET-TUR-HAB-INTRA</v>
          </cell>
          <cell r="E5243" t="str">
            <v>UN</v>
          </cell>
        </row>
        <row r="5244">
          <cell r="C5244">
            <v>3005223</v>
          </cell>
          <cell r="D5244" t="str">
            <v>STC-ON-OFF-C/AR-C/RET-TUR-HAB-KM-INTRA</v>
          </cell>
          <cell r="E5244" t="str">
            <v>KMS</v>
          </cell>
        </row>
        <row r="5245">
          <cell r="C5245">
            <v>3005224</v>
          </cell>
          <cell r="D5245" t="str">
            <v>STC-ON-OFF-C/AR-S/RET-ADM-EV/EX-INTRA</v>
          </cell>
          <cell r="E5245" t="str">
            <v>DIA</v>
          </cell>
        </row>
        <row r="5246">
          <cell r="C5246">
            <v>3005225</v>
          </cell>
          <cell r="D5246" t="str">
            <v>STC-ON-OFF-C/AR-S/RET-ADM-EV/EX-INTRA</v>
          </cell>
          <cell r="E5246" t="str">
            <v>H</v>
          </cell>
        </row>
        <row r="5247">
          <cell r="C5247">
            <v>3005226</v>
          </cell>
          <cell r="D5247" t="str">
            <v>STC-ON-OFF-C/AR-S/RET-ADM-EV/EX-KM-INTRA</v>
          </cell>
          <cell r="E5247" t="str">
            <v>KMS</v>
          </cell>
        </row>
        <row r="5248">
          <cell r="C5248">
            <v>3005227</v>
          </cell>
          <cell r="D5248" t="str">
            <v>STC-ON-OFF-C/AR-S/RET-ADM-HAB-INTRA</v>
          </cell>
          <cell r="E5248" t="str">
            <v>UN</v>
          </cell>
        </row>
        <row r="5249">
          <cell r="C5249">
            <v>3005228</v>
          </cell>
          <cell r="D5249" t="str">
            <v>STC-ON-OFF-C/AR-S/RET-ADM-HAB-KM-INTRA</v>
          </cell>
          <cell r="E5249" t="str">
            <v>KMS</v>
          </cell>
        </row>
        <row r="5250">
          <cell r="C5250">
            <v>3005229</v>
          </cell>
          <cell r="D5250" t="str">
            <v>STC-ON-OFF-C/AR-S/RET-OPE-EV/EX-INTRA</v>
          </cell>
          <cell r="E5250" t="str">
            <v>DIA</v>
          </cell>
        </row>
        <row r="5251">
          <cell r="C5251">
            <v>3005230</v>
          </cell>
          <cell r="D5251" t="str">
            <v>STC-ON-OFF-C/AR-S/RET-OPE-EV/EX-INTRA</v>
          </cell>
          <cell r="E5251" t="str">
            <v>H</v>
          </cell>
        </row>
        <row r="5252">
          <cell r="C5252">
            <v>3005231</v>
          </cell>
          <cell r="D5252" t="str">
            <v>STC-ON-OFF-C/AR-S/RET-OPE-EV/EX-KM-INTRA</v>
          </cell>
          <cell r="E5252" t="str">
            <v>KMS</v>
          </cell>
        </row>
        <row r="5253">
          <cell r="C5253">
            <v>3005232</v>
          </cell>
          <cell r="D5253" t="str">
            <v>STC-ON-OFF-C/AR-S/RET-OPE-HAB-INTRA</v>
          </cell>
          <cell r="E5253" t="str">
            <v>UN</v>
          </cell>
        </row>
        <row r="5254">
          <cell r="C5254">
            <v>3005233</v>
          </cell>
          <cell r="D5254" t="str">
            <v>STC-ON-OFF-C/AR-S/RET-OPE-HAB-KM-INTRA</v>
          </cell>
          <cell r="E5254" t="str">
            <v>KMS</v>
          </cell>
        </row>
        <row r="5255">
          <cell r="C5255">
            <v>3005234</v>
          </cell>
          <cell r="D5255" t="str">
            <v>STC-ON-OFF-C/AR-S/RET-TUR-EV/EX-INTRA</v>
          </cell>
          <cell r="E5255" t="str">
            <v>DIA</v>
          </cell>
        </row>
        <row r="5256">
          <cell r="C5256">
            <v>3005235</v>
          </cell>
          <cell r="D5256" t="str">
            <v>STC-ON-OFF-C/AR-S/RET-TUR-EV/EX-INTRA</v>
          </cell>
          <cell r="E5256" t="str">
            <v>H</v>
          </cell>
        </row>
        <row r="5257">
          <cell r="C5257">
            <v>3005236</v>
          </cell>
          <cell r="D5257" t="str">
            <v>STC-ON-OFF-C/AR-S/RET-TUR-EV/EX-KM-INTRA</v>
          </cell>
          <cell r="E5257" t="str">
            <v>KMS</v>
          </cell>
        </row>
        <row r="5258">
          <cell r="C5258">
            <v>3005237</v>
          </cell>
          <cell r="D5258" t="str">
            <v>STC-ON-OFF-C/AR-S/RET-TUR-HAB-INTRA</v>
          </cell>
          <cell r="E5258" t="str">
            <v>UN</v>
          </cell>
        </row>
        <row r="5259">
          <cell r="C5259">
            <v>3005238</v>
          </cell>
          <cell r="D5259" t="str">
            <v>STC-ON-OFF-C/AR-S/RET-TUR-HAB-KM-INTRA</v>
          </cell>
          <cell r="E5259" t="str">
            <v>KMS</v>
          </cell>
        </row>
        <row r="5260">
          <cell r="C5260">
            <v>3005239</v>
          </cell>
          <cell r="D5260" t="str">
            <v>STC-ON-OFF-S/AR-C/RET-ADM-EV/EX-INTRA</v>
          </cell>
          <cell r="E5260" t="str">
            <v>DIA</v>
          </cell>
        </row>
        <row r="5261">
          <cell r="C5261">
            <v>3005240</v>
          </cell>
          <cell r="D5261" t="str">
            <v>STC-ON-OFF-S/AR-C/RET-ADM-EV/EX-INTRA</v>
          </cell>
          <cell r="E5261" t="str">
            <v>H</v>
          </cell>
        </row>
        <row r="5262">
          <cell r="C5262">
            <v>3005241</v>
          </cell>
          <cell r="D5262" t="str">
            <v>STC-ON-OFF-S/AR-C/RET-ADM-EV/EX-KM-INTRA</v>
          </cell>
          <cell r="E5262" t="str">
            <v>KMS</v>
          </cell>
        </row>
        <row r="5263">
          <cell r="C5263">
            <v>3005242</v>
          </cell>
          <cell r="D5263" t="str">
            <v>STC-ON-OFF-S/AR-C/RET-ADM-HAB-INTRA</v>
          </cell>
          <cell r="E5263" t="str">
            <v>UN</v>
          </cell>
        </row>
        <row r="5264">
          <cell r="C5264">
            <v>3005243</v>
          </cell>
          <cell r="D5264" t="str">
            <v>STC-ON-OFF-S/AR-C/RET-ADM-HAB-KM-INTRA</v>
          </cell>
          <cell r="E5264" t="str">
            <v>KMS</v>
          </cell>
        </row>
        <row r="5265">
          <cell r="C5265">
            <v>3005244</v>
          </cell>
          <cell r="D5265" t="str">
            <v>STC-ON-OFF-S/AR-C/RET-OPE-EV/EX-INTRA</v>
          </cell>
          <cell r="E5265" t="str">
            <v>DIA</v>
          </cell>
        </row>
        <row r="5266">
          <cell r="C5266">
            <v>3005245</v>
          </cell>
          <cell r="D5266" t="str">
            <v>STC-ON-OFF-S/AR-C/RET-OPE-EV/EX-INTRA</v>
          </cell>
          <cell r="E5266" t="str">
            <v>H</v>
          </cell>
        </row>
        <row r="5267">
          <cell r="C5267">
            <v>3005246</v>
          </cell>
          <cell r="D5267" t="str">
            <v>STC-ON-OFF-S/AR-C/RET-OPE-EV/EX-KM-INTRA</v>
          </cell>
          <cell r="E5267" t="str">
            <v>KMS</v>
          </cell>
        </row>
        <row r="5268">
          <cell r="C5268">
            <v>3005247</v>
          </cell>
          <cell r="D5268" t="str">
            <v>STC-ON-OFF-S/AR-C/RET-OPE-HAB-INTRA</v>
          </cell>
          <cell r="E5268" t="str">
            <v>UN</v>
          </cell>
        </row>
        <row r="5269">
          <cell r="C5269">
            <v>3005248</v>
          </cell>
          <cell r="D5269" t="str">
            <v>STC-ON-OFF-S/AR-C/RET-OPE-HAB-KM-INTRA</v>
          </cell>
          <cell r="E5269" t="str">
            <v>KMS</v>
          </cell>
        </row>
        <row r="5270">
          <cell r="C5270">
            <v>3005249</v>
          </cell>
          <cell r="D5270" t="str">
            <v>STC-ON-OFF-S/AR-C/RET-TUR-EV/EX-INTRA</v>
          </cell>
          <cell r="E5270" t="str">
            <v>DIA</v>
          </cell>
        </row>
        <row r="5271">
          <cell r="C5271">
            <v>3005250</v>
          </cell>
          <cell r="D5271" t="str">
            <v>STC-ON-OFF-S/AR-C/RET-TUR-EV/EX-INTRA</v>
          </cell>
          <cell r="E5271" t="str">
            <v>H</v>
          </cell>
        </row>
        <row r="5272">
          <cell r="C5272">
            <v>3005251</v>
          </cell>
          <cell r="D5272" t="str">
            <v>STC-ON-OFF-S/AR-C/RET-TUR-EV/EX-KM-INTRA</v>
          </cell>
          <cell r="E5272" t="str">
            <v>KMS</v>
          </cell>
        </row>
        <row r="5273">
          <cell r="C5273">
            <v>3005252</v>
          </cell>
          <cell r="D5273" t="str">
            <v>STC-ON-OFF-S/AR-C/RET-TUR-HAB-INTRA</v>
          </cell>
          <cell r="E5273" t="str">
            <v>UN</v>
          </cell>
        </row>
        <row r="5274">
          <cell r="C5274">
            <v>3005253</v>
          </cell>
          <cell r="D5274" t="str">
            <v>STC-ON-OFF-S/AR-C/RET-TUR-HAB-KM-INTRA</v>
          </cell>
          <cell r="E5274" t="str">
            <v>KMS</v>
          </cell>
        </row>
        <row r="5275">
          <cell r="C5275">
            <v>3005254</v>
          </cell>
          <cell r="D5275" t="str">
            <v>STC-ON-OFF-S/AR-C/RET-TUR-HAB-KM-INTRA</v>
          </cell>
          <cell r="E5275" t="str">
            <v>SV</v>
          </cell>
        </row>
        <row r="5276">
          <cell r="C5276">
            <v>3005255</v>
          </cell>
          <cell r="D5276" t="str">
            <v>STC-ON-OFF-S/AR-S/RET-ADM-EV/EX-INTRA</v>
          </cell>
          <cell r="E5276" t="str">
            <v>DIA</v>
          </cell>
        </row>
        <row r="5277">
          <cell r="C5277">
            <v>3005256</v>
          </cell>
          <cell r="D5277" t="str">
            <v>STC-ON-OFF-S/AR-S/RET-ADM-EV/EX-INTRA</v>
          </cell>
          <cell r="E5277" t="str">
            <v>H</v>
          </cell>
        </row>
        <row r="5278">
          <cell r="C5278">
            <v>3005257</v>
          </cell>
          <cell r="D5278" t="str">
            <v>STC-ON-OFF-S/AR-S/RET-ADM-EV/EX-KM-INTRA</v>
          </cell>
          <cell r="E5278" t="str">
            <v>KMS</v>
          </cell>
        </row>
        <row r="5279">
          <cell r="C5279">
            <v>3005258</v>
          </cell>
          <cell r="D5279" t="str">
            <v>STC-ON-OFF-S/AR-S/RET-ADM-HAB-INTRA</v>
          </cell>
          <cell r="E5279" t="str">
            <v>UN</v>
          </cell>
        </row>
        <row r="5280">
          <cell r="C5280">
            <v>3005259</v>
          </cell>
          <cell r="D5280" t="str">
            <v>STC-ON-OFF-S/AR-S/RET-ADM-HAB-KM-INTRA</v>
          </cell>
          <cell r="E5280" t="str">
            <v>KMS</v>
          </cell>
        </row>
        <row r="5281">
          <cell r="C5281">
            <v>3005260</v>
          </cell>
          <cell r="D5281" t="str">
            <v>STC-ON-OFF-S/AR-S/RET-OPE-EV/EX-INTRA</v>
          </cell>
          <cell r="E5281" t="str">
            <v>DIA</v>
          </cell>
        </row>
        <row r="5282">
          <cell r="C5282">
            <v>3005261</v>
          </cell>
          <cell r="D5282" t="str">
            <v>STC-ON-OFF-S/AR-S/RET-OPE-EV/EX-INTRA</v>
          </cell>
          <cell r="E5282" t="str">
            <v>H</v>
          </cell>
        </row>
        <row r="5283">
          <cell r="C5283">
            <v>3005262</v>
          </cell>
          <cell r="D5283" t="str">
            <v>STC-ON-OFF-S/AR-S/RET-OPE-EV/EX-KM-INTRA</v>
          </cell>
          <cell r="E5283" t="str">
            <v>KMS</v>
          </cell>
        </row>
        <row r="5284">
          <cell r="C5284">
            <v>3005263</v>
          </cell>
          <cell r="D5284" t="str">
            <v>STC-ON-OFF-S/AR-S/RET-OPE-HAB-INTRA</v>
          </cell>
          <cell r="E5284" t="str">
            <v>UN</v>
          </cell>
        </row>
        <row r="5285">
          <cell r="C5285">
            <v>3005264</v>
          </cell>
          <cell r="D5285" t="str">
            <v>STC-ON-OFF-S/AR-S/RET-OPE-HAB-KM-INTRA</v>
          </cell>
          <cell r="E5285" t="str">
            <v>KMS</v>
          </cell>
        </row>
        <row r="5286">
          <cell r="C5286">
            <v>3005265</v>
          </cell>
          <cell r="D5286" t="str">
            <v>STC-ON-OFF-S/AR-S/RET-TUR-EV/EX-INTRA</v>
          </cell>
          <cell r="E5286" t="str">
            <v>DIA</v>
          </cell>
        </row>
        <row r="5287">
          <cell r="C5287">
            <v>3005266</v>
          </cell>
          <cell r="D5287" t="str">
            <v>STC-ON-OFF-S/AR-S/RET-TUR-EV/EX-INTRA</v>
          </cell>
          <cell r="E5287" t="str">
            <v>H</v>
          </cell>
        </row>
        <row r="5288">
          <cell r="C5288">
            <v>3005267</v>
          </cell>
          <cell r="D5288" t="str">
            <v>STC-ON-OFF-S/AR-S/RET-TUR-EV/EX-KM-INTRA</v>
          </cell>
          <cell r="E5288" t="str">
            <v>KMS</v>
          </cell>
        </row>
        <row r="5289">
          <cell r="C5289">
            <v>3005268</v>
          </cell>
          <cell r="D5289" t="str">
            <v>STC-ON-OFF-S/AR-S/RET-TUR-HAB-INTRA</v>
          </cell>
          <cell r="E5289" t="str">
            <v>UN</v>
          </cell>
        </row>
        <row r="5290">
          <cell r="C5290">
            <v>3005269</v>
          </cell>
          <cell r="D5290" t="str">
            <v>STC-ON-OFF-S/AR-S/RET-TUR-HAB-KM-INTRA</v>
          </cell>
          <cell r="E5290" t="str">
            <v>KMS</v>
          </cell>
        </row>
        <row r="5291">
          <cell r="C5291">
            <v>3005270</v>
          </cell>
          <cell r="D5291" t="str">
            <v>STC-ON-ROD-C/AR-C/RET-ADM-EV/EX-INTRA</v>
          </cell>
          <cell r="E5291" t="str">
            <v>DIA</v>
          </cell>
        </row>
        <row r="5292">
          <cell r="C5292">
            <v>3005271</v>
          </cell>
          <cell r="D5292" t="str">
            <v>STC-ON-ROD-C/AR-C/RET-ADM-EV/EX-INTRA</v>
          </cell>
          <cell r="E5292" t="str">
            <v>H</v>
          </cell>
        </row>
        <row r="5293">
          <cell r="C5293">
            <v>3005272</v>
          </cell>
          <cell r="D5293" t="str">
            <v>STC-ON-ROD-C/AR-C/RET-ADM-EV/EX-INTRA</v>
          </cell>
          <cell r="E5293" t="str">
            <v>UN</v>
          </cell>
        </row>
        <row r="5294">
          <cell r="C5294">
            <v>3005273</v>
          </cell>
          <cell r="D5294" t="str">
            <v>STC-ON-ROD-C/AR-C/RET-ADM-EV/EX-KM-INTRA</v>
          </cell>
          <cell r="E5294" t="str">
            <v>KMS</v>
          </cell>
        </row>
        <row r="5295">
          <cell r="C5295">
            <v>3005274</v>
          </cell>
          <cell r="D5295" t="str">
            <v>STC-ON-ROD-C/AR-C/RET-ADM-HAB-INTRA</v>
          </cell>
          <cell r="E5295" t="str">
            <v>UN</v>
          </cell>
        </row>
        <row r="5296">
          <cell r="C5296">
            <v>3005275</v>
          </cell>
          <cell r="D5296" t="str">
            <v>STC-ON-ROD-C/AR-C/RET-ADM-HAB-KM-INTRA</v>
          </cell>
          <cell r="E5296" t="str">
            <v>KMS</v>
          </cell>
        </row>
        <row r="5297">
          <cell r="C5297">
            <v>3005276</v>
          </cell>
          <cell r="D5297" t="str">
            <v>STC-ON-ROD-C/AR-C/RET-OPE-EV/EX-INTRA</v>
          </cell>
          <cell r="E5297" t="str">
            <v>DIA</v>
          </cell>
        </row>
        <row r="5298">
          <cell r="C5298">
            <v>3005277</v>
          </cell>
          <cell r="D5298" t="str">
            <v>STC-ON-ROD-C/AR-C/RET-OPE-EV/EX-INTRA</v>
          </cell>
          <cell r="E5298" t="str">
            <v>H</v>
          </cell>
        </row>
        <row r="5299">
          <cell r="C5299">
            <v>3005278</v>
          </cell>
          <cell r="D5299" t="str">
            <v>STC-ON-ROD-C/AR-C/RET-OPE-EV/EX-KM-INTRA</v>
          </cell>
          <cell r="E5299" t="str">
            <v>KMS</v>
          </cell>
        </row>
        <row r="5300">
          <cell r="C5300">
            <v>3005279</v>
          </cell>
          <cell r="D5300" t="str">
            <v>STC-ON-ROD-C/AR-C/RET-OPE-HAB-INTRA</v>
          </cell>
          <cell r="E5300" t="str">
            <v>UN</v>
          </cell>
        </row>
        <row r="5301">
          <cell r="C5301">
            <v>3005280</v>
          </cell>
          <cell r="D5301" t="str">
            <v>STC-ON-ROD-C/AR-C/RET-OPE-HAB-KM-INTRA</v>
          </cell>
          <cell r="E5301" t="str">
            <v>KMS</v>
          </cell>
        </row>
        <row r="5302">
          <cell r="C5302">
            <v>3005281</v>
          </cell>
          <cell r="D5302" t="str">
            <v>STC-ON-ROD-C/AR-C/RET-TUR-EV/EX-INTRA</v>
          </cell>
          <cell r="E5302" t="str">
            <v>DIA</v>
          </cell>
        </row>
        <row r="5303">
          <cell r="C5303">
            <v>3005282</v>
          </cell>
          <cell r="D5303" t="str">
            <v>STC-ON-ROD-C/AR-C/RET-TUR-EV/EX-INTRA</v>
          </cell>
          <cell r="E5303" t="str">
            <v>H</v>
          </cell>
        </row>
        <row r="5304">
          <cell r="C5304">
            <v>3005283</v>
          </cell>
          <cell r="D5304" t="str">
            <v>STC-ON-ROD-C/AR-C/RET-TUR-EV/EX-KM-INTRA</v>
          </cell>
          <cell r="E5304" t="str">
            <v>KMS</v>
          </cell>
        </row>
        <row r="5305">
          <cell r="C5305">
            <v>3005284</v>
          </cell>
          <cell r="D5305" t="str">
            <v>STC-ON-ROD-C/AR-C/RET-TUR-HAB-INTRA</v>
          </cell>
          <cell r="E5305" t="str">
            <v>UN</v>
          </cell>
        </row>
        <row r="5306">
          <cell r="C5306">
            <v>3005285</v>
          </cell>
          <cell r="D5306" t="str">
            <v>STC-ON-ROD-C/AR-C/RET-TUR-HAB-KM-INTRA</v>
          </cell>
          <cell r="E5306" t="str">
            <v>KMS</v>
          </cell>
        </row>
        <row r="5307">
          <cell r="C5307">
            <v>3005286</v>
          </cell>
          <cell r="D5307" t="str">
            <v>STC-ON-ROD-C/AR-S/RET-ADM-EV/EX-INTRA</v>
          </cell>
          <cell r="E5307" t="str">
            <v>DIA</v>
          </cell>
        </row>
        <row r="5308">
          <cell r="C5308">
            <v>3005287</v>
          </cell>
          <cell r="D5308" t="str">
            <v>STC-ON-ROD-C/AR-S/RET-ADM-EV/EX-INTRA</v>
          </cell>
          <cell r="E5308" t="str">
            <v>H</v>
          </cell>
        </row>
        <row r="5309">
          <cell r="C5309">
            <v>3005288</v>
          </cell>
          <cell r="D5309" t="str">
            <v>STC-ON-ROD-C/AR-S/RET-ADM-EV/EX-KM-INTRA</v>
          </cell>
          <cell r="E5309" t="str">
            <v>KMS</v>
          </cell>
        </row>
        <row r="5310">
          <cell r="C5310">
            <v>3005289</v>
          </cell>
          <cell r="D5310" t="str">
            <v>STC-ON-ROD-C/AR-S/RET-ADM-HAB-INTRA</v>
          </cell>
          <cell r="E5310" t="str">
            <v>UN</v>
          </cell>
        </row>
        <row r="5311">
          <cell r="C5311">
            <v>3005290</v>
          </cell>
          <cell r="D5311" t="str">
            <v>STC-ON-ROD-C/AR-S/RET-ADM-HAB-KM-INTRA</v>
          </cell>
          <cell r="E5311" t="str">
            <v>KMS</v>
          </cell>
        </row>
        <row r="5312">
          <cell r="C5312">
            <v>3005291</v>
          </cell>
          <cell r="D5312" t="str">
            <v>STC-ON-ROD-C/AR-S/RET-OPE-EV/EX-INTRA</v>
          </cell>
          <cell r="E5312" t="str">
            <v>DIA</v>
          </cell>
        </row>
        <row r="5313">
          <cell r="C5313">
            <v>3005292</v>
          </cell>
          <cell r="D5313" t="str">
            <v>STC-ON-ROD-C/AR-S/RET-OPE-EV/EX-INTRA</v>
          </cell>
          <cell r="E5313" t="str">
            <v>H</v>
          </cell>
        </row>
        <row r="5314">
          <cell r="C5314">
            <v>3005293</v>
          </cell>
          <cell r="D5314" t="str">
            <v>STC-ON-ROD-C/AR-S/RET-OPE-EV/EX-KM-INTRA</v>
          </cell>
          <cell r="E5314" t="str">
            <v>KMS</v>
          </cell>
        </row>
        <row r="5315">
          <cell r="C5315">
            <v>3005294</v>
          </cell>
          <cell r="D5315" t="str">
            <v>STC-ON-ROD-C/AR-S/RET-OPE-HAB-INTRA</v>
          </cell>
          <cell r="E5315" t="str">
            <v>UN</v>
          </cell>
        </row>
        <row r="5316">
          <cell r="C5316">
            <v>3005295</v>
          </cell>
          <cell r="D5316" t="str">
            <v>STC-ON-ROD-C/AR-S/RET-OPE-HAB-KM-INTRA</v>
          </cell>
          <cell r="E5316" t="str">
            <v>KMS</v>
          </cell>
        </row>
        <row r="5317">
          <cell r="C5317">
            <v>3005296</v>
          </cell>
          <cell r="D5317" t="str">
            <v>STC-ON-ROD-C/AR-S/RET-TUR-EV/EX-INTRA</v>
          </cell>
          <cell r="E5317" t="str">
            <v>DIA</v>
          </cell>
        </row>
        <row r="5318">
          <cell r="C5318">
            <v>3005297</v>
          </cell>
          <cell r="D5318" t="str">
            <v>STC-ON-ROD-C/AR-S/RET-TUR-EV/EX-INTRA</v>
          </cell>
          <cell r="E5318" t="str">
            <v>H</v>
          </cell>
        </row>
        <row r="5319">
          <cell r="C5319">
            <v>3005298</v>
          </cell>
          <cell r="D5319" t="str">
            <v>STC-ON-ROD-C/AR-S/RET-TUR-EV/EX-KM-INTRA</v>
          </cell>
          <cell r="E5319" t="str">
            <v>KMS</v>
          </cell>
        </row>
        <row r="5320">
          <cell r="C5320">
            <v>3005299</v>
          </cell>
          <cell r="D5320" t="str">
            <v>STC-ON-ROD-C/AR-S/RET-TUR-HAB-INTRA</v>
          </cell>
          <cell r="E5320" t="str">
            <v>UN</v>
          </cell>
        </row>
        <row r="5321">
          <cell r="C5321">
            <v>3005300</v>
          </cell>
          <cell r="D5321" t="str">
            <v>STC-ON-ROD-C/AR-S/RET-TUR-HAB-KM-INTRA</v>
          </cell>
          <cell r="E5321" t="str">
            <v>KMS</v>
          </cell>
        </row>
        <row r="5322">
          <cell r="C5322">
            <v>3005301</v>
          </cell>
          <cell r="D5322" t="str">
            <v>STC-ON-ROD-S/AR-C/RET-ADM-EV/EX-INTRA</v>
          </cell>
          <cell r="E5322" t="str">
            <v>DIA</v>
          </cell>
        </row>
        <row r="5323">
          <cell r="C5323">
            <v>3005302</v>
          </cell>
          <cell r="D5323" t="str">
            <v>STC-ON-ROD-S/AR-C/RET-ADM-EV/EX-INTRA</v>
          </cell>
          <cell r="E5323" t="str">
            <v>H</v>
          </cell>
        </row>
        <row r="5324">
          <cell r="C5324">
            <v>3005303</v>
          </cell>
          <cell r="D5324" t="str">
            <v>STC-ON-ROD-S/AR-C/RET-ADM-EV/EX-KM-INTRA</v>
          </cell>
          <cell r="E5324" t="str">
            <v>KMS</v>
          </cell>
        </row>
        <row r="5325">
          <cell r="C5325">
            <v>3005304</v>
          </cell>
          <cell r="D5325" t="str">
            <v>STC-ON-ROD-S/AR-C/RET-ADM-HAB-INTRA</v>
          </cell>
          <cell r="E5325" t="str">
            <v>UN</v>
          </cell>
        </row>
        <row r="5326">
          <cell r="C5326">
            <v>3005305</v>
          </cell>
          <cell r="D5326" t="str">
            <v>STC-ON-ROD-S/AR-C/RET-ADM-HAB-KM-INTRA</v>
          </cell>
          <cell r="E5326" t="str">
            <v>KMS</v>
          </cell>
        </row>
        <row r="5327">
          <cell r="C5327">
            <v>3005306</v>
          </cell>
          <cell r="D5327" t="str">
            <v>STC-ON-ROD-S/AR-C/RET-OPE-EV/EX-INTRA</v>
          </cell>
          <cell r="E5327" t="str">
            <v>DIA</v>
          </cell>
        </row>
        <row r="5328">
          <cell r="C5328">
            <v>3005307</v>
          </cell>
          <cell r="D5328" t="str">
            <v>STC-ON-ROD-S/AR-C/RET-OPE-EV/EX-INTRA</v>
          </cell>
          <cell r="E5328" t="str">
            <v>H</v>
          </cell>
        </row>
        <row r="5329">
          <cell r="C5329">
            <v>3005308</v>
          </cell>
          <cell r="D5329" t="str">
            <v>STC-ON-ROD-S/AR-C/RET-OPE-EV/EX-KM-INTRA</v>
          </cell>
          <cell r="E5329" t="str">
            <v>KMS</v>
          </cell>
        </row>
        <row r="5330">
          <cell r="C5330">
            <v>3005309</v>
          </cell>
          <cell r="D5330" t="str">
            <v>STC-ON-ROD-S/AR-C/RET-OPE-HAB-INTRA</v>
          </cell>
          <cell r="E5330" t="str">
            <v>UN</v>
          </cell>
        </row>
        <row r="5331">
          <cell r="C5331">
            <v>3005310</v>
          </cell>
          <cell r="D5331" t="str">
            <v>STC-ON-ROD-S/AR-C/RET-OPE-HAB-KM-INTRA</v>
          </cell>
          <cell r="E5331" t="str">
            <v>KMS</v>
          </cell>
        </row>
        <row r="5332">
          <cell r="C5332">
            <v>3005311</v>
          </cell>
          <cell r="D5332" t="str">
            <v>STC-ON-ROD-S/AR-C/RET-TUR-EV/EX-INTRA</v>
          </cell>
          <cell r="E5332" t="str">
            <v>DIA</v>
          </cell>
        </row>
        <row r="5333">
          <cell r="C5333">
            <v>3005312</v>
          </cell>
          <cell r="D5333" t="str">
            <v>STC-ON-ROD-S/AR-C/RET-TUR-EV/EX-INTRA</v>
          </cell>
          <cell r="E5333" t="str">
            <v>H</v>
          </cell>
        </row>
        <row r="5334">
          <cell r="C5334">
            <v>3005313</v>
          </cell>
          <cell r="D5334" t="str">
            <v>STC-ON-ROD-S/AR-C/RET-TUR-EV/EX-KM-INTRA</v>
          </cell>
          <cell r="E5334" t="str">
            <v>KMS</v>
          </cell>
        </row>
        <row r="5335">
          <cell r="C5335">
            <v>3005314</v>
          </cell>
          <cell r="D5335" t="str">
            <v>STC-ON-ROD-S/AR-C/RET-TUR-HAB-INTRA</v>
          </cell>
          <cell r="E5335" t="str">
            <v>UN</v>
          </cell>
        </row>
        <row r="5336">
          <cell r="C5336">
            <v>3005315</v>
          </cell>
          <cell r="D5336" t="str">
            <v>STC-ON-ROD-S/AR-C/RET-TUR-HAB-KM-INTRA</v>
          </cell>
          <cell r="E5336" t="str">
            <v>KMS</v>
          </cell>
        </row>
        <row r="5337">
          <cell r="C5337">
            <v>3005316</v>
          </cell>
          <cell r="D5337" t="str">
            <v>STC-ON-ROD-S/AR-S/RET-ADM-EV/EX-INTRA</v>
          </cell>
          <cell r="E5337" t="str">
            <v>DIA</v>
          </cell>
        </row>
        <row r="5338">
          <cell r="C5338">
            <v>3005317</v>
          </cell>
          <cell r="D5338" t="str">
            <v>STC-ON-ROD-S/AR-S/RET-ADM-EV/EX-INTRA</v>
          </cell>
          <cell r="E5338" t="str">
            <v>H</v>
          </cell>
        </row>
        <row r="5339">
          <cell r="C5339">
            <v>3005318</v>
          </cell>
          <cell r="D5339" t="str">
            <v>STC-ON-ROD-S/AR-S/RET-ADM-EV/EX-KM-INTRA</v>
          </cell>
          <cell r="E5339" t="str">
            <v>KMS</v>
          </cell>
        </row>
        <row r="5340">
          <cell r="C5340">
            <v>3005319</v>
          </cell>
          <cell r="D5340" t="str">
            <v>STC-ON-ROD-S/AR-S/RET-ADM-HAB-INTRA</v>
          </cell>
          <cell r="E5340" t="str">
            <v>UN</v>
          </cell>
        </row>
        <row r="5341">
          <cell r="C5341">
            <v>3005320</v>
          </cell>
          <cell r="D5341" t="str">
            <v>STC-ON-ROD-S/AR-S/RET-ADM-HAB-KM-INTRA</v>
          </cell>
          <cell r="E5341" t="str">
            <v>KMS</v>
          </cell>
        </row>
        <row r="5342">
          <cell r="C5342">
            <v>3005321</v>
          </cell>
          <cell r="D5342" t="str">
            <v>STC-ON-ROD-S/AR-S/RET-OPE-EV/EX-INTRA</v>
          </cell>
          <cell r="E5342" t="str">
            <v>DIA</v>
          </cell>
        </row>
        <row r="5343">
          <cell r="C5343">
            <v>3005322</v>
          </cell>
          <cell r="D5343" t="str">
            <v>STC-ON-ROD-S/AR-S/RET-OPE-EV/EX-INTRA</v>
          </cell>
          <cell r="E5343" t="str">
            <v>H</v>
          </cell>
        </row>
        <row r="5344">
          <cell r="C5344">
            <v>3005323</v>
          </cell>
          <cell r="D5344" t="str">
            <v>STC-ON-ROD-S/AR-S/RET-OPE-EV/EX-KM-INTRA</v>
          </cell>
          <cell r="E5344" t="str">
            <v>KMS</v>
          </cell>
        </row>
        <row r="5345">
          <cell r="C5345">
            <v>3005324</v>
          </cell>
          <cell r="D5345" t="str">
            <v>STC-ON-ROD-S/AR-S/RET-OPE-HAB-INTRA</v>
          </cell>
          <cell r="E5345" t="str">
            <v>UN</v>
          </cell>
        </row>
        <row r="5346">
          <cell r="C5346">
            <v>3005325</v>
          </cell>
          <cell r="D5346" t="str">
            <v>STC-ON-ROD-S/AR-S/RET-OPE-HAB-KM-INTRA</v>
          </cell>
          <cell r="E5346" t="str">
            <v>KMS</v>
          </cell>
        </row>
        <row r="5347">
          <cell r="C5347">
            <v>3005326</v>
          </cell>
          <cell r="D5347" t="str">
            <v>STC-ON-ROD-S/AR-S/RET-TUR-EV/EX-INTRA</v>
          </cell>
          <cell r="E5347" t="str">
            <v>DIA</v>
          </cell>
        </row>
        <row r="5348">
          <cell r="C5348">
            <v>3005327</v>
          </cell>
          <cell r="D5348" t="str">
            <v>STC-ON-ROD-S/AR-S/RET-TUR-EV/EX-INTRA</v>
          </cell>
          <cell r="E5348" t="str">
            <v>H</v>
          </cell>
        </row>
        <row r="5349">
          <cell r="C5349">
            <v>3005328</v>
          </cell>
          <cell r="D5349" t="str">
            <v>STC-ON-ROD-S/AR-S/RET-TUR-EV/EX-KM-INTRA</v>
          </cell>
          <cell r="E5349" t="str">
            <v>KMS</v>
          </cell>
        </row>
        <row r="5350">
          <cell r="C5350">
            <v>3005329</v>
          </cell>
          <cell r="D5350" t="str">
            <v>STC-ON-ROD-S/AR-S/RET-TUR-HAB-INTRA</v>
          </cell>
          <cell r="E5350" t="str">
            <v>UN</v>
          </cell>
        </row>
        <row r="5351">
          <cell r="C5351">
            <v>3005330</v>
          </cell>
          <cell r="D5351" t="str">
            <v>STC-ON-ROD-S/AR-S/RET-TUR-HAB-KM-INTRA</v>
          </cell>
          <cell r="E5351" t="str">
            <v>KMS</v>
          </cell>
        </row>
        <row r="5352">
          <cell r="C5352">
            <v>3005331</v>
          </cell>
          <cell r="D5352" t="str">
            <v>STC-ON-URB-C/AR-C/RET-ADM-EV/EX-INTRA</v>
          </cell>
          <cell r="E5352" t="str">
            <v>DIA</v>
          </cell>
        </row>
        <row r="5353">
          <cell r="C5353">
            <v>3005332</v>
          </cell>
          <cell r="D5353" t="str">
            <v>STC-ON-URB-C/AR-C/RET-ADM-EV/EX-INTRA</v>
          </cell>
          <cell r="E5353" t="str">
            <v>H</v>
          </cell>
        </row>
        <row r="5354">
          <cell r="C5354">
            <v>3005333</v>
          </cell>
          <cell r="D5354" t="str">
            <v>STC-ON-URB-C/AR-C/RET-ADM-EV/EX-INTRA</v>
          </cell>
          <cell r="E5354" t="str">
            <v>UN</v>
          </cell>
        </row>
        <row r="5355">
          <cell r="C5355">
            <v>3005334</v>
          </cell>
          <cell r="D5355" t="str">
            <v>STC-ON-URB-C/AR-C/RET-ADM-EV/EX-KM-INTRA</v>
          </cell>
          <cell r="E5355" t="str">
            <v>KMS</v>
          </cell>
        </row>
        <row r="5356">
          <cell r="C5356">
            <v>3005335</v>
          </cell>
          <cell r="D5356" t="str">
            <v>STC-ON-URB-C/AR-C/RET-ADM-HAB-INTRA</v>
          </cell>
          <cell r="E5356" t="str">
            <v>UN</v>
          </cell>
        </row>
        <row r="5357">
          <cell r="C5357">
            <v>3005336</v>
          </cell>
          <cell r="D5357" t="str">
            <v>STC-ON-URB-C/AR-C/RET-ADM-HAB-KM-INTRA</v>
          </cell>
          <cell r="E5357" t="str">
            <v>KMS</v>
          </cell>
        </row>
        <row r="5358">
          <cell r="C5358">
            <v>3005337</v>
          </cell>
          <cell r="D5358" t="str">
            <v>STC-ON-URB-C/AR-C/RET-OPE-EV/EX-INTRA</v>
          </cell>
          <cell r="E5358" t="str">
            <v>DIA</v>
          </cell>
        </row>
        <row r="5359">
          <cell r="C5359">
            <v>3005338</v>
          </cell>
          <cell r="D5359" t="str">
            <v>STC-ON-URB-C/AR-C/RET-OPE-EV/EX-INTRA</v>
          </cell>
          <cell r="E5359" t="str">
            <v>H</v>
          </cell>
        </row>
        <row r="5360">
          <cell r="C5360">
            <v>3005339</v>
          </cell>
          <cell r="D5360" t="str">
            <v>STC-ON-URB-C/AR-C/RET-OPE-EV/EX-KM-INTRA</v>
          </cell>
          <cell r="E5360" t="str">
            <v>KMS</v>
          </cell>
        </row>
        <row r="5361">
          <cell r="C5361">
            <v>3005340</v>
          </cell>
          <cell r="D5361" t="str">
            <v>STC-ON-URB-C/AR-C/RET-OPE-HAB-INTRA</v>
          </cell>
          <cell r="E5361" t="str">
            <v>UN</v>
          </cell>
        </row>
        <row r="5362">
          <cell r="C5362">
            <v>3005341</v>
          </cell>
          <cell r="D5362" t="str">
            <v>STC-ON-URB-C/AR-C/RET-OPE-HAB-KM-INTRA</v>
          </cell>
          <cell r="E5362" t="str">
            <v>KMS</v>
          </cell>
        </row>
        <row r="5363">
          <cell r="C5363">
            <v>3005342</v>
          </cell>
          <cell r="D5363" t="str">
            <v>STC-ON-URB-C/AR-C/RET-TUR-EV/EX-INTRA</v>
          </cell>
          <cell r="E5363" t="str">
            <v>DIA</v>
          </cell>
        </row>
        <row r="5364">
          <cell r="C5364">
            <v>3005343</v>
          </cell>
          <cell r="D5364" t="str">
            <v>STC-ON-URB-C/AR-C/RET-TUR-EV/EX-INTRA</v>
          </cell>
          <cell r="E5364" t="str">
            <v>H</v>
          </cell>
        </row>
        <row r="5365">
          <cell r="C5365">
            <v>3005344</v>
          </cell>
          <cell r="D5365" t="str">
            <v>STC-ÔN-URB-C/AR-C/RET-TUR-EV/EX-KM-INTRA</v>
          </cell>
          <cell r="E5365" t="str">
            <v>KMS</v>
          </cell>
        </row>
        <row r="5366">
          <cell r="C5366">
            <v>3005345</v>
          </cell>
          <cell r="D5366" t="str">
            <v>STC-ON-URB-C/AR-C/RET-TUR-HAB-INTRA</v>
          </cell>
          <cell r="E5366" t="str">
            <v>UN</v>
          </cell>
        </row>
        <row r="5367">
          <cell r="C5367">
            <v>3005346</v>
          </cell>
          <cell r="D5367" t="str">
            <v>STC-ON-URB-C/AR-C/RET-TUR-HAB-KM-INTRA</v>
          </cell>
          <cell r="E5367" t="str">
            <v>KMS</v>
          </cell>
        </row>
        <row r="5368">
          <cell r="C5368">
            <v>3005347</v>
          </cell>
          <cell r="D5368" t="str">
            <v>STC-ON-URB-C/AR-S/RET-ADM-EV/EX-INTRA</v>
          </cell>
          <cell r="E5368" t="str">
            <v>DIA</v>
          </cell>
        </row>
        <row r="5369">
          <cell r="C5369">
            <v>3005348</v>
          </cell>
          <cell r="D5369" t="str">
            <v>STC-ON-URB-C/AR-S/RET-ADM-EV/EX-INTRA</v>
          </cell>
          <cell r="E5369" t="str">
            <v>H</v>
          </cell>
        </row>
        <row r="5370">
          <cell r="C5370">
            <v>3005349</v>
          </cell>
          <cell r="D5370" t="str">
            <v>STC-ON-URB-C/AR-S/RET-ADM-EV/EX-KM-INTRA</v>
          </cell>
          <cell r="E5370" t="str">
            <v>KMS</v>
          </cell>
        </row>
        <row r="5371">
          <cell r="C5371">
            <v>3005350</v>
          </cell>
          <cell r="D5371" t="str">
            <v>STC-ON-URB-C/AR-S/RET-ADM-HAB-INTRA</v>
          </cell>
          <cell r="E5371" t="str">
            <v>UN</v>
          </cell>
        </row>
        <row r="5372">
          <cell r="C5372">
            <v>3005351</v>
          </cell>
          <cell r="D5372" t="str">
            <v>STC-ON-URB-C/AR-S/RET-ADM-HAB-KM-INTRA</v>
          </cell>
          <cell r="E5372" t="str">
            <v>KMS</v>
          </cell>
        </row>
        <row r="5373">
          <cell r="C5373">
            <v>3005352</v>
          </cell>
          <cell r="D5373" t="str">
            <v>STC-ON-URB-C/AR-S/RET-OPE-EV/EX-INTRA</v>
          </cell>
          <cell r="E5373" t="str">
            <v>DIA</v>
          </cell>
        </row>
        <row r="5374">
          <cell r="C5374">
            <v>3005353</v>
          </cell>
          <cell r="D5374" t="str">
            <v>STC-ON-URB-C/AR-S/RET-OPE-EV/EX-INTRA</v>
          </cell>
          <cell r="E5374" t="str">
            <v>H</v>
          </cell>
        </row>
        <row r="5375">
          <cell r="C5375">
            <v>3005354</v>
          </cell>
          <cell r="D5375" t="str">
            <v>STC-ON-URB-C/AR-S/RET-OPE-EV/EX-KM-INTRA</v>
          </cell>
          <cell r="E5375" t="str">
            <v>H</v>
          </cell>
        </row>
        <row r="5376">
          <cell r="C5376">
            <v>3005355</v>
          </cell>
          <cell r="D5376" t="str">
            <v>STC-ON-URB-C/AR-S/RET-OPE-EV/EX-KM-INTRA</v>
          </cell>
          <cell r="E5376" t="str">
            <v>KMS</v>
          </cell>
        </row>
        <row r="5377">
          <cell r="C5377">
            <v>3005356</v>
          </cell>
          <cell r="D5377" t="str">
            <v>TRANSPORTE DE PASSAGEIROS</v>
          </cell>
          <cell r="E5377" t="str">
            <v>SV</v>
          </cell>
        </row>
        <row r="5378">
          <cell r="C5378">
            <v>3005357</v>
          </cell>
          <cell r="D5378" t="str">
            <v>STC-ON-URB-C/AR-S/RET-OPE-EV/EX-KM-INTRA</v>
          </cell>
          <cell r="E5378" t="str">
            <v>UN</v>
          </cell>
        </row>
        <row r="5379">
          <cell r="C5379">
            <v>3005358</v>
          </cell>
          <cell r="D5379" t="str">
            <v>STC-ON-URB-C/AR-S/RET-OPE-HAB-INTRA</v>
          </cell>
          <cell r="E5379" t="str">
            <v>UN</v>
          </cell>
        </row>
        <row r="5380">
          <cell r="C5380">
            <v>3005359</v>
          </cell>
          <cell r="D5380" t="str">
            <v>STC-ON-URB-C/AR-S/RET-OPE-HAB-KM-INTRA</v>
          </cell>
          <cell r="E5380" t="str">
            <v>KMS</v>
          </cell>
        </row>
        <row r="5381">
          <cell r="C5381">
            <v>3005360</v>
          </cell>
          <cell r="D5381" t="str">
            <v>STC-ON-URB-C/AR-S/RET-TUR-EV/EX-INTRA</v>
          </cell>
          <cell r="E5381" t="str">
            <v>DIA</v>
          </cell>
        </row>
        <row r="5382">
          <cell r="C5382">
            <v>3005361</v>
          </cell>
          <cell r="D5382" t="str">
            <v>STC-ON-URB-C/AR-S/RET-TUR-EV/EX-INTRA</v>
          </cell>
          <cell r="E5382" t="str">
            <v>H</v>
          </cell>
        </row>
        <row r="5383">
          <cell r="C5383">
            <v>3005362</v>
          </cell>
          <cell r="D5383" t="str">
            <v>STC-ON-URB-C/AR-S/RET-TUR-EV/EX-KM-INTRA</v>
          </cell>
          <cell r="E5383" t="str">
            <v>KMS</v>
          </cell>
        </row>
        <row r="5384">
          <cell r="C5384">
            <v>3005363</v>
          </cell>
          <cell r="D5384" t="str">
            <v>STC-ON-URB-C/AR-S/RET-TUR-HAB-INTRA</v>
          </cell>
          <cell r="E5384" t="str">
            <v>UN</v>
          </cell>
        </row>
        <row r="5385">
          <cell r="C5385">
            <v>3005364</v>
          </cell>
          <cell r="D5385" t="str">
            <v>STC-ON-URB-C/AR-S/RET-TUR-HAB-KM-INTRA</v>
          </cell>
          <cell r="E5385" t="str">
            <v>KMS</v>
          </cell>
        </row>
        <row r="5386">
          <cell r="C5386">
            <v>3005365</v>
          </cell>
          <cell r="D5386" t="str">
            <v>STC-ON-URB-S/AR-C/RET-ADM-EV/EX-INTRA</v>
          </cell>
          <cell r="E5386" t="str">
            <v>DIA</v>
          </cell>
        </row>
        <row r="5387">
          <cell r="C5387">
            <v>3005366</v>
          </cell>
          <cell r="D5387" t="str">
            <v>STC-ON-URB-S/AR-C/RET-ADM-EV/EX-INTRA</v>
          </cell>
          <cell r="E5387" t="str">
            <v>H</v>
          </cell>
        </row>
        <row r="5388">
          <cell r="C5388">
            <v>3005367</v>
          </cell>
          <cell r="D5388" t="str">
            <v>STC-ON-URB-S/AR-C/RET-ADM-EV/EX-KM-INTRA</v>
          </cell>
          <cell r="E5388" t="str">
            <v>KMS</v>
          </cell>
        </row>
        <row r="5389">
          <cell r="C5389">
            <v>3005368</v>
          </cell>
          <cell r="D5389" t="str">
            <v>STC-ON-URB-S/AR-C/RET-ADM-HAB-INTRA</v>
          </cell>
          <cell r="E5389" t="str">
            <v>UN</v>
          </cell>
        </row>
        <row r="5390">
          <cell r="C5390">
            <v>3005369</v>
          </cell>
          <cell r="D5390" t="str">
            <v>STC-ON-URB-S/AR-C/RET-ADM-HAB-KM-INTRA</v>
          </cell>
          <cell r="E5390" t="str">
            <v>KMS</v>
          </cell>
        </row>
        <row r="5391">
          <cell r="C5391">
            <v>3005370</v>
          </cell>
          <cell r="D5391" t="str">
            <v>STC-ON-URB-S/AR-C/RET-OPE-EV/EX-INTRA</v>
          </cell>
          <cell r="E5391" t="str">
            <v>DIA</v>
          </cell>
        </row>
        <row r="5392">
          <cell r="C5392">
            <v>3005371</v>
          </cell>
          <cell r="D5392" t="str">
            <v>STC-ON-URB-S/AR-C/RET-OPE-EV/EX-INTRA</v>
          </cell>
          <cell r="E5392" t="str">
            <v>H</v>
          </cell>
        </row>
        <row r="5393">
          <cell r="C5393">
            <v>3005372</v>
          </cell>
          <cell r="D5393" t="str">
            <v>STC-ON-URB-S/AR-C/RET-OPE-EV/EX-KM-INTRA</v>
          </cell>
          <cell r="E5393" t="str">
            <v>KMS</v>
          </cell>
        </row>
        <row r="5394">
          <cell r="C5394">
            <v>3005373</v>
          </cell>
          <cell r="D5394" t="str">
            <v>STC-ON-URB-S/AR-C/RET-OPE-HAB-INTRA</v>
          </cell>
          <cell r="E5394" t="str">
            <v>UN</v>
          </cell>
        </row>
        <row r="5395">
          <cell r="C5395">
            <v>3005374</v>
          </cell>
          <cell r="D5395" t="str">
            <v>STC-ON-URB-S/AR-C/RET-OPE-HAB-KM-INTRA</v>
          </cell>
          <cell r="E5395" t="str">
            <v>KMS</v>
          </cell>
        </row>
        <row r="5396">
          <cell r="C5396">
            <v>3005375</v>
          </cell>
          <cell r="D5396" t="str">
            <v>STC-ON-URB-S/AR-C/RET-TUR-EV/EX-INTRA</v>
          </cell>
          <cell r="E5396" t="str">
            <v>DIA</v>
          </cell>
        </row>
        <row r="5397">
          <cell r="C5397">
            <v>3005376</v>
          </cell>
          <cell r="D5397" t="str">
            <v>STC-ON-URB-S/AR-C/RET-TUR-EV/EX-INTRA</v>
          </cell>
          <cell r="E5397" t="str">
            <v>H</v>
          </cell>
        </row>
        <row r="5398">
          <cell r="C5398">
            <v>3005377</v>
          </cell>
          <cell r="D5398" t="str">
            <v>STC-ON-URB-S/AR-C/RET-TUR-EV/EX-KM-INTRA</v>
          </cell>
          <cell r="E5398" t="str">
            <v>KMS</v>
          </cell>
        </row>
        <row r="5399">
          <cell r="C5399">
            <v>3005378</v>
          </cell>
          <cell r="D5399" t="str">
            <v>STC-ON-URB-S/AR-C/RET-TUR-HAB-INTRA</v>
          </cell>
          <cell r="E5399" t="str">
            <v>UN</v>
          </cell>
        </row>
        <row r="5400">
          <cell r="C5400">
            <v>3005379</v>
          </cell>
          <cell r="D5400" t="str">
            <v>STC-ON-URB-S/AR-C/RET-TUR-HAB-KM-INTRA</v>
          </cell>
          <cell r="E5400" t="str">
            <v>KMS</v>
          </cell>
        </row>
        <row r="5401">
          <cell r="C5401">
            <v>3005380</v>
          </cell>
          <cell r="D5401" t="str">
            <v>STC-ON-URB-S/AR-S/RET-ADM-EV/EX-INTRA</v>
          </cell>
          <cell r="E5401" t="str">
            <v>DIA</v>
          </cell>
        </row>
        <row r="5402">
          <cell r="C5402">
            <v>3005381</v>
          </cell>
          <cell r="D5402" t="str">
            <v>STC-ON-URB-S/AR-S/RET-ADM-EV/EX-INTRA</v>
          </cell>
          <cell r="E5402" t="str">
            <v>H</v>
          </cell>
        </row>
        <row r="5403">
          <cell r="C5403">
            <v>3005382</v>
          </cell>
          <cell r="D5403" t="str">
            <v>STC-ON-URB-S/AR-S/RET-ADM-EV/EX-KM-INTRA</v>
          </cell>
          <cell r="E5403" t="str">
            <v>KMS</v>
          </cell>
        </row>
        <row r="5404">
          <cell r="C5404">
            <v>3005383</v>
          </cell>
          <cell r="D5404" t="str">
            <v>STC-ON-URB-S/AR-S/RET-ADM-HAB-INTRA</v>
          </cell>
          <cell r="E5404" t="str">
            <v>UN</v>
          </cell>
        </row>
        <row r="5405">
          <cell r="C5405">
            <v>3005384</v>
          </cell>
          <cell r="D5405" t="str">
            <v>STC-ON-URB-S/AR-S/RET-ADM-HAB-KM-INTRA</v>
          </cell>
          <cell r="E5405" t="str">
            <v>KMS</v>
          </cell>
        </row>
        <row r="5406">
          <cell r="C5406">
            <v>3005385</v>
          </cell>
          <cell r="D5406" t="str">
            <v>STC-ON-URB-S/AR-S/RET-OPE-EV/EX-INTRA</v>
          </cell>
          <cell r="E5406" t="str">
            <v>DIA</v>
          </cell>
        </row>
        <row r="5407">
          <cell r="C5407">
            <v>3005386</v>
          </cell>
          <cell r="D5407" t="str">
            <v>STC-ON-URB-S/AR-S/RET-OPE-EV/EX-INTRA</v>
          </cell>
          <cell r="E5407" t="str">
            <v>H</v>
          </cell>
        </row>
        <row r="5408">
          <cell r="C5408">
            <v>3005387</v>
          </cell>
          <cell r="D5408" t="str">
            <v>STC-ON-URB-S/AR-S/RET-OPE-EV/EX-KM-INTRA</v>
          </cell>
          <cell r="E5408" t="str">
            <v>KMS</v>
          </cell>
        </row>
        <row r="5409">
          <cell r="C5409">
            <v>3005388</v>
          </cell>
          <cell r="D5409" t="str">
            <v>STC-ON-URB-S/AR-S/RET-OPE-HAB-INTRA</v>
          </cell>
          <cell r="E5409" t="str">
            <v>UN</v>
          </cell>
        </row>
        <row r="5410">
          <cell r="C5410">
            <v>3005389</v>
          </cell>
          <cell r="D5410" t="str">
            <v>STC-ON-URB-S/AR-S/RET-OPE-HAB-KM-INTRA</v>
          </cell>
          <cell r="E5410" t="str">
            <v>KMS</v>
          </cell>
        </row>
        <row r="5411">
          <cell r="C5411">
            <v>3005390</v>
          </cell>
          <cell r="D5411" t="str">
            <v>STC-ON-URB-S/AR-S/RET-TUR-EV/EX-INTRA</v>
          </cell>
          <cell r="E5411" t="str">
            <v>DIA</v>
          </cell>
        </row>
        <row r="5412">
          <cell r="C5412">
            <v>3005391</v>
          </cell>
          <cell r="D5412" t="str">
            <v>STC-ON-URB-S/AR-S/RET-TUR-EV/EX-INTRA</v>
          </cell>
          <cell r="E5412" t="str">
            <v>H</v>
          </cell>
        </row>
        <row r="5413">
          <cell r="C5413">
            <v>3005392</v>
          </cell>
          <cell r="D5413" t="str">
            <v>STC-ON-URB-S/AR-S/RET-TUR-EV/EX-KM-INTRA</v>
          </cell>
          <cell r="E5413" t="str">
            <v>KMS</v>
          </cell>
        </row>
        <row r="5414">
          <cell r="C5414">
            <v>3005393</v>
          </cell>
          <cell r="D5414" t="str">
            <v>STC-ON-URB-S/AR-S/RET-TUR-HAB-INTRA</v>
          </cell>
          <cell r="E5414" t="str">
            <v>UN</v>
          </cell>
        </row>
        <row r="5415">
          <cell r="C5415">
            <v>3005394</v>
          </cell>
          <cell r="D5415" t="str">
            <v>STC-ON-URB-S/AR-S/RET-TUR-HAB-KM-INTRA</v>
          </cell>
          <cell r="E5415" t="str">
            <v>KMS</v>
          </cell>
        </row>
        <row r="5416">
          <cell r="C5416">
            <v>3005395</v>
          </cell>
          <cell r="D5416" t="str">
            <v>STC-VAN-ADM-EV/EX-INTRA</v>
          </cell>
          <cell r="E5416" t="str">
            <v>DIA</v>
          </cell>
        </row>
        <row r="5417">
          <cell r="C5417">
            <v>3005396</v>
          </cell>
          <cell r="D5417" t="str">
            <v>STC-VAN-ADM-EV/EX-INTRA</v>
          </cell>
          <cell r="E5417" t="str">
            <v>H</v>
          </cell>
        </row>
        <row r="5418">
          <cell r="C5418">
            <v>3005397</v>
          </cell>
          <cell r="D5418" t="str">
            <v>STC-VAN-ADM-EV/EX-KM-INTRA</v>
          </cell>
          <cell r="E5418" t="str">
            <v>KMS</v>
          </cell>
        </row>
        <row r="5419">
          <cell r="C5419">
            <v>3005398</v>
          </cell>
          <cell r="D5419" t="str">
            <v>STC-VAN-ADM-HAB-INTRA</v>
          </cell>
          <cell r="E5419" t="str">
            <v>UN</v>
          </cell>
        </row>
        <row r="5420">
          <cell r="C5420">
            <v>3005399</v>
          </cell>
          <cell r="D5420" t="str">
            <v>STC-VAN-ADM-HAB-KM-INTRA</v>
          </cell>
          <cell r="E5420" t="str">
            <v>KMS</v>
          </cell>
        </row>
        <row r="5421">
          <cell r="C5421">
            <v>3005400</v>
          </cell>
          <cell r="D5421" t="str">
            <v>STC-VAN-ADM-HAB-KM-INTRA</v>
          </cell>
          <cell r="E5421" t="str">
            <v>UN</v>
          </cell>
        </row>
        <row r="5422">
          <cell r="C5422">
            <v>3005401</v>
          </cell>
          <cell r="D5422" t="str">
            <v>STC-VAN-OPE-EV/EX-INTRA</v>
          </cell>
          <cell r="E5422" t="str">
            <v>DIA</v>
          </cell>
        </row>
        <row r="5423">
          <cell r="C5423">
            <v>3005402</v>
          </cell>
          <cell r="D5423" t="str">
            <v>STC-VAN-OPE-EV/EX-INTRA</v>
          </cell>
          <cell r="E5423" t="str">
            <v>H</v>
          </cell>
        </row>
        <row r="5424">
          <cell r="C5424">
            <v>3005403</v>
          </cell>
          <cell r="D5424" t="str">
            <v>STC-VAN-OPE-EV/EX-KM-INTRA</v>
          </cell>
          <cell r="E5424" t="str">
            <v>KMS</v>
          </cell>
        </row>
        <row r="5425">
          <cell r="C5425">
            <v>3005404</v>
          </cell>
          <cell r="D5425" t="str">
            <v>STC-VAN-OPE-HAB-INTRA</v>
          </cell>
          <cell r="E5425" t="str">
            <v>UN</v>
          </cell>
        </row>
        <row r="5426">
          <cell r="C5426">
            <v>3005405</v>
          </cell>
          <cell r="D5426" t="str">
            <v>STC-VAN-OPE-HAB-KM-INTRA</v>
          </cell>
          <cell r="E5426" t="str">
            <v>KMS</v>
          </cell>
        </row>
        <row r="5427">
          <cell r="C5427">
            <v>3005406</v>
          </cell>
          <cell r="D5427" t="str">
            <v>STC-VAN-TUR-EV/EX-INTRA</v>
          </cell>
          <cell r="E5427" t="str">
            <v>DIA</v>
          </cell>
        </row>
        <row r="5428">
          <cell r="C5428">
            <v>3005407</v>
          </cell>
          <cell r="D5428" t="str">
            <v>STC-VAN-TUR-EV/EX-INTRA</v>
          </cell>
          <cell r="E5428" t="str">
            <v>H</v>
          </cell>
        </row>
        <row r="5429">
          <cell r="C5429">
            <v>3005408</v>
          </cell>
          <cell r="D5429" t="str">
            <v>TRANSPORTE DE PASSAGEIROS</v>
          </cell>
          <cell r="E5429" t="str">
            <v>SV</v>
          </cell>
        </row>
        <row r="5430">
          <cell r="C5430">
            <v>3005409</v>
          </cell>
          <cell r="D5430" t="str">
            <v>STC-VAN-TUR-EV/EX-INTRA</v>
          </cell>
          <cell r="E5430" t="str">
            <v>UN</v>
          </cell>
        </row>
        <row r="5431">
          <cell r="C5431">
            <v>3005410</v>
          </cell>
          <cell r="D5431" t="str">
            <v>STC-VAN-TUR-EV/EX-KM-INTRA</v>
          </cell>
          <cell r="E5431" t="str">
            <v>KMS</v>
          </cell>
        </row>
        <row r="5432">
          <cell r="C5432">
            <v>3005411</v>
          </cell>
          <cell r="D5432" t="str">
            <v>STC-VAN-TUR-HAB-INTRA</v>
          </cell>
          <cell r="E5432" t="str">
            <v>UN</v>
          </cell>
        </row>
        <row r="5433">
          <cell r="C5433">
            <v>3005412</v>
          </cell>
          <cell r="D5433" t="str">
            <v>STC-VAN-TUR-HAB-KM-INTRA</v>
          </cell>
          <cell r="E5433" t="str">
            <v>H</v>
          </cell>
        </row>
        <row r="5434">
          <cell r="C5434">
            <v>3005413</v>
          </cell>
          <cell r="D5434" t="str">
            <v>STC-VAN-TUR-HAB-KM-INTRA</v>
          </cell>
          <cell r="E5434" t="str">
            <v>KMS</v>
          </cell>
        </row>
        <row r="5435">
          <cell r="C5435">
            <v>3005414</v>
          </cell>
          <cell r="D5435" t="str">
            <v>Loc-HatchCompactoI-Adm-Km</v>
          </cell>
          <cell r="E5435" t="str">
            <v>KMS</v>
          </cell>
        </row>
        <row r="5436">
          <cell r="C5436">
            <v>3005415</v>
          </cell>
          <cell r="D5436" t="str">
            <v>STL-HATCHCOMPACTOI-ADM-KM</v>
          </cell>
          <cell r="E5436" t="str">
            <v>UN</v>
          </cell>
        </row>
        <row r="5437">
          <cell r="C5437">
            <v>3005416</v>
          </cell>
          <cell r="D5437" t="str">
            <v>Loc-HatchCompactoII-Adm-Km</v>
          </cell>
          <cell r="E5437" t="str">
            <v>KMS</v>
          </cell>
        </row>
        <row r="5438">
          <cell r="C5438">
            <v>3005417</v>
          </cell>
          <cell r="D5438" t="str">
            <v>STL-HATCHCOMPACTOII-ADM-KM</v>
          </cell>
          <cell r="E5438" t="str">
            <v>UN</v>
          </cell>
        </row>
        <row r="5439">
          <cell r="C5439">
            <v>3005418</v>
          </cell>
          <cell r="D5439" t="str">
            <v>Loc-HatchCompactoII-Km</v>
          </cell>
          <cell r="E5439" t="str">
            <v>KMS</v>
          </cell>
        </row>
        <row r="5440">
          <cell r="C5440">
            <v>3005419</v>
          </cell>
          <cell r="D5440" t="str">
            <v>STL-HATCHCOMPACTOII-KM</v>
          </cell>
          <cell r="E5440" t="str">
            <v>SV</v>
          </cell>
        </row>
        <row r="5441">
          <cell r="C5441">
            <v>3005420</v>
          </cell>
          <cell r="D5441" t="str">
            <v>STL-HATCHCOMPACTOII-KM</v>
          </cell>
          <cell r="E5441" t="str">
            <v>UN</v>
          </cell>
        </row>
        <row r="5442">
          <cell r="C5442">
            <v>3005421</v>
          </cell>
          <cell r="D5442" t="str">
            <v>LOC D VEICULOS,BENS MOVEIS S CESSAO MDO</v>
          </cell>
          <cell r="E5442" t="str">
            <v>SV</v>
          </cell>
        </row>
        <row r="5443">
          <cell r="C5443">
            <v>3005422</v>
          </cell>
          <cell r="D5443" t="str">
            <v>STL-HATCHCOMPACTOII-OPE-KM</v>
          </cell>
          <cell r="E5443" t="str">
            <v>UN</v>
          </cell>
        </row>
        <row r="5444">
          <cell r="C5444">
            <v>3005423</v>
          </cell>
          <cell r="D5444" t="str">
            <v>Loc-HatchCompactoII-TR12H-Adm</v>
          </cell>
          <cell r="E5444" t="str">
            <v>UN</v>
          </cell>
        </row>
        <row r="5445">
          <cell r="C5445">
            <v>3005424</v>
          </cell>
          <cell r="D5445" t="str">
            <v>LOC D VEICULOS,BENS MOVEIS S CESSAO MDO</v>
          </cell>
          <cell r="E5445" t="str">
            <v>SV</v>
          </cell>
        </row>
        <row r="5446">
          <cell r="C5446">
            <v>3005425</v>
          </cell>
          <cell r="D5446" t="str">
            <v>Loc-HatchCompactoII-TR12H</v>
          </cell>
          <cell r="E5446" t="str">
            <v>UN</v>
          </cell>
        </row>
        <row r="5447">
          <cell r="C5447">
            <v>3005426</v>
          </cell>
          <cell r="D5447" t="str">
            <v>Loc-HatchCompactoII-TR18H-Adm</v>
          </cell>
          <cell r="E5447" t="str">
            <v>UN</v>
          </cell>
        </row>
        <row r="5448">
          <cell r="C5448">
            <v>3005427</v>
          </cell>
          <cell r="D5448" t="str">
            <v>LOC D VEICULOS,BENS MOVEIS S CESSAO MDO</v>
          </cell>
          <cell r="E5448" t="str">
            <v>SV</v>
          </cell>
        </row>
        <row r="5449">
          <cell r="C5449">
            <v>3005428</v>
          </cell>
          <cell r="D5449" t="str">
            <v>Loc-HatchCompactoII-TR18H</v>
          </cell>
          <cell r="E5449" t="str">
            <v>UN</v>
          </cell>
        </row>
        <row r="5450">
          <cell r="C5450">
            <v>3005429</v>
          </cell>
          <cell r="D5450" t="str">
            <v>Loc-HatchCompactoII-TR1H-Adm</v>
          </cell>
          <cell r="E5450" t="str">
            <v>UN</v>
          </cell>
        </row>
        <row r="5451">
          <cell r="C5451">
            <v>3005430</v>
          </cell>
          <cell r="D5451" t="str">
            <v>LOC D VEICULOS,BENS MOVEIS S CESSAO MDO</v>
          </cell>
          <cell r="E5451" t="str">
            <v>SV</v>
          </cell>
        </row>
        <row r="5452">
          <cell r="C5452">
            <v>3005431</v>
          </cell>
          <cell r="D5452" t="str">
            <v>Loc-HatchCompactoII-TR1H</v>
          </cell>
          <cell r="E5452" t="str">
            <v>UN</v>
          </cell>
        </row>
        <row r="5453">
          <cell r="C5453">
            <v>3005432</v>
          </cell>
          <cell r="D5453" t="str">
            <v>Loc-HatchCompactoII-TR24H-Adm</v>
          </cell>
          <cell r="E5453" t="str">
            <v>UN</v>
          </cell>
        </row>
        <row r="5454">
          <cell r="C5454">
            <v>3005433</v>
          </cell>
          <cell r="D5454" t="str">
            <v>LOC D VEICULOS,BENS MOVEIS S CESSAO MDO</v>
          </cell>
          <cell r="E5454" t="str">
            <v>SV</v>
          </cell>
        </row>
        <row r="5455">
          <cell r="C5455">
            <v>3005434</v>
          </cell>
          <cell r="D5455" t="str">
            <v>Loc-HatchCompactoII-TR24H</v>
          </cell>
          <cell r="E5455" t="str">
            <v>UN</v>
          </cell>
        </row>
        <row r="5456">
          <cell r="C5456">
            <v>3005435</v>
          </cell>
          <cell r="D5456" t="str">
            <v>Loc-HatchCompactoII-TR6H-Adm</v>
          </cell>
          <cell r="E5456" t="str">
            <v>UN</v>
          </cell>
        </row>
        <row r="5457">
          <cell r="C5457">
            <v>3005436</v>
          </cell>
          <cell r="D5457" t="str">
            <v>LOC D VEICULOS,BENS MOVEIS S CESSAO MDO</v>
          </cell>
          <cell r="E5457" t="str">
            <v>SV</v>
          </cell>
        </row>
        <row r="5458">
          <cell r="C5458">
            <v>3005437</v>
          </cell>
          <cell r="D5458" t="str">
            <v>Loc-HatchCompactoII-TR6H</v>
          </cell>
          <cell r="E5458" t="str">
            <v>UN</v>
          </cell>
        </row>
        <row r="5459">
          <cell r="C5459">
            <v>3005438</v>
          </cell>
          <cell r="D5459" t="str">
            <v>Loc-HatchCompactoI-Km</v>
          </cell>
          <cell r="E5459" t="str">
            <v>KMS</v>
          </cell>
        </row>
        <row r="5460">
          <cell r="C5460">
            <v>3005439</v>
          </cell>
          <cell r="D5460" t="str">
            <v>STL-HATCHCOMPACTOI-KM</v>
          </cell>
          <cell r="E5460" t="str">
            <v>UN</v>
          </cell>
        </row>
        <row r="5461">
          <cell r="C5461">
            <v>3005440</v>
          </cell>
          <cell r="D5461" t="str">
            <v>LOC D VEICULOS,BENS MOVEIS S CESSAO MDO</v>
          </cell>
          <cell r="E5461" t="str">
            <v>SV</v>
          </cell>
        </row>
        <row r="5462">
          <cell r="C5462">
            <v>3005441</v>
          </cell>
          <cell r="D5462" t="str">
            <v>STL-HATCHCOMPACTOI-OPE-KM</v>
          </cell>
          <cell r="E5462" t="str">
            <v>UN</v>
          </cell>
        </row>
        <row r="5463">
          <cell r="C5463">
            <v>3005442</v>
          </cell>
          <cell r="D5463" t="str">
            <v>Loc-HatchCompactoI-TR12H-Adm</v>
          </cell>
          <cell r="E5463" t="str">
            <v>UN</v>
          </cell>
        </row>
        <row r="5464">
          <cell r="C5464">
            <v>3005443</v>
          </cell>
          <cell r="D5464" t="str">
            <v>Loc-HatchCompactoI-TR12H-Ope</v>
          </cell>
          <cell r="E5464" t="str">
            <v>UN</v>
          </cell>
        </row>
        <row r="5465">
          <cell r="C5465">
            <v>3005444</v>
          </cell>
          <cell r="D5465" t="str">
            <v>Loc-HatchCompactoI-TR12H</v>
          </cell>
          <cell r="E5465" t="str">
            <v>UN</v>
          </cell>
        </row>
        <row r="5466">
          <cell r="C5466">
            <v>3005445</v>
          </cell>
          <cell r="D5466" t="str">
            <v>Loc-HatchCompactoI-TR18H-Adm</v>
          </cell>
          <cell r="E5466" t="str">
            <v>UN</v>
          </cell>
        </row>
        <row r="5467">
          <cell r="C5467">
            <v>3005446</v>
          </cell>
          <cell r="D5467" t="str">
            <v>Loc-HatchCompactoI-TR18H-Ope</v>
          </cell>
          <cell r="E5467" t="str">
            <v>UN</v>
          </cell>
        </row>
        <row r="5468">
          <cell r="C5468">
            <v>3005447</v>
          </cell>
          <cell r="D5468" t="str">
            <v>Loc-HatchCompactoI-TR18H</v>
          </cell>
          <cell r="E5468" t="str">
            <v>UN</v>
          </cell>
        </row>
        <row r="5469">
          <cell r="C5469">
            <v>3005448</v>
          </cell>
          <cell r="D5469" t="str">
            <v>Loc-HatchCompactoI-TR1H-Adm</v>
          </cell>
          <cell r="E5469" t="str">
            <v>UN</v>
          </cell>
        </row>
        <row r="5470">
          <cell r="C5470">
            <v>3005449</v>
          </cell>
          <cell r="D5470" t="str">
            <v>Loc-HatchCompactoI-TR1H-Ope</v>
          </cell>
          <cell r="E5470" t="str">
            <v>UN</v>
          </cell>
        </row>
        <row r="5471">
          <cell r="C5471">
            <v>3005450</v>
          </cell>
          <cell r="D5471" t="str">
            <v>Loc-HatchCompactoI-TR1H</v>
          </cell>
          <cell r="E5471" t="str">
            <v>UN</v>
          </cell>
        </row>
        <row r="5472">
          <cell r="C5472">
            <v>3005451</v>
          </cell>
          <cell r="D5472" t="str">
            <v>Loc-HatchCompactoI-TR24H-Adm</v>
          </cell>
          <cell r="E5472" t="str">
            <v>UN</v>
          </cell>
        </row>
        <row r="5473">
          <cell r="C5473">
            <v>3005452</v>
          </cell>
          <cell r="D5473" t="str">
            <v>LOC D VEICULOS,BENS MOVEIS S CESSAO MDO</v>
          </cell>
          <cell r="E5473" t="str">
            <v>SV</v>
          </cell>
        </row>
        <row r="5474">
          <cell r="C5474">
            <v>3005453</v>
          </cell>
          <cell r="D5474" t="str">
            <v>Loc-HatchCompactoI-TR24H</v>
          </cell>
          <cell r="E5474" t="str">
            <v>UN</v>
          </cell>
        </row>
        <row r="5475">
          <cell r="C5475">
            <v>3005454</v>
          </cell>
          <cell r="D5475" t="str">
            <v>Loc-HatchCompactoI-TR6H-Adm</v>
          </cell>
          <cell r="E5475" t="str">
            <v>UN</v>
          </cell>
        </row>
        <row r="5476">
          <cell r="C5476">
            <v>3005455</v>
          </cell>
          <cell r="D5476" t="str">
            <v>Loc-HatchCompactoI-TR6H-Ope</v>
          </cell>
          <cell r="E5476" t="str">
            <v>UN</v>
          </cell>
        </row>
        <row r="5477">
          <cell r="C5477">
            <v>3005456</v>
          </cell>
          <cell r="D5477" t="str">
            <v>Loc-HatchCompactoI-TR6H</v>
          </cell>
          <cell r="E5477" t="str">
            <v>UN</v>
          </cell>
        </row>
        <row r="5478">
          <cell r="C5478">
            <v>3005457</v>
          </cell>
          <cell r="D5478" t="str">
            <v>Loc-Microônibus-Adm-Km</v>
          </cell>
          <cell r="E5478" t="str">
            <v>KMS</v>
          </cell>
        </row>
        <row r="5479">
          <cell r="C5479">
            <v>3005458</v>
          </cell>
          <cell r="D5479" t="str">
            <v>STL-MICROÔNIBUS-ADM-KM</v>
          </cell>
          <cell r="E5479" t="str">
            <v>UN</v>
          </cell>
        </row>
        <row r="5480">
          <cell r="C5480">
            <v>3005459</v>
          </cell>
          <cell r="D5480" t="str">
            <v>Loc-Microônibus-Km</v>
          </cell>
          <cell r="E5480" t="str">
            <v>KMS</v>
          </cell>
        </row>
        <row r="5481">
          <cell r="C5481">
            <v>3005460</v>
          </cell>
          <cell r="D5481" t="str">
            <v>STL-MICROÔNIBUS-KM</v>
          </cell>
          <cell r="E5481" t="str">
            <v>UN</v>
          </cell>
        </row>
        <row r="5482">
          <cell r="C5482">
            <v>3005461</v>
          </cell>
          <cell r="D5482" t="str">
            <v>Loc-Microônibus-Ope-Km</v>
          </cell>
          <cell r="E5482" t="str">
            <v>KMS</v>
          </cell>
        </row>
        <row r="5483">
          <cell r="C5483">
            <v>3005462</v>
          </cell>
          <cell r="D5483" t="str">
            <v>STL-MICROÔNIBUS-OPE-KM</v>
          </cell>
          <cell r="E5483" t="str">
            <v>UN</v>
          </cell>
        </row>
        <row r="5484">
          <cell r="C5484">
            <v>3005463</v>
          </cell>
          <cell r="D5484" t="str">
            <v>Loc-Microônibus-TR12H-Adm</v>
          </cell>
          <cell r="E5484" t="str">
            <v>UN</v>
          </cell>
        </row>
        <row r="5485">
          <cell r="C5485">
            <v>3005464</v>
          </cell>
          <cell r="D5485" t="str">
            <v>Loc-Microônibus-TR12H-Ope</v>
          </cell>
          <cell r="E5485" t="str">
            <v>UN</v>
          </cell>
        </row>
        <row r="5486">
          <cell r="C5486">
            <v>3005465</v>
          </cell>
          <cell r="D5486" t="str">
            <v>Loc-Microônibus-TR12H</v>
          </cell>
          <cell r="E5486" t="str">
            <v>UN</v>
          </cell>
        </row>
        <row r="5487">
          <cell r="C5487">
            <v>3005466</v>
          </cell>
          <cell r="D5487" t="str">
            <v>Loc-Microônibus-TR18H-Adm</v>
          </cell>
          <cell r="E5487" t="str">
            <v>UN</v>
          </cell>
        </row>
        <row r="5488">
          <cell r="C5488">
            <v>3005467</v>
          </cell>
          <cell r="D5488" t="str">
            <v>Loc-Microônibus-TR18H-Ope</v>
          </cell>
          <cell r="E5488" t="str">
            <v>UN</v>
          </cell>
        </row>
        <row r="5489">
          <cell r="C5489">
            <v>3005468</v>
          </cell>
          <cell r="D5489" t="str">
            <v>Loc-Microônibus-TR18H</v>
          </cell>
          <cell r="E5489" t="str">
            <v>UN</v>
          </cell>
        </row>
        <row r="5490">
          <cell r="C5490">
            <v>3005469</v>
          </cell>
          <cell r="D5490" t="str">
            <v>Loc-Microônibus-TR1H-Adm</v>
          </cell>
          <cell r="E5490" t="str">
            <v>UN</v>
          </cell>
        </row>
        <row r="5491">
          <cell r="C5491">
            <v>3005470</v>
          </cell>
          <cell r="D5491" t="str">
            <v>Loc-Microônibus-TR1H-Ope</v>
          </cell>
          <cell r="E5491" t="str">
            <v>UN</v>
          </cell>
        </row>
        <row r="5492">
          <cell r="C5492">
            <v>3005471</v>
          </cell>
          <cell r="D5492" t="str">
            <v>Loc-Microônibus-TR1H</v>
          </cell>
          <cell r="E5492" t="str">
            <v>UN</v>
          </cell>
        </row>
        <row r="5493">
          <cell r="C5493">
            <v>3005472</v>
          </cell>
          <cell r="D5493" t="str">
            <v>Loc-Microônibus-TR24H-Adm</v>
          </cell>
          <cell r="E5493" t="str">
            <v>UN</v>
          </cell>
        </row>
        <row r="5494">
          <cell r="C5494">
            <v>3005473</v>
          </cell>
          <cell r="D5494" t="str">
            <v>Loc-Microônibus-TR24H-Ope</v>
          </cell>
          <cell r="E5494" t="str">
            <v>UN</v>
          </cell>
        </row>
        <row r="5495">
          <cell r="C5495">
            <v>3005474</v>
          </cell>
          <cell r="D5495" t="str">
            <v>Loc-Microônibus-TR24H</v>
          </cell>
          <cell r="E5495" t="str">
            <v>UN</v>
          </cell>
        </row>
        <row r="5496">
          <cell r="C5496">
            <v>3005475</v>
          </cell>
          <cell r="D5496" t="str">
            <v>Loc-Microônibus-TR6H-Adm</v>
          </cell>
          <cell r="E5496" t="str">
            <v>UN</v>
          </cell>
        </row>
        <row r="5497">
          <cell r="C5497">
            <v>3005476</v>
          </cell>
          <cell r="D5497" t="str">
            <v>Loc-Microônibus-TR6H-Ope</v>
          </cell>
          <cell r="E5497" t="str">
            <v>UN</v>
          </cell>
        </row>
        <row r="5498">
          <cell r="C5498">
            <v>3005477</v>
          </cell>
          <cell r="D5498" t="str">
            <v>Loc-Microônibus-TR6H</v>
          </cell>
          <cell r="E5498" t="str">
            <v>UN</v>
          </cell>
        </row>
        <row r="5499">
          <cell r="C5499">
            <v>3005478</v>
          </cell>
          <cell r="D5499" t="str">
            <v>Loc-MiniVan-Adm-Km</v>
          </cell>
          <cell r="E5499" t="str">
            <v>KMS</v>
          </cell>
        </row>
        <row r="5500">
          <cell r="C5500">
            <v>3005479</v>
          </cell>
          <cell r="D5500" t="str">
            <v>STL-MINIVAN-ADM-KM</v>
          </cell>
          <cell r="E5500" t="str">
            <v>UN</v>
          </cell>
        </row>
        <row r="5501">
          <cell r="C5501">
            <v>3005480</v>
          </cell>
          <cell r="D5501" t="str">
            <v>Loc-MiniVan-Km</v>
          </cell>
          <cell r="E5501" t="str">
            <v>KMS</v>
          </cell>
        </row>
        <row r="5502">
          <cell r="C5502">
            <v>3005481</v>
          </cell>
          <cell r="D5502" t="str">
            <v>STL-MINIVAN-KM</v>
          </cell>
          <cell r="E5502" t="str">
            <v>UN</v>
          </cell>
        </row>
        <row r="5503">
          <cell r="C5503">
            <v>3005482</v>
          </cell>
          <cell r="D5503" t="str">
            <v>Loc-MiniVan-Ope-Km</v>
          </cell>
          <cell r="E5503" t="str">
            <v>KMS</v>
          </cell>
        </row>
        <row r="5504">
          <cell r="C5504">
            <v>3005483</v>
          </cell>
          <cell r="D5504" t="str">
            <v>STL-MINIVAN-OPE-KM</v>
          </cell>
          <cell r="E5504" t="str">
            <v>UN</v>
          </cell>
        </row>
        <row r="5505">
          <cell r="C5505">
            <v>3005484</v>
          </cell>
          <cell r="D5505" t="str">
            <v>Loc-MiniVan-TR12H-Adm</v>
          </cell>
          <cell r="E5505" t="str">
            <v>UN</v>
          </cell>
        </row>
        <row r="5506">
          <cell r="C5506">
            <v>3005485</v>
          </cell>
          <cell r="D5506" t="str">
            <v>Loc-MiniVan-TR12H-Ope</v>
          </cell>
          <cell r="E5506" t="str">
            <v>UN</v>
          </cell>
        </row>
        <row r="5507">
          <cell r="C5507">
            <v>3005486</v>
          </cell>
          <cell r="D5507" t="str">
            <v>Loc-MiniVan-TR12H</v>
          </cell>
          <cell r="E5507" t="str">
            <v>UN</v>
          </cell>
        </row>
        <row r="5508">
          <cell r="C5508">
            <v>3005487</v>
          </cell>
          <cell r="D5508" t="str">
            <v>Loc-MiniVan-TR18H-Adm</v>
          </cell>
          <cell r="E5508" t="str">
            <v>UN</v>
          </cell>
        </row>
        <row r="5509">
          <cell r="C5509">
            <v>3005488</v>
          </cell>
          <cell r="D5509" t="str">
            <v>Loc-MiniVan-TR18H-Ope</v>
          </cell>
          <cell r="E5509" t="str">
            <v>UN</v>
          </cell>
        </row>
        <row r="5510">
          <cell r="C5510">
            <v>3005489</v>
          </cell>
          <cell r="D5510" t="str">
            <v>Loc-MiniVan-TR18H</v>
          </cell>
          <cell r="E5510" t="str">
            <v>UN</v>
          </cell>
        </row>
        <row r="5511">
          <cell r="C5511">
            <v>3005490</v>
          </cell>
          <cell r="D5511" t="str">
            <v>Loc-MiniVan-TR1H-Adm</v>
          </cell>
          <cell r="E5511" t="str">
            <v>UN</v>
          </cell>
        </row>
        <row r="5512">
          <cell r="C5512">
            <v>3005491</v>
          </cell>
          <cell r="D5512" t="str">
            <v>Loc-MiniVan-TR1H-Ope</v>
          </cell>
          <cell r="E5512" t="str">
            <v>UN</v>
          </cell>
        </row>
        <row r="5513">
          <cell r="C5513">
            <v>3005492</v>
          </cell>
          <cell r="D5513" t="str">
            <v>Loc-MiniVan-TR1H</v>
          </cell>
          <cell r="E5513" t="str">
            <v>UN</v>
          </cell>
        </row>
        <row r="5514">
          <cell r="C5514">
            <v>3005493</v>
          </cell>
          <cell r="D5514" t="str">
            <v>Loc-MiniVan-TR24H-Adm</v>
          </cell>
          <cell r="E5514" t="str">
            <v>UN</v>
          </cell>
        </row>
        <row r="5515">
          <cell r="C5515">
            <v>3005494</v>
          </cell>
          <cell r="D5515" t="str">
            <v>Loc-MiniVan-TR24H-Ope</v>
          </cell>
          <cell r="E5515" t="str">
            <v>UN</v>
          </cell>
        </row>
        <row r="5516">
          <cell r="C5516">
            <v>3005495</v>
          </cell>
          <cell r="D5516" t="str">
            <v>Loc-MiniVan-TR24H</v>
          </cell>
          <cell r="E5516" t="str">
            <v>UN</v>
          </cell>
        </row>
        <row r="5517">
          <cell r="C5517">
            <v>3005496</v>
          </cell>
          <cell r="D5517" t="str">
            <v>Loc-MiniVan-TR6H-Adm</v>
          </cell>
          <cell r="E5517" t="str">
            <v>UN</v>
          </cell>
        </row>
        <row r="5518">
          <cell r="C5518">
            <v>3005497</v>
          </cell>
          <cell r="D5518" t="str">
            <v>Loc-MiniVan-TR6H-Ope</v>
          </cell>
          <cell r="E5518" t="str">
            <v>UN</v>
          </cell>
        </row>
        <row r="5519">
          <cell r="C5519">
            <v>3005498</v>
          </cell>
          <cell r="D5519" t="str">
            <v>Loc-MiniVan-TR6H</v>
          </cell>
          <cell r="E5519" t="str">
            <v>UN</v>
          </cell>
        </row>
        <row r="5520">
          <cell r="C5520">
            <v>3005499</v>
          </cell>
          <cell r="D5520" t="str">
            <v>Loc-PickUpMédiaI-Adm-Km</v>
          </cell>
          <cell r="E5520" t="str">
            <v>KMS</v>
          </cell>
        </row>
        <row r="5521">
          <cell r="C5521">
            <v>3005500</v>
          </cell>
          <cell r="D5521" t="str">
            <v>STL-PICKUPMÉDIAI-ADM-KM</v>
          </cell>
          <cell r="E5521" t="str">
            <v>UN</v>
          </cell>
        </row>
        <row r="5522">
          <cell r="C5522">
            <v>3005501</v>
          </cell>
          <cell r="D5522" t="str">
            <v>Loc-PickUpMédiaII-Adm-Km</v>
          </cell>
          <cell r="E5522" t="str">
            <v>KMS</v>
          </cell>
        </row>
        <row r="5523">
          <cell r="C5523">
            <v>3005502</v>
          </cell>
          <cell r="D5523" t="str">
            <v>STL-PICKUPMÉDIAII-ADM-KM</v>
          </cell>
          <cell r="E5523" t="str">
            <v>UN</v>
          </cell>
        </row>
        <row r="5524">
          <cell r="C5524">
            <v>3005503</v>
          </cell>
          <cell r="D5524" t="str">
            <v>Loc-PickUpMédiaII-Km</v>
          </cell>
          <cell r="E5524" t="str">
            <v>KMS</v>
          </cell>
        </row>
        <row r="5525">
          <cell r="C5525">
            <v>3005504</v>
          </cell>
          <cell r="D5525" t="str">
            <v>STL-PICKUPMÉDIAII-KM</v>
          </cell>
          <cell r="E5525" t="str">
            <v>UN</v>
          </cell>
        </row>
        <row r="5526">
          <cell r="C5526">
            <v>3005505</v>
          </cell>
          <cell r="D5526" t="str">
            <v>Loc-PickUpMédiaII-Ope-Km</v>
          </cell>
          <cell r="E5526" t="str">
            <v>KMS</v>
          </cell>
        </row>
        <row r="5527">
          <cell r="C5527">
            <v>3005506</v>
          </cell>
          <cell r="D5527" t="str">
            <v>Loc-PickUpMédiaII-TR12H-Adm</v>
          </cell>
          <cell r="E5527" t="str">
            <v>UN</v>
          </cell>
        </row>
        <row r="5528">
          <cell r="C5528">
            <v>3005507</v>
          </cell>
          <cell r="D5528" t="str">
            <v>Loc-PickUpMédiaII-TR12H-Ope</v>
          </cell>
          <cell r="E5528" t="str">
            <v>UN</v>
          </cell>
        </row>
        <row r="5529">
          <cell r="C5529">
            <v>3005508</v>
          </cell>
          <cell r="D5529" t="str">
            <v>Loc-PickUpMédiaII-TR12H</v>
          </cell>
          <cell r="E5529" t="str">
            <v>UN</v>
          </cell>
        </row>
        <row r="5530">
          <cell r="C5530">
            <v>3005509</v>
          </cell>
          <cell r="D5530" t="str">
            <v>Loc-PickUpMédiaII-TR18H-Adm</v>
          </cell>
          <cell r="E5530" t="str">
            <v>UN</v>
          </cell>
        </row>
        <row r="5531">
          <cell r="C5531">
            <v>3005510</v>
          </cell>
          <cell r="D5531" t="str">
            <v>Loc-PickUpMédiaII-TR18H-Ope</v>
          </cell>
          <cell r="E5531" t="str">
            <v>UN</v>
          </cell>
        </row>
        <row r="5532">
          <cell r="C5532">
            <v>3005511</v>
          </cell>
          <cell r="D5532" t="str">
            <v>Loc-PickUpMédiaII-TR18H</v>
          </cell>
          <cell r="E5532" t="str">
            <v>UN</v>
          </cell>
        </row>
        <row r="5533">
          <cell r="C5533">
            <v>3005512</v>
          </cell>
          <cell r="D5533" t="str">
            <v>Loc-PickUpMédiaII-TR1H-Adm</v>
          </cell>
          <cell r="E5533" t="str">
            <v>UN</v>
          </cell>
        </row>
        <row r="5534">
          <cell r="C5534">
            <v>3005513</v>
          </cell>
          <cell r="D5534" t="str">
            <v>Loc-PickUpMédiaII-TR1H-Ope</v>
          </cell>
          <cell r="E5534" t="str">
            <v>UN</v>
          </cell>
        </row>
        <row r="5535">
          <cell r="C5535">
            <v>3005514</v>
          </cell>
          <cell r="D5535" t="str">
            <v>Loc-PickUpMédiaII-TR1H</v>
          </cell>
          <cell r="E5535" t="str">
            <v>UN</v>
          </cell>
        </row>
        <row r="5536">
          <cell r="C5536">
            <v>3005515</v>
          </cell>
          <cell r="D5536" t="str">
            <v>Loc-PickUpMédiaII-TR24H-Adm</v>
          </cell>
          <cell r="E5536" t="str">
            <v>UN</v>
          </cell>
        </row>
        <row r="5537">
          <cell r="C5537">
            <v>3005516</v>
          </cell>
          <cell r="D5537" t="str">
            <v>Loc-PickUpMédiaII-TR24H-Ope</v>
          </cell>
          <cell r="E5537" t="str">
            <v>UN</v>
          </cell>
        </row>
        <row r="5538">
          <cell r="C5538">
            <v>3005517</v>
          </cell>
          <cell r="D5538" t="str">
            <v>Loc-PickUpMédiaII-TR24H</v>
          </cell>
          <cell r="E5538" t="str">
            <v>UN</v>
          </cell>
        </row>
        <row r="5539">
          <cell r="C5539">
            <v>3005518</v>
          </cell>
          <cell r="D5539" t="str">
            <v>Loc-PickUpMédiaII-TR6H-Adm</v>
          </cell>
          <cell r="E5539" t="str">
            <v>UN</v>
          </cell>
        </row>
        <row r="5540">
          <cell r="C5540">
            <v>3005519</v>
          </cell>
          <cell r="D5540" t="str">
            <v>Loc-PickUpMédiaII-TR6H-Ope</v>
          </cell>
          <cell r="E5540" t="str">
            <v>UN</v>
          </cell>
        </row>
        <row r="5541">
          <cell r="C5541">
            <v>3005520</v>
          </cell>
          <cell r="D5541" t="str">
            <v>Loc-PickUpMédiaII-TR6H</v>
          </cell>
          <cell r="E5541" t="str">
            <v>UN</v>
          </cell>
        </row>
        <row r="5542">
          <cell r="C5542">
            <v>3005521</v>
          </cell>
          <cell r="D5542" t="str">
            <v>Loc-PickUpMédiaI-Km</v>
          </cell>
          <cell r="E5542" t="str">
            <v>KMS</v>
          </cell>
        </row>
        <row r="5543">
          <cell r="C5543">
            <v>3005522</v>
          </cell>
          <cell r="D5543" t="str">
            <v>STL-PICKUPMÉDIAI-KM</v>
          </cell>
          <cell r="E5543" t="str">
            <v>UN</v>
          </cell>
        </row>
        <row r="5544">
          <cell r="C5544">
            <v>3005523</v>
          </cell>
          <cell r="D5544" t="str">
            <v>Loc-PickUpMédiaI-Ope-Km</v>
          </cell>
          <cell r="E5544" t="str">
            <v>KMS</v>
          </cell>
        </row>
        <row r="5545">
          <cell r="C5545">
            <v>3005524</v>
          </cell>
          <cell r="D5545" t="str">
            <v>STL-PICKUPMÉDIAI-OPE-KM</v>
          </cell>
          <cell r="E5545" t="str">
            <v>UN</v>
          </cell>
        </row>
        <row r="5546">
          <cell r="C5546">
            <v>3005525</v>
          </cell>
          <cell r="D5546" t="str">
            <v>STL-PICKUPMÉDIAI-OPE-KM</v>
          </cell>
          <cell r="E5546" t="str">
            <v>Y18</v>
          </cell>
        </row>
        <row r="5547">
          <cell r="C5547">
            <v>3005526</v>
          </cell>
          <cell r="D5547" t="str">
            <v>Loc-PickUpMédiaI-TR12H-Adm</v>
          </cell>
          <cell r="E5547" t="str">
            <v>UN</v>
          </cell>
        </row>
        <row r="5548">
          <cell r="C5548">
            <v>3005527</v>
          </cell>
          <cell r="D5548" t="str">
            <v>Loc-PickUpMédiaI-TR12H-Ope</v>
          </cell>
          <cell r="E5548" t="str">
            <v>UN</v>
          </cell>
        </row>
        <row r="5549">
          <cell r="C5549">
            <v>3005528</v>
          </cell>
          <cell r="D5549" t="str">
            <v>Loc-PickUpMédiaI-TR12H</v>
          </cell>
          <cell r="E5549" t="str">
            <v>UN</v>
          </cell>
        </row>
        <row r="5550">
          <cell r="C5550">
            <v>3005529</v>
          </cell>
          <cell r="D5550" t="str">
            <v>Loc-PickUpMédiaI-TR18H-Adm</v>
          </cell>
          <cell r="E5550" t="str">
            <v>UN</v>
          </cell>
        </row>
        <row r="5551">
          <cell r="C5551">
            <v>3005530</v>
          </cell>
          <cell r="D5551" t="str">
            <v>Loc-PickUpMédiaI-TR18H-Ope</v>
          </cell>
          <cell r="E5551" t="str">
            <v>UN</v>
          </cell>
        </row>
        <row r="5552">
          <cell r="C5552">
            <v>3005531</v>
          </cell>
          <cell r="D5552" t="str">
            <v>Loc-PickUpMédiaI-TR18H</v>
          </cell>
          <cell r="E5552" t="str">
            <v>UN</v>
          </cell>
        </row>
        <row r="5553">
          <cell r="C5553">
            <v>3005532</v>
          </cell>
          <cell r="D5553" t="str">
            <v>Loc-PickUpMédiaI-TR1H-Adm</v>
          </cell>
          <cell r="E5553" t="str">
            <v>UN</v>
          </cell>
        </row>
        <row r="5554">
          <cell r="C5554">
            <v>3005533</v>
          </cell>
          <cell r="D5554" t="str">
            <v>Loc-PickUpMédiaI-TR1H-Ope</v>
          </cell>
          <cell r="E5554" t="str">
            <v>UN</v>
          </cell>
        </row>
        <row r="5555">
          <cell r="C5555">
            <v>3005534</v>
          </cell>
          <cell r="D5555" t="str">
            <v>Loc-PickUpMédiaI-TR1H</v>
          </cell>
          <cell r="E5555" t="str">
            <v>UN</v>
          </cell>
        </row>
        <row r="5556">
          <cell r="C5556">
            <v>3005535</v>
          </cell>
          <cell r="D5556" t="str">
            <v>Loc-PickUpMédiaI-TR24H-Adm</v>
          </cell>
          <cell r="E5556" t="str">
            <v>UN</v>
          </cell>
        </row>
        <row r="5557">
          <cell r="C5557">
            <v>3005536</v>
          </cell>
          <cell r="D5557" t="str">
            <v>Loc-PickUpMédiaI-TR24H-Ope</v>
          </cell>
          <cell r="E5557" t="str">
            <v>UN</v>
          </cell>
        </row>
        <row r="5558">
          <cell r="C5558">
            <v>3005537</v>
          </cell>
          <cell r="D5558" t="str">
            <v>Loc-PickUpMédiaI-TR24H</v>
          </cell>
          <cell r="E5558" t="str">
            <v>UN</v>
          </cell>
        </row>
        <row r="5559">
          <cell r="C5559">
            <v>3005538</v>
          </cell>
          <cell r="D5559" t="str">
            <v>Loc-PickUpMédiaI-TR6H-Adm</v>
          </cell>
          <cell r="E5559" t="str">
            <v>UN</v>
          </cell>
        </row>
        <row r="5560">
          <cell r="C5560">
            <v>3005539</v>
          </cell>
          <cell r="D5560" t="str">
            <v>Loc-PickUpMédiaI-TR6H-Ope</v>
          </cell>
          <cell r="E5560" t="str">
            <v>UN</v>
          </cell>
        </row>
        <row r="5561">
          <cell r="C5561">
            <v>3005540</v>
          </cell>
          <cell r="D5561" t="str">
            <v>Loc-PickUpMédiaI-TR6H</v>
          </cell>
          <cell r="E5561" t="str">
            <v>UN</v>
          </cell>
        </row>
        <row r="5562">
          <cell r="C5562">
            <v>3005541</v>
          </cell>
          <cell r="D5562" t="str">
            <v>Loc-SedanCompacto-Adm-Km</v>
          </cell>
          <cell r="E5562" t="str">
            <v>KMS</v>
          </cell>
        </row>
        <row r="5563">
          <cell r="C5563">
            <v>3005542</v>
          </cell>
          <cell r="D5563" t="str">
            <v>STL-SEDANCOMPACTO-ADM-KM</v>
          </cell>
          <cell r="E5563" t="str">
            <v>UN</v>
          </cell>
        </row>
        <row r="5564">
          <cell r="C5564">
            <v>3005543</v>
          </cell>
          <cell r="D5564" t="str">
            <v>STL-SEDANCOMPACTO-ADM-KM</v>
          </cell>
          <cell r="E5564" t="str">
            <v>Y18</v>
          </cell>
        </row>
        <row r="5565">
          <cell r="C5565">
            <v>3005544</v>
          </cell>
          <cell r="D5565" t="str">
            <v>Loc-SedanCompacto-Km</v>
          </cell>
          <cell r="E5565" t="str">
            <v>KMS</v>
          </cell>
        </row>
        <row r="5566">
          <cell r="C5566">
            <v>3005545</v>
          </cell>
          <cell r="D5566" t="str">
            <v>STL-SEDANCOMPACTO-KM</v>
          </cell>
          <cell r="E5566" t="str">
            <v>UN</v>
          </cell>
        </row>
        <row r="5567">
          <cell r="C5567">
            <v>3005546</v>
          </cell>
          <cell r="D5567" t="str">
            <v>Loc-SedanCompacto-Ope-Km</v>
          </cell>
          <cell r="E5567" t="str">
            <v>KMS</v>
          </cell>
        </row>
        <row r="5568">
          <cell r="C5568">
            <v>3005547</v>
          </cell>
          <cell r="D5568" t="str">
            <v>STL-SEDANCOMPACTO-OPE-KM</v>
          </cell>
          <cell r="E5568" t="str">
            <v>UN</v>
          </cell>
        </row>
        <row r="5569">
          <cell r="C5569">
            <v>3005548</v>
          </cell>
          <cell r="D5569" t="str">
            <v>Loc-SedanCompacto-TR12H-Adm</v>
          </cell>
          <cell r="E5569" t="str">
            <v>UN</v>
          </cell>
        </row>
        <row r="5570">
          <cell r="C5570">
            <v>3005549</v>
          </cell>
          <cell r="D5570" t="str">
            <v>Loc-SedanCompacto-TR12H-Ope</v>
          </cell>
          <cell r="E5570" t="str">
            <v>UN</v>
          </cell>
        </row>
        <row r="5571">
          <cell r="C5571">
            <v>3005550</v>
          </cell>
          <cell r="D5571" t="str">
            <v>Loc-SedanCompacto-TR12H</v>
          </cell>
          <cell r="E5571" t="str">
            <v>UN</v>
          </cell>
        </row>
        <row r="5572">
          <cell r="C5572">
            <v>3005551</v>
          </cell>
          <cell r="D5572" t="str">
            <v>Loc-SedanCompacto-TR18H-Adm</v>
          </cell>
          <cell r="E5572" t="str">
            <v>UN</v>
          </cell>
        </row>
        <row r="5573">
          <cell r="C5573">
            <v>3005552</v>
          </cell>
          <cell r="D5573" t="str">
            <v>Loc-SedanCompacto-TR18H-Ope</v>
          </cell>
          <cell r="E5573" t="str">
            <v>UN</v>
          </cell>
        </row>
        <row r="5574">
          <cell r="C5574">
            <v>3005553</v>
          </cell>
          <cell r="D5574" t="str">
            <v>Loc-SedanCompacto-TR18H</v>
          </cell>
          <cell r="E5574" t="str">
            <v>UN</v>
          </cell>
        </row>
        <row r="5575">
          <cell r="C5575">
            <v>3005554</v>
          </cell>
          <cell r="D5575" t="str">
            <v>STL-SEDANCOMPACTO-TR1H-ADM</v>
          </cell>
          <cell r="E5575" t="str">
            <v>KMS</v>
          </cell>
        </row>
        <row r="5576">
          <cell r="C5576">
            <v>3005555</v>
          </cell>
          <cell r="D5576" t="str">
            <v>Loc-SedanCompacto-TR1H-Adm</v>
          </cell>
          <cell r="E5576" t="str">
            <v>UN</v>
          </cell>
        </row>
        <row r="5577">
          <cell r="C5577">
            <v>3005556</v>
          </cell>
          <cell r="D5577" t="str">
            <v>Loc-SedanCompacto-TR1H-Ope</v>
          </cell>
          <cell r="E5577" t="str">
            <v>UN</v>
          </cell>
        </row>
        <row r="5578">
          <cell r="C5578">
            <v>3005557</v>
          </cell>
          <cell r="D5578" t="str">
            <v>Loc-SedanCompacto-TR1H</v>
          </cell>
          <cell r="E5578" t="str">
            <v>UN</v>
          </cell>
        </row>
        <row r="5579">
          <cell r="C5579">
            <v>3005558</v>
          </cell>
          <cell r="D5579" t="str">
            <v>Loc-SedanCompacto-TR24H-Adm</v>
          </cell>
          <cell r="E5579" t="str">
            <v>UN</v>
          </cell>
        </row>
        <row r="5580">
          <cell r="C5580">
            <v>3005559</v>
          </cell>
          <cell r="D5580" t="str">
            <v>Loc-SedanCompacto-TR24H-Ope</v>
          </cell>
          <cell r="E5580" t="str">
            <v>UN</v>
          </cell>
        </row>
        <row r="5581">
          <cell r="C5581">
            <v>3005560</v>
          </cell>
          <cell r="D5581" t="str">
            <v>Loc-SedanCompacto-TR24H</v>
          </cell>
          <cell r="E5581" t="str">
            <v>UN</v>
          </cell>
        </row>
        <row r="5582">
          <cell r="C5582">
            <v>3005561</v>
          </cell>
          <cell r="D5582" t="str">
            <v>Loc-SedanCompacto-TR6H-Adm</v>
          </cell>
          <cell r="E5582" t="str">
            <v>UN</v>
          </cell>
        </row>
        <row r="5583">
          <cell r="C5583">
            <v>3005562</v>
          </cell>
          <cell r="D5583" t="str">
            <v>Loc-SedanCompacto-TR6H-Ope</v>
          </cell>
          <cell r="E5583" t="str">
            <v>UN</v>
          </cell>
        </row>
        <row r="5584">
          <cell r="C5584">
            <v>3005563</v>
          </cell>
          <cell r="D5584" t="str">
            <v>Loc-SedanCompacto-TR6H</v>
          </cell>
          <cell r="E5584" t="str">
            <v>UN</v>
          </cell>
        </row>
        <row r="5585">
          <cell r="C5585">
            <v>3005564</v>
          </cell>
          <cell r="D5585" t="str">
            <v>Loc-SedanMédio-Adm-Km</v>
          </cell>
          <cell r="E5585" t="str">
            <v>KMS</v>
          </cell>
        </row>
        <row r="5586">
          <cell r="C5586">
            <v>3005565</v>
          </cell>
          <cell r="D5586" t="str">
            <v>STL-SEDANMÉDIO-ADM-KM</v>
          </cell>
          <cell r="E5586" t="str">
            <v>UN</v>
          </cell>
        </row>
        <row r="5587">
          <cell r="C5587">
            <v>3005566</v>
          </cell>
          <cell r="D5587" t="str">
            <v>Loc-SedanMédio-Km</v>
          </cell>
          <cell r="E5587" t="str">
            <v>KMS</v>
          </cell>
        </row>
        <row r="5588">
          <cell r="C5588">
            <v>3005567</v>
          </cell>
          <cell r="D5588" t="str">
            <v>STL-SEDANMÉDIO-KM</v>
          </cell>
          <cell r="E5588" t="str">
            <v>UN</v>
          </cell>
        </row>
        <row r="5589">
          <cell r="C5589">
            <v>3005568</v>
          </cell>
          <cell r="D5589" t="str">
            <v>Loc-SedanMédio-Ope-Km</v>
          </cell>
          <cell r="E5589" t="str">
            <v>KMS</v>
          </cell>
        </row>
        <row r="5590">
          <cell r="C5590">
            <v>3005569</v>
          </cell>
          <cell r="D5590" t="str">
            <v>STL-SEDANMÉDIO-OPE-KM</v>
          </cell>
          <cell r="E5590" t="str">
            <v>UN</v>
          </cell>
        </row>
        <row r="5591">
          <cell r="C5591">
            <v>3005570</v>
          </cell>
          <cell r="D5591" t="str">
            <v>Loc-SedanMédio-TR12H-Adm</v>
          </cell>
          <cell r="E5591" t="str">
            <v>UN</v>
          </cell>
        </row>
        <row r="5592">
          <cell r="C5592">
            <v>3005571</v>
          </cell>
          <cell r="D5592" t="str">
            <v>Loc-SedanMédio-TR12H-Ope</v>
          </cell>
          <cell r="E5592" t="str">
            <v>UN</v>
          </cell>
        </row>
        <row r="5593">
          <cell r="C5593">
            <v>3005572</v>
          </cell>
          <cell r="D5593" t="str">
            <v>Loc-SedanMédio-TR12H</v>
          </cell>
          <cell r="E5593" t="str">
            <v>UN</v>
          </cell>
        </row>
        <row r="5594">
          <cell r="C5594">
            <v>3005573</v>
          </cell>
          <cell r="D5594" t="str">
            <v>Loc-SedanMédio-TR18H-Adm</v>
          </cell>
          <cell r="E5594" t="str">
            <v>UN</v>
          </cell>
        </row>
        <row r="5595">
          <cell r="C5595">
            <v>3005574</v>
          </cell>
          <cell r="D5595" t="str">
            <v>Loc-SedanMédio-TR18H-Ope</v>
          </cell>
          <cell r="E5595" t="str">
            <v>UN</v>
          </cell>
        </row>
        <row r="5596">
          <cell r="C5596">
            <v>3005575</v>
          </cell>
          <cell r="D5596" t="str">
            <v>Loc-SedanMédio-TR18H</v>
          </cell>
          <cell r="E5596" t="str">
            <v>UN</v>
          </cell>
        </row>
        <row r="5597">
          <cell r="C5597">
            <v>3005576</v>
          </cell>
          <cell r="D5597" t="str">
            <v>Loc-SedanMédio-TR1H-Adm</v>
          </cell>
          <cell r="E5597" t="str">
            <v>UN</v>
          </cell>
        </row>
        <row r="5598">
          <cell r="C5598">
            <v>3005577</v>
          </cell>
          <cell r="D5598" t="str">
            <v>Loc-SedanMédio-TR1H-Ope</v>
          </cell>
          <cell r="E5598" t="str">
            <v>UN</v>
          </cell>
        </row>
        <row r="5599">
          <cell r="C5599">
            <v>3005578</v>
          </cell>
          <cell r="D5599" t="str">
            <v>Loc-SedanMédio-TR1H</v>
          </cell>
          <cell r="E5599" t="str">
            <v>UN</v>
          </cell>
        </row>
        <row r="5600">
          <cell r="C5600">
            <v>3005579</v>
          </cell>
          <cell r="D5600" t="str">
            <v>Loc-SedanMédio-TR24H-Adm</v>
          </cell>
          <cell r="E5600" t="str">
            <v>UN</v>
          </cell>
        </row>
        <row r="5601">
          <cell r="C5601">
            <v>3005580</v>
          </cell>
          <cell r="D5601" t="str">
            <v>Loc-SedanMédio-TR24H-Ope</v>
          </cell>
          <cell r="E5601" t="str">
            <v>UN</v>
          </cell>
        </row>
        <row r="5602">
          <cell r="C5602">
            <v>3005581</v>
          </cell>
          <cell r="D5602" t="str">
            <v>Loc-SedanMédio-TR24H</v>
          </cell>
          <cell r="E5602" t="str">
            <v>UN</v>
          </cell>
        </row>
        <row r="5603">
          <cell r="C5603">
            <v>3005582</v>
          </cell>
          <cell r="D5603" t="str">
            <v>Loc-SedanMédio-TR6H-Adm</v>
          </cell>
          <cell r="E5603" t="str">
            <v>UN</v>
          </cell>
        </row>
        <row r="5604">
          <cell r="C5604">
            <v>3005583</v>
          </cell>
          <cell r="D5604" t="str">
            <v>Loc-SedanMédio-TR6H-Ope</v>
          </cell>
          <cell r="E5604" t="str">
            <v>UN</v>
          </cell>
        </row>
        <row r="5605">
          <cell r="C5605">
            <v>3005584</v>
          </cell>
          <cell r="D5605" t="str">
            <v>Loc-SedanMédio-TR6H</v>
          </cell>
          <cell r="E5605" t="str">
            <v>UN</v>
          </cell>
        </row>
        <row r="5606">
          <cell r="C5606">
            <v>3005585</v>
          </cell>
          <cell r="D5606" t="str">
            <v>Loc-SUV/UtilitárioAlternativo-Adm-Km</v>
          </cell>
          <cell r="E5606" t="str">
            <v>KMS</v>
          </cell>
        </row>
        <row r="5607">
          <cell r="C5607">
            <v>3005586</v>
          </cell>
          <cell r="D5607" t="str">
            <v>STL-SUV/UTILITÁRIOALTERNATIVO-ADM-KM</v>
          </cell>
          <cell r="E5607" t="str">
            <v>UN</v>
          </cell>
        </row>
        <row r="5608">
          <cell r="C5608">
            <v>3005587</v>
          </cell>
          <cell r="D5608" t="str">
            <v>Loc-SUV/UtilitárioAlternativo-Km</v>
          </cell>
          <cell r="E5608" t="str">
            <v>KMS</v>
          </cell>
        </row>
        <row r="5609">
          <cell r="C5609">
            <v>3005588</v>
          </cell>
          <cell r="D5609" t="str">
            <v>STL-SUV/UTILITÁRIOALTERNATIVO-KM</v>
          </cell>
          <cell r="E5609" t="str">
            <v>SV</v>
          </cell>
        </row>
        <row r="5610">
          <cell r="C5610">
            <v>3005589</v>
          </cell>
          <cell r="D5610" t="str">
            <v>STL-SUV/UTILITÁRIOALTERNATIVO-KM</v>
          </cell>
          <cell r="E5610" t="str">
            <v>UN</v>
          </cell>
        </row>
        <row r="5611">
          <cell r="C5611">
            <v>3005590</v>
          </cell>
          <cell r="D5611" t="str">
            <v>Loc-SUV/UtilitárioAlternativo-Ope-Km</v>
          </cell>
          <cell r="E5611" t="str">
            <v>KMS</v>
          </cell>
        </row>
        <row r="5612">
          <cell r="C5612">
            <v>3005591</v>
          </cell>
          <cell r="D5612" t="str">
            <v>STL-SUV/UTILITÁRIOALTERNATIVO-OPE-KM</v>
          </cell>
          <cell r="E5612" t="str">
            <v>UN</v>
          </cell>
        </row>
        <row r="5613">
          <cell r="C5613">
            <v>3005592</v>
          </cell>
          <cell r="D5613" t="str">
            <v>Loc-SUV/UtilitárioAlternativo-TR12H-Adm</v>
          </cell>
          <cell r="E5613" t="str">
            <v>UN</v>
          </cell>
        </row>
        <row r="5614">
          <cell r="C5614">
            <v>3005593</v>
          </cell>
          <cell r="D5614" t="str">
            <v>Loc-SUV/UtilitárioAlternativo-TR12H-Ope</v>
          </cell>
          <cell r="E5614" t="str">
            <v>UN</v>
          </cell>
        </row>
        <row r="5615">
          <cell r="C5615">
            <v>3005594</v>
          </cell>
          <cell r="D5615" t="str">
            <v>Loc-SUV/UtilitárioAlternativo-TR12H</v>
          </cell>
          <cell r="E5615" t="str">
            <v>UN</v>
          </cell>
        </row>
        <row r="5616">
          <cell r="C5616">
            <v>3005595</v>
          </cell>
          <cell r="D5616" t="str">
            <v>Loc-SUV/UtilitárioAlternativo-TR18H-Adm</v>
          </cell>
          <cell r="E5616" t="str">
            <v>UN</v>
          </cell>
        </row>
        <row r="5617">
          <cell r="C5617">
            <v>3005596</v>
          </cell>
          <cell r="D5617" t="str">
            <v>Loc-SUV/UtilitárioAlternativo-TR18H-Ope</v>
          </cell>
          <cell r="E5617" t="str">
            <v>UN</v>
          </cell>
        </row>
        <row r="5618">
          <cell r="C5618">
            <v>3005597</v>
          </cell>
          <cell r="D5618" t="str">
            <v>Loc-SUV/UtilitárioAlternativo-TR18H</v>
          </cell>
          <cell r="E5618" t="str">
            <v>UN</v>
          </cell>
        </row>
        <row r="5619">
          <cell r="C5619">
            <v>3005598</v>
          </cell>
          <cell r="D5619" t="str">
            <v>Loc-SUV/UtilitárioAlternativo-TR1H-Adm</v>
          </cell>
          <cell r="E5619" t="str">
            <v>UN</v>
          </cell>
        </row>
        <row r="5620">
          <cell r="C5620">
            <v>3005599</v>
          </cell>
          <cell r="D5620" t="str">
            <v>STL-SUV/UTILITÁRIOALTERNATIVO-TR1H-OPE</v>
          </cell>
          <cell r="E5620" t="str">
            <v>SV</v>
          </cell>
        </row>
        <row r="5621">
          <cell r="C5621">
            <v>3005600</v>
          </cell>
          <cell r="D5621" t="str">
            <v>Loc-SUV/UtilitárioAlternativo-TR1H-Ope</v>
          </cell>
          <cell r="E5621" t="str">
            <v>UN</v>
          </cell>
        </row>
        <row r="5622">
          <cell r="C5622">
            <v>3005601</v>
          </cell>
          <cell r="D5622" t="str">
            <v>Loc-SUV/UtilitárioAlternativo-TR1H</v>
          </cell>
          <cell r="E5622" t="str">
            <v>UN</v>
          </cell>
        </row>
        <row r="5623">
          <cell r="C5623">
            <v>3005602</v>
          </cell>
          <cell r="D5623" t="str">
            <v>Loc-SUV/UtilitárioAlternativo-TR24H-Adm</v>
          </cell>
          <cell r="E5623" t="str">
            <v>UN</v>
          </cell>
        </row>
        <row r="5624">
          <cell r="C5624">
            <v>3005603</v>
          </cell>
          <cell r="D5624" t="str">
            <v>Loc-SUV/UtilitárioAlternativo-TR24H-Ope</v>
          </cell>
          <cell r="E5624" t="str">
            <v>UN</v>
          </cell>
        </row>
        <row r="5625">
          <cell r="C5625">
            <v>3005604</v>
          </cell>
          <cell r="D5625" t="str">
            <v>Loc-SUV/UtilitárioAlternativo-TR24H</v>
          </cell>
          <cell r="E5625" t="str">
            <v>UN</v>
          </cell>
        </row>
        <row r="5626">
          <cell r="C5626">
            <v>3005605</v>
          </cell>
          <cell r="D5626" t="str">
            <v>Loc-SUV/UtilitárioAlternativo-TR6H-Adm</v>
          </cell>
          <cell r="E5626" t="str">
            <v>UN</v>
          </cell>
        </row>
        <row r="5627">
          <cell r="C5627">
            <v>3005606</v>
          </cell>
          <cell r="D5627" t="str">
            <v>Loc-SUV/UtilitárioAlternativo-TR6H-Ope</v>
          </cell>
          <cell r="E5627" t="str">
            <v>UN</v>
          </cell>
        </row>
        <row r="5628">
          <cell r="C5628">
            <v>3005607</v>
          </cell>
          <cell r="D5628" t="str">
            <v>Loc-SUV/UtilitárioAlternativo-TR6H</v>
          </cell>
          <cell r="E5628" t="str">
            <v>UN</v>
          </cell>
        </row>
        <row r="5629">
          <cell r="C5629">
            <v>3005608</v>
          </cell>
          <cell r="D5629" t="str">
            <v>Loc-SW(Perua)-Adm-Km</v>
          </cell>
          <cell r="E5629" t="str">
            <v>KMS</v>
          </cell>
        </row>
        <row r="5630">
          <cell r="C5630">
            <v>3005609</v>
          </cell>
          <cell r="D5630" t="str">
            <v>STL-SW(PERUA)-ADM-KM</v>
          </cell>
          <cell r="E5630" t="str">
            <v>UN</v>
          </cell>
        </row>
        <row r="5631">
          <cell r="C5631">
            <v>3005610</v>
          </cell>
          <cell r="D5631" t="str">
            <v>Loc-SW(Perua)-Km</v>
          </cell>
          <cell r="E5631" t="str">
            <v>KMS</v>
          </cell>
        </row>
        <row r="5632">
          <cell r="C5632">
            <v>3005611</v>
          </cell>
          <cell r="D5632" t="str">
            <v>STL-SW(PERUA)-KM</v>
          </cell>
          <cell r="E5632" t="str">
            <v>UN</v>
          </cell>
        </row>
        <row r="5633">
          <cell r="C5633">
            <v>3005612</v>
          </cell>
          <cell r="D5633" t="str">
            <v>Loc-SW(Perua)-Ope-Km</v>
          </cell>
          <cell r="E5633" t="str">
            <v>KMS</v>
          </cell>
        </row>
        <row r="5634">
          <cell r="C5634">
            <v>3005613</v>
          </cell>
          <cell r="D5634" t="str">
            <v>Loc-SW(Perua)-TR12H-Adm</v>
          </cell>
          <cell r="E5634" t="str">
            <v>UN</v>
          </cell>
        </row>
        <row r="5635">
          <cell r="C5635">
            <v>3005614</v>
          </cell>
          <cell r="D5635" t="str">
            <v>Loc-SW(Perua)-TR12H-Ope</v>
          </cell>
          <cell r="E5635" t="str">
            <v>UN</v>
          </cell>
        </row>
        <row r="5636">
          <cell r="C5636">
            <v>3005615</v>
          </cell>
          <cell r="D5636" t="str">
            <v>Loc-SW(Perua)-TR12H</v>
          </cell>
          <cell r="E5636" t="str">
            <v>UN</v>
          </cell>
        </row>
        <row r="5637">
          <cell r="C5637">
            <v>3005616</v>
          </cell>
          <cell r="D5637" t="str">
            <v>Loc-SW(Perua)-TR18H-Adm</v>
          </cell>
          <cell r="E5637" t="str">
            <v>UN</v>
          </cell>
        </row>
        <row r="5638">
          <cell r="C5638">
            <v>3005617</v>
          </cell>
          <cell r="D5638" t="str">
            <v>Loc-SW(Perua)-TR18H-Ope</v>
          </cell>
          <cell r="E5638" t="str">
            <v>UN</v>
          </cell>
        </row>
        <row r="5639">
          <cell r="C5639">
            <v>3005618</v>
          </cell>
          <cell r="D5639" t="str">
            <v>Loc-SW(Perua)-TR18H</v>
          </cell>
          <cell r="E5639" t="str">
            <v>UN</v>
          </cell>
        </row>
        <row r="5640">
          <cell r="C5640">
            <v>3005619</v>
          </cell>
          <cell r="D5640" t="str">
            <v>Loc-SW(Perua)-TR1H-Adm</v>
          </cell>
          <cell r="E5640" t="str">
            <v>UN</v>
          </cell>
        </row>
        <row r="5641">
          <cell r="C5641">
            <v>3005620</v>
          </cell>
          <cell r="D5641" t="str">
            <v>Loc-SW(Perua)-TR1H-Ope</v>
          </cell>
          <cell r="E5641" t="str">
            <v>UN</v>
          </cell>
        </row>
        <row r="5642">
          <cell r="C5642">
            <v>3005621</v>
          </cell>
          <cell r="D5642" t="str">
            <v>Loc-SW(Perua)-TR1H</v>
          </cell>
          <cell r="E5642" t="str">
            <v>UN</v>
          </cell>
        </row>
        <row r="5643">
          <cell r="C5643">
            <v>3005622</v>
          </cell>
          <cell r="D5643" t="str">
            <v>Loc-SW(Perua)-TR24H-Adm</v>
          </cell>
          <cell r="E5643" t="str">
            <v>UN</v>
          </cell>
        </row>
        <row r="5644">
          <cell r="C5644">
            <v>3005623</v>
          </cell>
          <cell r="D5644" t="str">
            <v>Loc-SW(Perua)-TR24H-Ope</v>
          </cell>
          <cell r="E5644" t="str">
            <v>UN</v>
          </cell>
        </row>
        <row r="5645">
          <cell r="C5645">
            <v>3005624</v>
          </cell>
          <cell r="D5645" t="str">
            <v>Loc-SW(Perua)-TR24H</v>
          </cell>
          <cell r="E5645" t="str">
            <v>UN</v>
          </cell>
        </row>
        <row r="5646">
          <cell r="C5646">
            <v>3005625</v>
          </cell>
          <cell r="D5646" t="str">
            <v>Loc-SW(Perua)-TR6H-Adm</v>
          </cell>
          <cell r="E5646" t="str">
            <v>UN</v>
          </cell>
        </row>
        <row r="5647">
          <cell r="C5647">
            <v>3005626</v>
          </cell>
          <cell r="D5647" t="str">
            <v>Loc-SW(Perua)-TR6H-Ope</v>
          </cell>
          <cell r="E5647" t="str">
            <v>UN</v>
          </cell>
        </row>
        <row r="5648">
          <cell r="C5648">
            <v>3005627</v>
          </cell>
          <cell r="D5648" t="str">
            <v>Loc-SW(Perua)-TR6H</v>
          </cell>
          <cell r="E5648" t="str">
            <v>UN</v>
          </cell>
        </row>
        <row r="5649">
          <cell r="C5649">
            <v>3005628</v>
          </cell>
          <cell r="D5649" t="str">
            <v>Loc-UtilitárioLeve-Adm-Km</v>
          </cell>
          <cell r="E5649" t="str">
            <v>KMS</v>
          </cell>
        </row>
        <row r="5650">
          <cell r="C5650">
            <v>3005629</v>
          </cell>
          <cell r="D5650" t="str">
            <v>STL-UTILITÁRIOLEVE-ADM-KM</v>
          </cell>
          <cell r="E5650" t="str">
            <v>UN</v>
          </cell>
        </row>
        <row r="5651">
          <cell r="C5651">
            <v>3005630</v>
          </cell>
          <cell r="D5651" t="str">
            <v>Loc-UtilitárioLeve-Km</v>
          </cell>
          <cell r="E5651" t="str">
            <v>KMS</v>
          </cell>
        </row>
        <row r="5652">
          <cell r="C5652">
            <v>3005631</v>
          </cell>
          <cell r="D5652" t="str">
            <v>STL-UTILITÁRIOLEVE-KM</v>
          </cell>
          <cell r="E5652" t="str">
            <v>UN</v>
          </cell>
        </row>
        <row r="5653">
          <cell r="C5653">
            <v>3005632</v>
          </cell>
          <cell r="D5653" t="str">
            <v>Loc-UtilitárioLeve-Ope-Km</v>
          </cell>
          <cell r="E5653" t="str">
            <v>KMS</v>
          </cell>
        </row>
        <row r="5654">
          <cell r="C5654">
            <v>3005633</v>
          </cell>
          <cell r="D5654" t="str">
            <v>STL-UTILITÁRIOLEVE-OPE-KM</v>
          </cell>
          <cell r="E5654" t="str">
            <v>UN</v>
          </cell>
        </row>
        <row r="5655">
          <cell r="C5655">
            <v>3005634</v>
          </cell>
          <cell r="D5655" t="str">
            <v>Loc-UtilitárioLeve-TR12H-Adm</v>
          </cell>
          <cell r="E5655" t="str">
            <v>UN</v>
          </cell>
        </row>
        <row r="5656">
          <cell r="C5656">
            <v>3005635</v>
          </cell>
          <cell r="D5656" t="str">
            <v>Loc-UtilitárioLeve-TR12H-Ope</v>
          </cell>
          <cell r="E5656" t="str">
            <v>UN</v>
          </cell>
        </row>
        <row r="5657">
          <cell r="C5657">
            <v>3005636</v>
          </cell>
          <cell r="D5657" t="str">
            <v>Loc-UtilitárioLeve-TR12H</v>
          </cell>
          <cell r="E5657" t="str">
            <v>UN</v>
          </cell>
        </row>
        <row r="5658">
          <cell r="C5658">
            <v>3005637</v>
          </cell>
          <cell r="D5658" t="str">
            <v>Loc-UtilitárioLeve-TR18H-Adm</v>
          </cell>
          <cell r="E5658" t="str">
            <v>UN</v>
          </cell>
        </row>
        <row r="5659">
          <cell r="C5659">
            <v>3005638</v>
          </cell>
          <cell r="D5659" t="str">
            <v>Loc-UtilitárioLeve-TR18H-Ope</v>
          </cell>
          <cell r="E5659" t="str">
            <v>UN</v>
          </cell>
        </row>
        <row r="5660">
          <cell r="C5660">
            <v>3005639</v>
          </cell>
          <cell r="D5660" t="str">
            <v>Loc-UtilitárioLeve-TR18H</v>
          </cell>
          <cell r="E5660" t="str">
            <v>UN</v>
          </cell>
        </row>
        <row r="5661">
          <cell r="C5661">
            <v>3005640</v>
          </cell>
          <cell r="D5661" t="str">
            <v>Loc-UtilitárioLeve-TR1H-Adm</v>
          </cell>
          <cell r="E5661" t="str">
            <v>UN</v>
          </cell>
        </row>
        <row r="5662">
          <cell r="C5662">
            <v>3005641</v>
          </cell>
          <cell r="D5662" t="str">
            <v>Loc-UtilitárioLeve-TR1H-Ope</v>
          </cell>
          <cell r="E5662" t="str">
            <v>UN</v>
          </cell>
        </row>
        <row r="5663">
          <cell r="C5663">
            <v>3005642</v>
          </cell>
          <cell r="D5663" t="str">
            <v>Loc-UtilitárioLeve-TR1H</v>
          </cell>
          <cell r="E5663" t="str">
            <v>UN</v>
          </cell>
        </row>
        <row r="5664">
          <cell r="C5664">
            <v>3005643</v>
          </cell>
          <cell r="D5664" t="str">
            <v>Loc-UtilitárioLeve-TR24H-Adm</v>
          </cell>
          <cell r="E5664" t="str">
            <v>UN</v>
          </cell>
        </row>
        <row r="5665">
          <cell r="C5665">
            <v>3005644</v>
          </cell>
          <cell r="D5665" t="str">
            <v>Loc-UtilitárioLeve-TR24H-Ope</v>
          </cell>
          <cell r="E5665" t="str">
            <v>UN</v>
          </cell>
        </row>
        <row r="5666">
          <cell r="C5666">
            <v>3005645</v>
          </cell>
          <cell r="D5666" t="str">
            <v>Loc-UtilitárioLeve-TR24H</v>
          </cell>
          <cell r="E5666" t="str">
            <v>UN</v>
          </cell>
        </row>
        <row r="5667">
          <cell r="C5667">
            <v>3005646</v>
          </cell>
          <cell r="D5667" t="str">
            <v>Loc-UtilitárioLeve-TR6H-Adm</v>
          </cell>
          <cell r="E5667" t="str">
            <v>UN</v>
          </cell>
        </row>
        <row r="5668">
          <cell r="C5668">
            <v>3005647</v>
          </cell>
          <cell r="D5668" t="str">
            <v>Loc-UtilitárioLeve-TR6H-Ope</v>
          </cell>
          <cell r="E5668" t="str">
            <v>UN</v>
          </cell>
        </row>
        <row r="5669">
          <cell r="C5669">
            <v>3005648</v>
          </cell>
          <cell r="D5669" t="str">
            <v>Loc-UtilitárioLeve-TR6H</v>
          </cell>
          <cell r="E5669" t="str">
            <v>UN</v>
          </cell>
        </row>
        <row r="5670">
          <cell r="C5670">
            <v>3005649</v>
          </cell>
          <cell r="D5670" t="str">
            <v>STL-VAN-KM</v>
          </cell>
          <cell r="E5670" t="str">
            <v>KMS</v>
          </cell>
        </row>
        <row r="5671">
          <cell r="C5671">
            <v>3005650</v>
          </cell>
          <cell r="D5671" t="str">
            <v>STL-VAN-KM</v>
          </cell>
          <cell r="E5671" t="str">
            <v>UN</v>
          </cell>
        </row>
        <row r="5672">
          <cell r="C5672">
            <v>3005651</v>
          </cell>
          <cell r="D5672" t="str">
            <v>STL-VAN-REGIMEIII-TR12H</v>
          </cell>
          <cell r="E5672" t="str">
            <v>UN</v>
          </cell>
        </row>
        <row r="5673">
          <cell r="C5673">
            <v>3005652</v>
          </cell>
          <cell r="D5673" t="str">
            <v>STL-VAN-REGIMEIII-TR18H</v>
          </cell>
          <cell r="E5673" t="str">
            <v>UN</v>
          </cell>
        </row>
        <row r="5674">
          <cell r="C5674">
            <v>3005653</v>
          </cell>
          <cell r="D5674" t="str">
            <v>STL-VAN-REGIMEIII-TR1H</v>
          </cell>
          <cell r="E5674" t="str">
            <v>UN</v>
          </cell>
        </row>
        <row r="5675">
          <cell r="C5675">
            <v>3005654</v>
          </cell>
          <cell r="D5675" t="str">
            <v>STL-VAN-REGIMEIII-TR24H</v>
          </cell>
          <cell r="E5675" t="str">
            <v>UN</v>
          </cell>
        </row>
        <row r="5676">
          <cell r="C5676">
            <v>3005655</v>
          </cell>
          <cell r="D5676" t="str">
            <v>STL-VAN-REGIMEIII-TR6H</v>
          </cell>
          <cell r="E5676" t="str">
            <v>UN</v>
          </cell>
        </row>
        <row r="5677">
          <cell r="C5677">
            <v>3005656</v>
          </cell>
          <cell r="D5677" t="str">
            <v>STL-VAN-REGIMEII-TR12H</v>
          </cell>
          <cell r="E5677" t="str">
            <v>UN</v>
          </cell>
        </row>
        <row r="5678">
          <cell r="C5678">
            <v>3005657</v>
          </cell>
          <cell r="D5678" t="str">
            <v>STL-VAN-REGIMEII-TR18H</v>
          </cell>
          <cell r="E5678" t="str">
            <v>UN</v>
          </cell>
        </row>
        <row r="5679">
          <cell r="C5679">
            <v>3005658</v>
          </cell>
          <cell r="D5679" t="str">
            <v>STL-VAN-REGIMEII-TR1H</v>
          </cell>
          <cell r="E5679" t="str">
            <v>UN</v>
          </cell>
        </row>
        <row r="5680">
          <cell r="C5680">
            <v>3005659</v>
          </cell>
          <cell r="D5680" t="str">
            <v>STL-VAN-REGIMEII-TR24H</v>
          </cell>
          <cell r="E5680" t="str">
            <v>UN</v>
          </cell>
        </row>
        <row r="5681">
          <cell r="C5681">
            <v>3005660</v>
          </cell>
          <cell r="D5681" t="str">
            <v>STL-VAN-REGIMEII-TR6H</v>
          </cell>
          <cell r="E5681" t="str">
            <v>UN</v>
          </cell>
        </row>
        <row r="5682">
          <cell r="C5682">
            <v>3005661</v>
          </cell>
          <cell r="D5682" t="str">
            <v>STL-VAN-REGIMEI-TR12H</v>
          </cell>
          <cell r="E5682" t="str">
            <v>UN</v>
          </cell>
        </row>
        <row r="5683">
          <cell r="C5683">
            <v>3005662</v>
          </cell>
          <cell r="D5683" t="str">
            <v>STL-VAN-REGIMEI-TR18H</v>
          </cell>
          <cell r="E5683" t="str">
            <v>UN</v>
          </cell>
        </row>
        <row r="5684">
          <cell r="C5684">
            <v>3005663</v>
          </cell>
          <cell r="D5684" t="str">
            <v>STL-VAN-REGIMEI-TR1H</v>
          </cell>
          <cell r="E5684" t="str">
            <v>UN</v>
          </cell>
        </row>
        <row r="5685">
          <cell r="C5685">
            <v>3005664</v>
          </cell>
          <cell r="D5685" t="str">
            <v>STL-VAN-REGIMEI-TR24H</v>
          </cell>
          <cell r="E5685" t="str">
            <v>UN</v>
          </cell>
        </row>
        <row r="5686">
          <cell r="C5686">
            <v>3005665</v>
          </cell>
          <cell r="D5686" t="str">
            <v>STL-VAN-REGIMEI-TR6H</v>
          </cell>
          <cell r="E5686" t="str">
            <v>UN</v>
          </cell>
        </row>
        <row r="5687">
          <cell r="C5687">
            <v>3005666</v>
          </cell>
          <cell r="D5687" t="str">
            <v>STL-VAN-REGIMEIV-TR12H</v>
          </cell>
          <cell r="E5687" t="str">
            <v>UN</v>
          </cell>
        </row>
        <row r="5688">
          <cell r="C5688">
            <v>3005667</v>
          </cell>
          <cell r="D5688" t="str">
            <v>STL-VAN-REGIMEIV-TR18H</v>
          </cell>
          <cell r="E5688" t="str">
            <v>UN</v>
          </cell>
        </row>
        <row r="5689">
          <cell r="C5689">
            <v>3005668</v>
          </cell>
          <cell r="D5689" t="str">
            <v>STL-VAN-REGIMEIV-TR1H</v>
          </cell>
          <cell r="E5689" t="str">
            <v>UN</v>
          </cell>
        </row>
        <row r="5690">
          <cell r="C5690">
            <v>3005669</v>
          </cell>
          <cell r="D5690" t="str">
            <v>STL-VAN-REGIMEIV-TR24H</v>
          </cell>
          <cell r="E5690" t="str">
            <v>UN</v>
          </cell>
        </row>
        <row r="5691">
          <cell r="C5691">
            <v>3005670</v>
          </cell>
          <cell r="D5691" t="str">
            <v>STL-VAN-REGIMEIV-TR6H</v>
          </cell>
          <cell r="E5691" t="str">
            <v>UN</v>
          </cell>
        </row>
        <row r="5692">
          <cell r="C5692">
            <v>3005671</v>
          </cell>
          <cell r="D5692" t="str">
            <v>STL-VAN-REGIMEIX-TR12H</v>
          </cell>
          <cell r="E5692" t="str">
            <v>UN</v>
          </cell>
        </row>
        <row r="5693">
          <cell r="C5693">
            <v>3005672</v>
          </cell>
          <cell r="D5693" t="str">
            <v>STL-VAN-REGIMEIX-TR18H</v>
          </cell>
          <cell r="E5693" t="str">
            <v>UN</v>
          </cell>
        </row>
        <row r="5694">
          <cell r="C5694">
            <v>3005673</v>
          </cell>
          <cell r="D5694" t="str">
            <v>STL-VAN-REGIMEIX-TR1H</v>
          </cell>
          <cell r="E5694" t="str">
            <v>UN</v>
          </cell>
        </row>
        <row r="5695">
          <cell r="C5695">
            <v>3005674</v>
          </cell>
          <cell r="D5695" t="str">
            <v>STL-VAN-REGIMEIX-TR24H</v>
          </cell>
          <cell r="E5695" t="str">
            <v>UN</v>
          </cell>
        </row>
        <row r="5696">
          <cell r="C5696">
            <v>3005675</v>
          </cell>
          <cell r="D5696" t="str">
            <v>STL-VAN-REGIMEIX-TR6H</v>
          </cell>
          <cell r="E5696" t="str">
            <v>UN</v>
          </cell>
        </row>
        <row r="5697">
          <cell r="C5697">
            <v>3005676</v>
          </cell>
          <cell r="D5697" t="str">
            <v>STL-VAN-REGIMEVIII-TR12H</v>
          </cell>
          <cell r="E5697" t="str">
            <v>UN</v>
          </cell>
        </row>
        <row r="5698">
          <cell r="C5698">
            <v>3005677</v>
          </cell>
          <cell r="D5698" t="str">
            <v>STL-VAN-REGIMEVIII-TR18H</v>
          </cell>
          <cell r="E5698" t="str">
            <v>UN</v>
          </cell>
        </row>
        <row r="5699">
          <cell r="C5699">
            <v>3005678</v>
          </cell>
          <cell r="D5699" t="str">
            <v>STL-VAN-REGIMEVIII-TR1H</v>
          </cell>
          <cell r="E5699" t="str">
            <v>UN</v>
          </cell>
        </row>
        <row r="5700">
          <cell r="C5700">
            <v>3005679</v>
          </cell>
          <cell r="D5700" t="str">
            <v>STL-VAN-REGIMEVIII-TR24H</v>
          </cell>
          <cell r="E5700" t="str">
            <v>UN</v>
          </cell>
        </row>
        <row r="5701">
          <cell r="C5701">
            <v>3005680</v>
          </cell>
          <cell r="D5701" t="str">
            <v>STL-VAN-REGIMEVIII-TR6H</v>
          </cell>
          <cell r="E5701" t="str">
            <v>UN</v>
          </cell>
        </row>
        <row r="5702">
          <cell r="C5702">
            <v>3005681</v>
          </cell>
          <cell r="D5702" t="str">
            <v>STL-VAN-REGIMEVII-TR12H</v>
          </cell>
          <cell r="E5702" t="str">
            <v>UN</v>
          </cell>
        </row>
        <row r="5703">
          <cell r="C5703">
            <v>3005682</v>
          </cell>
          <cell r="D5703" t="str">
            <v>STL-VAN-REGIMEVII-TR18H</v>
          </cell>
          <cell r="E5703" t="str">
            <v>UN</v>
          </cell>
        </row>
        <row r="5704">
          <cell r="C5704">
            <v>3005683</v>
          </cell>
          <cell r="D5704" t="str">
            <v>STL-VAN-REGIMEVII-TR1H</v>
          </cell>
          <cell r="E5704" t="str">
            <v>UN</v>
          </cell>
        </row>
        <row r="5705">
          <cell r="C5705">
            <v>3005684</v>
          </cell>
          <cell r="D5705" t="str">
            <v>STL-VAN-REGIMEVII-TR24H</v>
          </cell>
          <cell r="E5705" t="str">
            <v>UN</v>
          </cell>
        </row>
        <row r="5706">
          <cell r="C5706">
            <v>3005685</v>
          </cell>
          <cell r="D5706" t="str">
            <v>STL-VAN-REGIMEVII-TR6H</v>
          </cell>
          <cell r="E5706" t="str">
            <v>UN</v>
          </cell>
        </row>
        <row r="5707">
          <cell r="C5707">
            <v>3005686</v>
          </cell>
          <cell r="D5707" t="str">
            <v>STL-VAN-REGIMEVI-TR12H</v>
          </cell>
          <cell r="E5707" t="str">
            <v>UN</v>
          </cell>
        </row>
        <row r="5708">
          <cell r="C5708">
            <v>3005687</v>
          </cell>
          <cell r="D5708" t="str">
            <v>STL-VAN-REGIMEVI-TR18H</v>
          </cell>
          <cell r="E5708" t="str">
            <v>UN</v>
          </cell>
        </row>
        <row r="5709">
          <cell r="C5709">
            <v>3005688</v>
          </cell>
          <cell r="D5709" t="str">
            <v>STL-VAN-REGIMEVI-TR1H</v>
          </cell>
          <cell r="E5709" t="str">
            <v>UN</v>
          </cell>
        </row>
        <row r="5710">
          <cell r="C5710">
            <v>3005689</v>
          </cell>
          <cell r="D5710" t="str">
            <v>STL-VAN-REGIMEVI-TR24H</v>
          </cell>
          <cell r="E5710" t="str">
            <v>UN</v>
          </cell>
        </row>
        <row r="5711">
          <cell r="C5711">
            <v>3005690</v>
          </cell>
          <cell r="D5711" t="str">
            <v>STL-VAN-REGIMEVI-TR6H</v>
          </cell>
          <cell r="E5711" t="str">
            <v>UN</v>
          </cell>
        </row>
        <row r="5712">
          <cell r="C5712">
            <v>3005691</v>
          </cell>
          <cell r="D5712" t="str">
            <v>STL-VAN-REGIMEV-TR12H</v>
          </cell>
          <cell r="E5712" t="str">
            <v>UN</v>
          </cell>
        </row>
        <row r="5713">
          <cell r="C5713">
            <v>3005692</v>
          </cell>
          <cell r="D5713" t="str">
            <v>STL-VAN-REGIMEV-TR18H</v>
          </cell>
          <cell r="E5713" t="str">
            <v>UN</v>
          </cell>
        </row>
        <row r="5714">
          <cell r="C5714">
            <v>3005693</v>
          </cell>
          <cell r="D5714" t="str">
            <v>STL-VAN-REGIMEV-TR1H</v>
          </cell>
          <cell r="E5714" t="str">
            <v>UN</v>
          </cell>
        </row>
        <row r="5715">
          <cell r="C5715">
            <v>3005694</v>
          </cell>
          <cell r="D5715" t="str">
            <v>STL-VAN-REGIMEV-TR24H</v>
          </cell>
          <cell r="E5715" t="str">
            <v>UN</v>
          </cell>
        </row>
        <row r="5716">
          <cell r="C5716">
            <v>3005695</v>
          </cell>
          <cell r="D5716" t="str">
            <v>STL-VAN-REGIMEV-TR6H</v>
          </cell>
          <cell r="E5716" t="str">
            <v>UN</v>
          </cell>
        </row>
        <row r="5717">
          <cell r="C5717">
            <v>3005696</v>
          </cell>
          <cell r="D5717" t="str">
            <v>STL-VAN-REGIMEXII-TR12H</v>
          </cell>
          <cell r="E5717" t="str">
            <v>UN</v>
          </cell>
        </row>
        <row r="5718">
          <cell r="C5718">
            <v>3005697</v>
          </cell>
          <cell r="D5718" t="str">
            <v>STL-VAN-REGIMEXII-TR18H</v>
          </cell>
          <cell r="E5718" t="str">
            <v>UN</v>
          </cell>
        </row>
        <row r="5719">
          <cell r="C5719">
            <v>3005698</v>
          </cell>
          <cell r="D5719" t="str">
            <v>STL-VAN-REGIMEXII-TR1H</v>
          </cell>
          <cell r="E5719" t="str">
            <v>UN</v>
          </cell>
        </row>
        <row r="5720">
          <cell r="C5720">
            <v>3005699</v>
          </cell>
          <cell r="D5720" t="str">
            <v>STL-VAN-REGIMEXII-TR24H</v>
          </cell>
          <cell r="E5720" t="str">
            <v>UN</v>
          </cell>
        </row>
        <row r="5721">
          <cell r="C5721">
            <v>3005700</v>
          </cell>
          <cell r="D5721" t="str">
            <v>STL-VAN-REGIMEXII-TR6H</v>
          </cell>
          <cell r="E5721" t="str">
            <v>UN</v>
          </cell>
        </row>
        <row r="5722">
          <cell r="C5722">
            <v>3005701</v>
          </cell>
          <cell r="D5722" t="str">
            <v>STL-VAN-REGIMEXI-TR12H</v>
          </cell>
          <cell r="E5722" t="str">
            <v>UN</v>
          </cell>
        </row>
        <row r="5723">
          <cell r="C5723">
            <v>3005702</v>
          </cell>
          <cell r="D5723" t="str">
            <v>STL-VAN-REGIMEXI-TR18H</v>
          </cell>
          <cell r="E5723" t="str">
            <v>UN</v>
          </cell>
        </row>
        <row r="5724">
          <cell r="C5724">
            <v>3005703</v>
          </cell>
          <cell r="D5724" t="str">
            <v>STL-VAN-REGIMEXI-TR1H</v>
          </cell>
          <cell r="E5724" t="str">
            <v>UN</v>
          </cell>
        </row>
        <row r="5725">
          <cell r="C5725">
            <v>3005704</v>
          </cell>
          <cell r="D5725" t="str">
            <v>STL-VAN-REGIMEXI-TR24H</v>
          </cell>
          <cell r="E5725" t="str">
            <v>UN</v>
          </cell>
        </row>
        <row r="5726">
          <cell r="C5726">
            <v>3005705</v>
          </cell>
          <cell r="D5726" t="str">
            <v>STL-VAN-REGIMEXI-TR6H</v>
          </cell>
          <cell r="E5726" t="str">
            <v>UN</v>
          </cell>
        </row>
        <row r="5727">
          <cell r="C5727">
            <v>3005706</v>
          </cell>
          <cell r="D5727" t="str">
            <v>STL-VAN-REGIMEX-TR12H</v>
          </cell>
          <cell r="E5727" t="str">
            <v>UN</v>
          </cell>
        </row>
        <row r="5728">
          <cell r="C5728">
            <v>3005707</v>
          </cell>
          <cell r="D5728" t="str">
            <v>STL-VAN-REGIMEX-TR18H</v>
          </cell>
          <cell r="E5728" t="str">
            <v>UN</v>
          </cell>
        </row>
        <row r="5729">
          <cell r="C5729">
            <v>3005708</v>
          </cell>
          <cell r="D5729" t="str">
            <v>STL-VAN-REGIMEX-TR1H</v>
          </cell>
          <cell r="E5729" t="str">
            <v>UN</v>
          </cell>
        </row>
        <row r="5730">
          <cell r="C5730">
            <v>3005709</v>
          </cell>
          <cell r="D5730" t="str">
            <v>STL-VAN-REGIMEX-TR24H</v>
          </cell>
          <cell r="E5730" t="str">
            <v>UN</v>
          </cell>
        </row>
        <row r="5731">
          <cell r="C5731">
            <v>3005710</v>
          </cell>
          <cell r="D5731" t="str">
            <v>STL-VAN-REGIMEX-TR6H</v>
          </cell>
          <cell r="E5731" t="str">
            <v>UN</v>
          </cell>
        </row>
        <row r="5732">
          <cell r="C5732">
            <v>3005711</v>
          </cell>
          <cell r="D5732" t="str">
            <v>CONSUL PLANEJ ESTRAT MEIO AMBIEN SUSTENT</v>
          </cell>
          <cell r="E5732" t="str">
            <v>H</v>
          </cell>
        </row>
        <row r="5733">
          <cell r="C5733">
            <v>3005712</v>
          </cell>
          <cell r="D5733" t="str">
            <v>ASSESSORIA OU CONSULTORIA DE QQ NATUREZA</v>
          </cell>
          <cell r="E5733" t="str">
            <v>SV</v>
          </cell>
        </row>
        <row r="5734">
          <cell r="C5734">
            <v>3005713</v>
          </cell>
          <cell r="D5734" t="str">
            <v>CONSULT PLAN ESTRAT-MINERACAO LOGÍSTICA</v>
          </cell>
          <cell r="E5734" t="str">
            <v>H</v>
          </cell>
        </row>
        <row r="5735">
          <cell r="C5735">
            <v>3005714</v>
          </cell>
          <cell r="D5735" t="str">
            <v>CONSULT PLAN ESTRAT-MINERACAO LOGÍSTICA</v>
          </cell>
          <cell r="E5735" t="str">
            <v>UN</v>
          </cell>
        </row>
        <row r="5736">
          <cell r="C5736">
            <v>3005715</v>
          </cell>
          <cell r="D5736" t="str">
            <v>CONSULT EM PLAN ESTRAT-SAÚDE E SEGURANÇA</v>
          </cell>
          <cell r="E5736" t="str">
            <v>H</v>
          </cell>
        </row>
        <row r="5737">
          <cell r="C5737">
            <v>3005716</v>
          </cell>
          <cell r="D5737" t="str">
            <v>CONSULT EM PLAN ESTRAT-SAÚDE E SEGURANÇA</v>
          </cell>
          <cell r="E5737" t="str">
            <v>UN</v>
          </cell>
        </row>
        <row r="5738">
          <cell r="C5738">
            <v>3005717</v>
          </cell>
          <cell r="D5738" t="str">
            <v>CONSULTORIA EM PLANEJ ESTRAT FINANCEIRO</v>
          </cell>
          <cell r="E5738" t="str">
            <v>H</v>
          </cell>
        </row>
        <row r="5739">
          <cell r="C5739">
            <v>3005718</v>
          </cell>
          <cell r="D5739" t="str">
            <v>CONSULTORIA EM PLANEJ ESTRAT FINANCEIRO</v>
          </cell>
          <cell r="E5739" t="str">
            <v>UN</v>
          </cell>
        </row>
        <row r="5740">
          <cell r="C5740">
            <v>3005719</v>
          </cell>
          <cell r="D5740" t="str">
            <v>CONSULTORIA EM PLANEJ ESTRAT BACKOFFICE</v>
          </cell>
          <cell r="E5740" t="str">
            <v>H</v>
          </cell>
        </row>
        <row r="5741">
          <cell r="C5741">
            <v>3005720</v>
          </cell>
          <cell r="D5741" t="str">
            <v>CONSULTORIA EM PLANEJ ESTRAT BACKOFFICE</v>
          </cell>
          <cell r="E5741" t="str">
            <v>UN</v>
          </cell>
        </row>
        <row r="5742">
          <cell r="C5742">
            <v>3005721</v>
          </cell>
          <cell r="D5742" t="str">
            <v>CONSULT EM PLANEJ ESTRAT EM SUPRIMENTOS</v>
          </cell>
          <cell r="E5742" t="str">
            <v>H</v>
          </cell>
        </row>
        <row r="5743">
          <cell r="C5743">
            <v>3005722</v>
          </cell>
          <cell r="D5743" t="str">
            <v>CONSULT EM PLANEJ ESTRAT EM SUPRIMENTOS</v>
          </cell>
          <cell r="E5743" t="str">
            <v>UN</v>
          </cell>
        </row>
        <row r="5744">
          <cell r="C5744">
            <v>3005723</v>
          </cell>
          <cell r="D5744" t="str">
            <v>CONSULTORIA EM PLANEJAMENTO ESTRAT EM RH</v>
          </cell>
          <cell r="E5744" t="str">
            <v>H</v>
          </cell>
        </row>
        <row r="5745">
          <cell r="C5745">
            <v>3005724</v>
          </cell>
          <cell r="D5745" t="str">
            <v>CONSULTORIA EM PLANEJAMENTO ESTRAT EM RH</v>
          </cell>
          <cell r="E5745" t="str">
            <v>UN</v>
          </cell>
        </row>
        <row r="5746">
          <cell r="C5746">
            <v>3005725</v>
          </cell>
          <cell r="D5746" t="str">
            <v>STRATEGIC PLANNING CONSULTATION SRV - IT</v>
          </cell>
          <cell r="E5746" t="str">
            <v>H</v>
          </cell>
        </row>
        <row r="5747">
          <cell r="C5747">
            <v>3005726</v>
          </cell>
          <cell r="D5747" t="str">
            <v>STRATEGIC PLANNING CONSULTATION SRV - IT</v>
          </cell>
          <cell r="E5747" t="str">
            <v>UN</v>
          </cell>
        </row>
        <row r="5748">
          <cell r="C5748">
            <v>3005727</v>
          </cell>
          <cell r="D5748" t="str">
            <v>SUB, MANUT E REPARO PONTES FERROVIAS</v>
          </cell>
          <cell r="E5748" t="str">
            <v>DIA</v>
          </cell>
        </row>
        <row r="5749">
          <cell r="C5749">
            <v>3005728</v>
          </cell>
          <cell r="D5749" t="str">
            <v>SUB, MANUT E REPARO PONTES FERROVIAS</v>
          </cell>
          <cell r="E5749" t="str">
            <v>H</v>
          </cell>
        </row>
        <row r="5750">
          <cell r="C5750">
            <v>3005729</v>
          </cell>
          <cell r="D5750" t="str">
            <v>SUB, MANUT E REPARO PONTES FERROVIAS</v>
          </cell>
          <cell r="E5750" t="str">
            <v>JG</v>
          </cell>
        </row>
        <row r="5751">
          <cell r="C5751">
            <v>3005730</v>
          </cell>
          <cell r="D5751" t="str">
            <v>SUB, MANUT E REPARO PONTES FERROVIAS</v>
          </cell>
          <cell r="E5751" t="str">
            <v>KG</v>
          </cell>
        </row>
        <row r="5752">
          <cell r="C5752">
            <v>3005731</v>
          </cell>
          <cell r="D5752" t="str">
            <v>SUB, MANUT E REPARO PONTES FERROVIAS</v>
          </cell>
          <cell r="E5752" t="str">
            <v>M</v>
          </cell>
        </row>
        <row r="5753">
          <cell r="C5753">
            <v>3005732</v>
          </cell>
          <cell r="D5753" t="str">
            <v>SUB, MANUT E REPARO PONTES FERROVIAS</v>
          </cell>
          <cell r="E5753" t="str">
            <v>M2</v>
          </cell>
        </row>
        <row r="5754">
          <cell r="C5754">
            <v>3005733</v>
          </cell>
          <cell r="D5754" t="str">
            <v>SUB, MANUT E REPARO PONTES FERROVIAS</v>
          </cell>
          <cell r="E5754" t="str">
            <v>M3</v>
          </cell>
        </row>
        <row r="5755">
          <cell r="C5755">
            <v>3005734</v>
          </cell>
          <cell r="D5755" t="str">
            <v>SUB, MANUT E REPARO PONTES FERROVIAS</v>
          </cell>
          <cell r="E5755" t="str">
            <v>MES</v>
          </cell>
        </row>
        <row r="5756">
          <cell r="C5756">
            <v>3005735</v>
          </cell>
          <cell r="D5756" t="str">
            <v>SUB, MANUT E REPARO PONTES FERROVIAS</v>
          </cell>
          <cell r="E5756" t="str">
            <v>PC</v>
          </cell>
        </row>
        <row r="5757">
          <cell r="C5757">
            <v>3005736</v>
          </cell>
          <cell r="D5757" t="str">
            <v>SUB, MANUT E REPARO PONTES FERROVIAS</v>
          </cell>
          <cell r="E5757" t="str">
            <v>SV</v>
          </cell>
        </row>
        <row r="5758">
          <cell r="C5758">
            <v>3005737</v>
          </cell>
          <cell r="D5758" t="str">
            <v>SUB, MANUT E REPARO PONTES FERROVIAS</v>
          </cell>
          <cell r="E5758" t="str">
            <v>TO</v>
          </cell>
        </row>
        <row r="5759">
          <cell r="C5759">
            <v>3005738</v>
          </cell>
          <cell r="D5759" t="str">
            <v>SUB, MANUT E REPARO PONTES FERROVIAS</v>
          </cell>
          <cell r="E5759" t="str">
            <v>UN</v>
          </cell>
        </row>
        <row r="5760">
          <cell r="C5760">
            <v>3005739</v>
          </cell>
          <cell r="D5760" t="str">
            <v>SUBSTITUIÇÃO E RECOLH DORMENTE E TRILHOS</v>
          </cell>
          <cell r="E5760" t="str">
            <v>H</v>
          </cell>
        </row>
        <row r="5761">
          <cell r="C5761">
            <v>3005740</v>
          </cell>
          <cell r="D5761" t="str">
            <v>SUBSTITUIÇÃO E RECOLH DORMENTE E TRILHOS</v>
          </cell>
          <cell r="E5761" t="str">
            <v>KMS</v>
          </cell>
        </row>
        <row r="5762">
          <cell r="C5762">
            <v>3005741</v>
          </cell>
          <cell r="D5762" t="str">
            <v>SUBSTITUIÇÃO E RECOLH DORMENTE E TRILHOS</v>
          </cell>
          <cell r="E5762" t="str">
            <v>M</v>
          </cell>
        </row>
        <row r="5763">
          <cell r="C5763">
            <v>3005742</v>
          </cell>
          <cell r="D5763" t="str">
            <v>SUBSTITUIÇÃO E RECOLH DORMENTE E TRILHOS</v>
          </cell>
          <cell r="E5763" t="str">
            <v>M2</v>
          </cell>
        </row>
        <row r="5764">
          <cell r="C5764">
            <v>3005743</v>
          </cell>
          <cell r="D5764" t="str">
            <v>SUBSTITUIÇÃO E RECOLH DORMENTE E TRILHOS</v>
          </cell>
          <cell r="E5764" t="str">
            <v>M3</v>
          </cell>
        </row>
        <row r="5765">
          <cell r="C5765">
            <v>3005744</v>
          </cell>
          <cell r="D5765" t="str">
            <v>SUBSTITUIÇÃO E RECOLH DORMENTE E TRILHOS</v>
          </cell>
          <cell r="E5765" t="str">
            <v>MES</v>
          </cell>
        </row>
        <row r="5766">
          <cell r="C5766">
            <v>3005745</v>
          </cell>
          <cell r="D5766" t="str">
            <v>SUBSTITUIÇÃO E RECOLH DORMENTE E TRILHOS</v>
          </cell>
          <cell r="E5766" t="str">
            <v>SV</v>
          </cell>
        </row>
        <row r="5767">
          <cell r="C5767">
            <v>3005746</v>
          </cell>
          <cell r="D5767" t="str">
            <v>SUBSTITUIÇÃO E RECOLH DORMENTE E TRILHOS</v>
          </cell>
          <cell r="E5767" t="str">
            <v>UN</v>
          </cell>
        </row>
        <row r="5768">
          <cell r="C5768">
            <v>3005747</v>
          </cell>
          <cell r="D5768" t="str">
            <v>SUPER ESTRUTURA VIA FÉRREA/VIA ROLAMENTO</v>
          </cell>
          <cell r="E5768" t="str">
            <v>M</v>
          </cell>
        </row>
        <row r="5769">
          <cell r="C5769">
            <v>3005748</v>
          </cell>
          <cell r="D5769" t="str">
            <v>SUPER ESTRUTURA VIA FÉRREA/VIA ROLAMENTO</v>
          </cell>
          <cell r="E5769" t="str">
            <v>M2</v>
          </cell>
        </row>
        <row r="5770">
          <cell r="C5770">
            <v>3005749</v>
          </cell>
          <cell r="D5770" t="str">
            <v>SUPER ESTRUTURA VIA FÉRREA/VIA ROLAMENTO</v>
          </cell>
          <cell r="E5770" t="str">
            <v>PAR</v>
          </cell>
        </row>
        <row r="5771">
          <cell r="C5771">
            <v>3005750</v>
          </cell>
          <cell r="D5771" t="str">
            <v>SUPER ESTRUTURA VIA FÉRREA/VIA ROLAMENTO</v>
          </cell>
          <cell r="E5771" t="str">
            <v>SV</v>
          </cell>
        </row>
        <row r="5772">
          <cell r="C5772">
            <v>3005751</v>
          </cell>
          <cell r="D5772" t="str">
            <v>SUPER ESTRUTURA VIA FÉRREA/VIA ROLAMENTO</v>
          </cell>
          <cell r="E5772" t="str">
            <v>TO</v>
          </cell>
        </row>
        <row r="5773">
          <cell r="C5773">
            <v>3005752</v>
          </cell>
          <cell r="D5773" t="str">
            <v>SUPER ESTRUTURA VIA FÉRREA/VIA ROLAMENTO</v>
          </cell>
          <cell r="E5773" t="str">
            <v>UN</v>
          </cell>
        </row>
        <row r="5774">
          <cell r="C5774">
            <v>3005753</v>
          </cell>
          <cell r="D5774" t="str">
            <v>SUPORTE E MANUTENÇÃO DE SOFTWARE</v>
          </cell>
          <cell r="E5774" t="str">
            <v>ANO</v>
          </cell>
        </row>
        <row r="5775">
          <cell r="C5775">
            <v>3005754</v>
          </cell>
          <cell r="D5775" t="str">
            <v>SUPORTE E MANUTENÇÃO DE SOFTWARE</v>
          </cell>
          <cell r="E5775" t="str">
            <v>DIA</v>
          </cell>
        </row>
        <row r="5776">
          <cell r="C5776">
            <v>3005755</v>
          </cell>
          <cell r="D5776" t="str">
            <v>SUPORTE E MANUTENÇÃO DE SOFTWARE</v>
          </cell>
          <cell r="E5776" t="str">
            <v>H</v>
          </cell>
        </row>
        <row r="5777">
          <cell r="C5777">
            <v>3005756</v>
          </cell>
          <cell r="D5777" t="str">
            <v>SUPORTE E MANUTENÇÃO DE SOFTWARE</v>
          </cell>
          <cell r="E5777" t="str">
            <v>JG</v>
          </cell>
        </row>
        <row r="5778">
          <cell r="C5778">
            <v>3005757</v>
          </cell>
          <cell r="D5778" t="str">
            <v>SUPORTE E MANUTENÇÃO DE SOFTWARE</v>
          </cell>
          <cell r="E5778" t="str">
            <v>MES</v>
          </cell>
        </row>
        <row r="5779">
          <cell r="C5779">
            <v>3005758</v>
          </cell>
          <cell r="D5779" t="str">
            <v>SUPORTE E MANUTENÇÃO DE SOFTWARE</v>
          </cell>
          <cell r="E5779" t="str">
            <v>PC</v>
          </cell>
        </row>
        <row r="5780">
          <cell r="C5780">
            <v>3005759</v>
          </cell>
          <cell r="D5780" t="str">
            <v>SUPORTE E MANUTENÇÃO DE SOFTWARE</v>
          </cell>
          <cell r="E5780" t="str">
            <v>SV</v>
          </cell>
        </row>
        <row r="5781">
          <cell r="C5781">
            <v>3005760</v>
          </cell>
          <cell r="D5781" t="str">
            <v>SUPORTE E MANUTENÇÃO DE SOFTWARE</v>
          </cell>
          <cell r="E5781" t="str">
            <v>UN</v>
          </cell>
        </row>
        <row r="5782">
          <cell r="C5782">
            <v>3005761</v>
          </cell>
          <cell r="D5782" t="str">
            <v>SUPORTE TECNICO EM INFORMATICA</v>
          </cell>
          <cell r="E5782" t="str">
            <v>SV</v>
          </cell>
        </row>
        <row r="5783">
          <cell r="C5783">
            <v>3005762</v>
          </cell>
          <cell r="D5783" t="str">
            <v>SUPORTE PROJ ERP - OUTROS PROJETOS</v>
          </cell>
          <cell r="E5783" t="str">
            <v>H</v>
          </cell>
        </row>
        <row r="5784">
          <cell r="C5784">
            <v>3005763</v>
          </cell>
          <cell r="D5784" t="str">
            <v>SUPORTE PROJ ERP - OUTROS PROJETOS</v>
          </cell>
          <cell r="E5784" t="str">
            <v>PC</v>
          </cell>
        </row>
        <row r="5785">
          <cell r="C5785">
            <v>3005764</v>
          </cell>
          <cell r="D5785" t="str">
            <v>SUPORTE PROJ ERP - OUTROS PROJETOS</v>
          </cell>
          <cell r="E5785" t="str">
            <v>UN</v>
          </cell>
        </row>
        <row r="5786">
          <cell r="C5786">
            <v>3005765</v>
          </cell>
          <cell r="D5786" t="str">
            <v>SUPORTE PROJ ERP - SUPORTE A PROJ</v>
          </cell>
          <cell r="E5786" t="str">
            <v>DIA</v>
          </cell>
        </row>
        <row r="5787">
          <cell r="C5787">
            <v>3005766</v>
          </cell>
          <cell r="D5787" t="str">
            <v>SUPORTE PROJ ERP - SUPORTE A PROJ</v>
          </cell>
          <cell r="E5787" t="str">
            <v>H</v>
          </cell>
        </row>
        <row r="5788">
          <cell r="C5788">
            <v>3005767</v>
          </cell>
          <cell r="D5788" t="str">
            <v>SUPORTE PROJ ERP - SUPORTE A PROJ</v>
          </cell>
          <cell r="E5788" t="str">
            <v>PC</v>
          </cell>
        </row>
        <row r="5789">
          <cell r="C5789">
            <v>3005768</v>
          </cell>
          <cell r="D5789" t="str">
            <v>SUPORTE PROJ ERP - SUPORTE A PROJ</v>
          </cell>
          <cell r="E5789" t="str">
            <v>UN</v>
          </cell>
        </row>
        <row r="5790">
          <cell r="C5790">
            <v>3005769</v>
          </cell>
          <cell r="D5790" t="str">
            <v>SUPORTE PROJETO ERP - ENHANCEMENTS</v>
          </cell>
          <cell r="E5790" t="str">
            <v>DIA</v>
          </cell>
        </row>
        <row r="5791">
          <cell r="C5791">
            <v>3005770</v>
          </cell>
          <cell r="D5791" t="str">
            <v>SUPORTE PROJETO ERP - ENHANCEMENTS</v>
          </cell>
          <cell r="E5791" t="str">
            <v>H</v>
          </cell>
        </row>
        <row r="5792">
          <cell r="C5792">
            <v>3005771</v>
          </cell>
          <cell r="D5792" t="str">
            <v>SUPORTE PROJETO ERP - ENHANCEMENTS</v>
          </cell>
          <cell r="E5792" t="str">
            <v>PC</v>
          </cell>
        </row>
        <row r="5793">
          <cell r="C5793">
            <v>3005772</v>
          </cell>
          <cell r="D5793" t="str">
            <v>SUPORTE PROJETO ERP - ENHANCEMENTS</v>
          </cell>
          <cell r="E5793" t="str">
            <v>UN</v>
          </cell>
        </row>
        <row r="5794">
          <cell r="C5794">
            <v>3005773</v>
          </cell>
          <cell r="D5794" t="str">
            <v>SUPORTE PROJETO ERP - IMPLEMENTAÇÃO</v>
          </cell>
          <cell r="E5794" t="str">
            <v>DIA</v>
          </cell>
        </row>
        <row r="5795">
          <cell r="C5795">
            <v>3005774</v>
          </cell>
          <cell r="D5795" t="str">
            <v>SUPORTE PROJETO ERP - IMPLEMENTAÇÃO</v>
          </cell>
          <cell r="E5795" t="str">
            <v>H</v>
          </cell>
        </row>
        <row r="5796">
          <cell r="C5796">
            <v>3005775</v>
          </cell>
          <cell r="D5796" t="str">
            <v>SUPORTE PROJETO ERP - IMPLEMENTAÇÃO</v>
          </cell>
          <cell r="E5796" t="str">
            <v>PC</v>
          </cell>
        </row>
        <row r="5797">
          <cell r="C5797">
            <v>3005776</v>
          </cell>
          <cell r="D5797" t="str">
            <v>SUPORTE PROJETO ERP - IMPLEMENTAÇÃO</v>
          </cell>
          <cell r="E5797" t="str">
            <v>UN</v>
          </cell>
        </row>
        <row r="5798">
          <cell r="C5798">
            <v>3005777</v>
          </cell>
          <cell r="D5798" t="str">
            <v>SUPORTE PROJETO ERP - ROLLOUT</v>
          </cell>
          <cell r="E5798" t="str">
            <v>DIA</v>
          </cell>
        </row>
        <row r="5799">
          <cell r="C5799">
            <v>3005778</v>
          </cell>
          <cell r="D5799" t="str">
            <v>SERVICOS DE RH EM GERAL</v>
          </cell>
          <cell r="E5799" t="str">
            <v>SV</v>
          </cell>
        </row>
        <row r="5800">
          <cell r="C5800">
            <v>3005779</v>
          </cell>
          <cell r="D5800" t="str">
            <v>SUPORTE PROJETO ERP - ROLLOUT</v>
          </cell>
          <cell r="E5800" t="str">
            <v>PC</v>
          </cell>
        </row>
        <row r="5801">
          <cell r="C5801">
            <v>3005780</v>
          </cell>
          <cell r="D5801" t="str">
            <v>SUPORTE PROJETO ERP - ROLLOUT</v>
          </cell>
          <cell r="E5801" t="str">
            <v>UN</v>
          </cell>
        </row>
        <row r="5802">
          <cell r="C5802">
            <v>3005781</v>
          </cell>
          <cell r="D5802" t="str">
            <v>SUPORTE TÉCNICO EM INFORMÁTICA.</v>
          </cell>
          <cell r="E5802" t="str">
            <v>H</v>
          </cell>
        </row>
        <row r="5803">
          <cell r="C5803">
            <v>3005782</v>
          </cell>
          <cell r="D5803" t="str">
            <v>SUPORTE TÉCNICO EM INFORMÁTICA.</v>
          </cell>
          <cell r="E5803" t="str">
            <v>JG</v>
          </cell>
        </row>
        <row r="5804">
          <cell r="C5804">
            <v>3005783</v>
          </cell>
          <cell r="D5804" t="str">
            <v>SUPORTE TÉCNICO EM INFORMÁTICA.</v>
          </cell>
          <cell r="E5804" t="str">
            <v>M</v>
          </cell>
        </row>
        <row r="5805">
          <cell r="C5805">
            <v>3005784</v>
          </cell>
          <cell r="D5805" t="str">
            <v>SUPORTE TÉCNICO EM INFORMÁTICA.</v>
          </cell>
          <cell r="E5805" t="str">
            <v>MES</v>
          </cell>
        </row>
        <row r="5806">
          <cell r="C5806">
            <v>3005785</v>
          </cell>
          <cell r="D5806" t="str">
            <v>SUPORTE TÉCNICO EM INFORMÁTICA.</v>
          </cell>
          <cell r="E5806" t="str">
            <v>MWH</v>
          </cell>
        </row>
        <row r="5807">
          <cell r="C5807">
            <v>3005786</v>
          </cell>
          <cell r="D5807" t="str">
            <v>SUPORTE TÉCNICO EM INFORMÁTICA.</v>
          </cell>
          <cell r="E5807" t="str">
            <v>PC</v>
          </cell>
        </row>
        <row r="5808">
          <cell r="C5808">
            <v>3005787</v>
          </cell>
          <cell r="D5808" t="str">
            <v>SUPORTE TÉCNICO EM INFORMÁTICA.</v>
          </cell>
          <cell r="E5808" t="str">
            <v>SV</v>
          </cell>
        </row>
        <row r="5809">
          <cell r="C5809">
            <v>3005788</v>
          </cell>
          <cell r="D5809" t="str">
            <v>SUPORTE TÉCNICO EM INFORMÁTICA.</v>
          </cell>
          <cell r="E5809" t="str">
            <v>TO</v>
          </cell>
        </row>
        <row r="5810">
          <cell r="C5810">
            <v>3005789</v>
          </cell>
          <cell r="D5810" t="str">
            <v>SUPORTE TÉCNICO EM INFORMÁTICA.</v>
          </cell>
          <cell r="E5810" t="str">
            <v>UN</v>
          </cell>
        </row>
        <row r="5811">
          <cell r="C5811">
            <v>3005790</v>
          </cell>
          <cell r="D5811" t="str">
            <v>SUPRIMENTOS EM GERENCIAMENTO DE PROJETO</v>
          </cell>
          <cell r="E5811" t="str">
            <v>UN</v>
          </cell>
        </row>
        <row r="5812">
          <cell r="C5812">
            <v>3005791</v>
          </cell>
          <cell r="D5812" t="str">
            <v>SOFTWARE - LICENCA E SUPORTE -EIM-ORACLE</v>
          </cell>
          <cell r="E5812" t="str">
            <v>UN</v>
          </cell>
        </row>
        <row r="5813">
          <cell r="C5813">
            <v>3005792</v>
          </cell>
          <cell r="D5813" t="str">
            <v>SOFTWARE - LICENCA E SUPORTE -EIM-OUTROS</v>
          </cell>
          <cell r="E5813" t="str">
            <v>H</v>
          </cell>
        </row>
        <row r="5814">
          <cell r="C5814">
            <v>3005793</v>
          </cell>
          <cell r="D5814" t="str">
            <v>SOFTWARE - LICENCA E SUPORTE -EIM-OUTROS</v>
          </cell>
          <cell r="E5814" t="str">
            <v>JG</v>
          </cell>
        </row>
        <row r="5815">
          <cell r="C5815">
            <v>3005794</v>
          </cell>
          <cell r="D5815" t="str">
            <v>SOFTWARE - LICENCA E SUPORTE -EIM-OUTROS</v>
          </cell>
          <cell r="E5815" t="str">
            <v>UN</v>
          </cell>
        </row>
        <row r="5816">
          <cell r="C5816">
            <v>3005795</v>
          </cell>
          <cell r="D5816" t="str">
            <v>SOFTWARE - LICENCA E SUPORTE -ERP-ORACLE</v>
          </cell>
          <cell r="E5816" t="str">
            <v>H</v>
          </cell>
        </row>
        <row r="5817">
          <cell r="C5817">
            <v>3005796</v>
          </cell>
          <cell r="D5817" t="str">
            <v>SOFTWARE - LICENCA E SUPORTE -ERP-ORACLE</v>
          </cell>
          <cell r="E5817" t="str">
            <v>MES</v>
          </cell>
        </row>
        <row r="5818">
          <cell r="C5818">
            <v>3005797</v>
          </cell>
          <cell r="D5818" t="str">
            <v>SOFTWARE - LICENCA E SUPORTE -ERP-ORACLE</v>
          </cell>
          <cell r="E5818" t="str">
            <v>UN</v>
          </cell>
        </row>
        <row r="5819">
          <cell r="C5819">
            <v>3005798</v>
          </cell>
          <cell r="D5819" t="str">
            <v>SW DEVELOP AND CUSTOMIZATION -PEOPLESOFT</v>
          </cell>
          <cell r="E5819" t="str">
            <v>DIA</v>
          </cell>
        </row>
        <row r="5820">
          <cell r="C5820">
            <v>3005799</v>
          </cell>
          <cell r="D5820" t="str">
            <v>SW DEVELOP AND CUSTOMIZATION -PEOPLESOFT</v>
          </cell>
          <cell r="E5820" t="str">
            <v>UN</v>
          </cell>
        </row>
        <row r="5821">
          <cell r="C5821">
            <v>3005800</v>
          </cell>
          <cell r="D5821" t="str">
            <v>SW DESENVOLV E CUSTOMIZACAO - SHAREPOINT</v>
          </cell>
          <cell r="E5821" t="str">
            <v>UN</v>
          </cell>
        </row>
        <row r="5822">
          <cell r="C5822">
            <v>3005801</v>
          </cell>
          <cell r="D5822" t="str">
            <v>SW DESENVOLV E CUSTOMIZACAO - BPM</v>
          </cell>
          <cell r="E5822" t="str">
            <v>UN</v>
          </cell>
        </row>
        <row r="5823">
          <cell r="C5823">
            <v>3005802</v>
          </cell>
          <cell r="D5823" t="str">
            <v>SW DESENVOLV E CUSTOMIZACAO - ETL</v>
          </cell>
          <cell r="E5823" t="str">
            <v>UN</v>
          </cell>
        </row>
        <row r="5824">
          <cell r="C5824">
            <v>3005803</v>
          </cell>
          <cell r="D5824" t="str">
            <v>SW DESENVOLV E CUSTOMIZACAO - GED</v>
          </cell>
          <cell r="E5824" t="str">
            <v>UN</v>
          </cell>
        </row>
        <row r="5825">
          <cell r="C5825">
            <v>3005804</v>
          </cell>
          <cell r="D5825" t="str">
            <v>SW DESENVOLV E CUSTOMIZACAO - GIS</v>
          </cell>
          <cell r="E5825" t="str">
            <v>UN</v>
          </cell>
        </row>
        <row r="5826">
          <cell r="C5826">
            <v>3005805</v>
          </cell>
          <cell r="D5826" t="str">
            <v>SW DESENVOLV E CUSTOMIZACAO - ILM</v>
          </cell>
          <cell r="E5826" t="str">
            <v>UN</v>
          </cell>
        </row>
        <row r="5827">
          <cell r="C5827">
            <v>3005806</v>
          </cell>
          <cell r="D5827" t="str">
            <v>SW DESENVOLV E CUSTOMIZACAO - JAVA</v>
          </cell>
          <cell r="E5827" t="str">
            <v>UN</v>
          </cell>
        </row>
        <row r="5828">
          <cell r="C5828">
            <v>3005807</v>
          </cell>
          <cell r="D5828" t="str">
            <v>SW DESENVOLV E CUSTOMIZACAO - MDM</v>
          </cell>
          <cell r="E5828" t="str">
            <v>UN</v>
          </cell>
        </row>
        <row r="5829">
          <cell r="C5829">
            <v>3005808</v>
          </cell>
          <cell r="D5829" t="str">
            <v>SW DESENVOLV E CUSTOMIZACAO - NET</v>
          </cell>
          <cell r="E5829" t="str">
            <v>UN</v>
          </cell>
        </row>
        <row r="5830">
          <cell r="C5830">
            <v>3005809</v>
          </cell>
          <cell r="D5830" t="str">
            <v>SW DEVELOPMENT AND CUSTOMIZATION - SAP</v>
          </cell>
          <cell r="E5830" t="str">
            <v>H</v>
          </cell>
        </row>
        <row r="5831">
          <cell r="C5831">
            <v>3005810</v>
          </cell>
          <cell r="D5831" t="str">
            <v>SW DEVELOPMENT AND CUSTOMIZATION - SAP</v>
          </cell>
          <cell r="E5831" t="str">
            <v>MES</v>
          </cell>
        </row>
        <row r="5832">
          <cell r="C5832">
            <v>3005811</v>
          </cell>
          <cell r="D5832" t="str">
            <v>SW DEVELOPMENT AND CUSTOMIZATION - SAP</v>
          </cell>
          <cell r="E5832" t="str">
            <v>UN</v>
          </cell>
        </row>
        <row r="5833">
          <cell r="C5833">
            <v>3005812</v>
          </cell>
          <cell r="D5833" t="str">
            <v>SW DESENVOLV E CUSTOMIZACAO - COGNOS</v>
          </cell>
          <cell r="E5833" t="str">
            <v>UN</v>
          </cell>
        </row>
        <row r="5834">
          <cell r="C5834">
            <v>3005813</v>
          </cell>
          <cell r="D5834" t="str">
            <v>SW DEVELOPMENT AND CUSTOMIZATION -ORACLE</v>
          </cell>
          <cell r="E5834" t="str">
            <v>MES</v>
          </cell>
        </row>
        <row r="5835">
          <cell r="C5835">
            <v>3005814</v>
          </cell>
          <cell r="D5835" t="str">
            <v>SW DESENVOLV E CUSTOMIZACAO - ORACLE</v>
          </cell>
          <cell r="E5835" t="str">
            <v>UN</v>
          </cell>
        </row>
        <row r="5836">
          <cell r="C5836">
            <v>3005815</v>
          </cell>
          <cell r="D5836" t="str">
            <v>SW DESENVOLV E CUSTOMIZACAO - OUTROS</v>
          </cell>
          <cell r="E5836" t="str">
            <v>H</v>
          </cell>
        </row>
        <row r="5837">
          <cell r="C5837">
            <v>3005816</v>
          </cell>
          <cell r="D5837" t="str">
            <v>SW DESENVOLV E CUSTOMIZACAO - OUTROS</v>
          </cell>
          <cell r="E5837" t="str">
            <v>MES</v>
          </cell>
        </row>
        <row r="5838">
          <cell r="C5838">
            <v>3005817</v>
          </cell>
          <cell r="D5838" t="str">
            <v>ANALISE E DESENVOLVIMENTO DE SISTEMAS</v>
          </cell>
          <cell r="E5838" t="str">
            <v>SV</v>
          </cell>
        </row>
        <row r="5839">
          <cell r="C5839">
            <v>3005818</v>
          </cell>
          <cell r="D5839" t="str">
            <v>SW DESENVOLV E CUSTOMIZACAO - OUTROS</v>
          </cell>
          <cell r="E5839" t="str">
            <v>UN</v>
          </cell>
        </row>
        <row r="5840">
          <cell r="C5840">
            <v>3005819</v>
          </cell>
          <cell r="D5840" t="str">
            <v>SW L&amp;S BACK OFFICE E CORP - SOL LEGAIS</v>
          </cell>
          <cell r="E5840" t="str">
            <v>H</v>
          </cell>
        </row>
        <row r="5841">
          <cell r="C5841">
            <v>3005820</v>
          </cell>
          <cell r="D5841" t="str">
            <v>SW L&amp;S BACK OFFICE E CORP - SOL LEGAIS</v>
          </cell>
          <cell r="E5841" t="str">
            <v>MES</v>
          </cell>
        </row>
        <row r="5842">
          <cell r="C5842">
            <v>3005821</v>
          </cell>
          <cell r="D5842" t="str">
            <v>SW L&amp;S BACK OFFICE E CORP - SOL LEGAIS</v>
          </cell>
          <cell r="E5842" t="str">
            <v>UN</v>
          </cell>
        </row>
        <row r="5843">
          <cell r="C5843">
            <v>3005822</v>
          </cell>
          <cell r="D5843" t="str">
            <v>SW L&amp;S BACK OFFICE E CORPORATIVO - RH</v>
          </cell>
          <cell r="E5843" t="str">
            <v>UN</v>
          </cell>
        </row>
        <row r="5844">
          <cell r="C5844">
            <v>3005823</v>
          </cell>
          <cell r="D5844" t="str">
            <v>SW L&amp;S BACK OFFICE E CORP OFFICE SUITE</v>
          </cell>
          <cell r="E5844" t="str">
            <v>H</v>
          </cell>
        </row>
        <row r="5845">
          <cell r="C5845">
            <v>3005824</v>
          </cell>
          <cell r="D5845" t="str">
            <v>SW L&amp;S BACK OFFICE E CORP OFFICE SUITE</v>
          </cell>
          <cell r="E5845" t="str">
            <v>MES</v>
          </cell>
        </row>
        <row r="5846">
          <cell r="C5846">
            <v>3005825</v>
          </cell>
          <cell r="D5846" t="str">
            <v>SW L&amp;S BACK OFFICE E CORP OFFICE SUITE</v>
          </cell>
          <cell r="E5846" t="str">
            <v>UN</v>
          </cell>
        </row>
        <row r="5847">
          <cell r="C5847">
            <v>3005826</v>
          </cell>
          <cell r="D5847" t="str">
            <v>SW L&amp;S TECN TI PLATAF-DES SIST OPER APL</v>
          </cell>
          <cell r="E5847" t="str">
            <v>UN</v>
          </cell>
        </row>
        <row r="5848">
          <cell r="C5848">
            <v>3005827</v>
          </cell>
          <cell r="D5848" t="str">
            <v>SW L&amp;S TECN TI PLATAF-INF APL MIDDLEWAR</v>
          </cell>
          <cell r="E5848" t="str">
            <v>UN</v>
          </cell>
        </row>
        <row r="5849">
          <cell r="C5849">
            <v>3005828</v>
          </cell>
          <cell r="D5849" t="str">
            <v>SW L&amp;S TECN TI PLATAF-GER DADOS INTEGR</v>
          </cell>
          <cell r="E5849" t="str">
            <v>SV</v>
          </cell>
        </row>
        <row r="5850">
          <cell r="C5850">
            <v>3005829</v>
          </cell>
          <cell r="D5850" t="str">
            <v>SW L&amp;S TECN TI PLATAF-GER DADOS INTEGR</v>
          </cell>
          <cell r="E5850" t="str">
            <v>UN</v>
          </cell>
        </row>
        <row r="5851">
          <cell r="C5851">
            <v>3005830</v>
          </cell>
          <cell r="D5851" t="str">
            <v>SW L&amp;S TECN TI PLATAF-GER OPERACOES TI</v>
          </cell>
          <cell r="E5851" t="str">
            <v>H</v>
          </cell>
        </row>
        <row r="5852">
          <cell r="C5852">
            <v>3005831</v>
          </cell>
          <cell r="D5852" t="str">
            <v>SW L&amp;S TECN TI PLATAF-GER OPERACOES TI</v>
          </cell>
          <cell r="E5852" t="str">
            <v>MES</v>
          </cell>
        </row>
        <row r="5853">
          <cell r="C5853">
            <v>3005832</v>
          </cell>
          <cell r="D5853" t="str">
            <v>SW L&amp;S TECN TI PLATAF-GER OPERACOES TI</v>
          </cell>
          <cell r="E5853" t="str">
            <v>SV</v>
          </cell>
        </row>
        <row r="5854">
          <cell r="C5854">
            <v>3005833</v>
          </cell>
          <cell r="D5854" t="str">
            <v>SW L&amp;S TECN TI PLATAF-GER OPERACOES TI</v>
          </cell>
          <cell r="E5854" t="str">
            <v>UN</v>
          </cell>
        </row>
        <row r="5855">
          <cell r="C5855">
            <v>3005834</v>
          </cell>
          <cell r="D5855" t="str">
            <v>SW L&amp;S TECN TI PLATAF-SOFTW SEGURANCA</v>
          </cell>
          <cell r="E5855" t="str">
            <v>SV</v>
          </cell>
        </row>
        <row r="5856">
          <cell r="C5856">
            <v>3005835</v>
          </cell>
          <cell r="D5856" t="str">
            <v>SW L&amp;S TECN TI PLATAF-SOFTW SEGURANCA</v>
          </cell>
          <cell r="E5856" t="str">
            <v>UN</v>
          </cell>
        </row>
        <row r="5857">
          <cell r="C5857">
            <v>3005836</v>
          </cell>
          <cell r="D5857" t="str">
            <v>SW L&amp;S BACK OFFICE E CORPORAT - OUTROS</v>
          </cell>
          <cell r="E5857" t="str">
            <v>ANO</v>
          </cell>
        </row>
        <row r="5858">
          <cell r="C5858">
            <v>3005837</v>
          </cell>
          <cell r="D5858" t="str">
            <v>SW L&amp;S BACK OFFICE E CORPORAT - OUTROS</v>
          </cell>
          <cell r="E5858" t="str">
            <v>H</v>
          </cell>
        </row>
        <row r="5859">
          <cell r="C5859">
            <v>3005838</v>
          </cell>
          <cell r="D5859" t="str">
            <v>SW L&amp;S BACK OFFICE E CORPORAT - OUTROS</v>
          </cell>
          <cell r="E5859" t="str">
            <v>MES</v>
          </cell>
        </row>
        <row r="5860">
          <cell r="C5860">
            <v>3005839</v>
          </cell>
          <cell r="D5860" t="str">
            <v>SW L&amp;S BACK OFFICE E CORPORAT - OUTROS</v>
          </cell>
          <cell r="E5860" t="str">
            <v>SV</v>
          </cell>
        </row>
        <row r="5861">
          <cell r="C5861">
            <v>3005840</v>
          </cell>
          <cell r="D5861" t="str">
            <v>SW L&amp;S BACK OFFICE E CORPORAT - OUTROS</v>
          </cell>
          <cell r="E5861" t="str">
            <v>UN</v>
          </cell>
        </row>
        <row r="5862">
          <cell r="C5862">
            <v>3005841</v>
          </cell>
          <cell r="D5862" t="str">
            <v>SW LICENCA SUPORTE OPERACOES-ENGENHARIA</v>
          </cell>
          <cell r="E5862" t="str">
            <v>ANO</v>
          </cell>
        </row>
        <row r="5863">
          <cell r="C5863">
            <v>3005842</v>
          </cell>
          <cell r="D5863" t="str">
            <v>SW LICENCA SUPORTE OPERACOES-ENGENHARIA</v>
          </cell>
          <cell r="E5863" t="str">
            <v>DIA</v>
          </cell>
        </row>
        <row r="5864">
          <cell r="C5864">
            <v>3005843</v>
          </cell>
          <cell r="D5864" t="str">
            <v>SW LICENCA SUPORTE OPERACOES-ENGENHARIA</v>
          </cell>
          <cell r="E5864" t="str">
            <v>H</v>
          </cell>
        </row>
        <row r="5865">
          <cell r="C5865">
            <v>3005844</v>
          </cell>
          <cell r="D5865" t="str">
            <v>SW LICENCA SUPORTE OPERACOES-ENGENHARIA</v>
          </cell>
          <cell r="E5865" t="str">
            <v>MES</v>
          </cell>
        </row>
        <row r="5866">
          <cell r="C5866">
            <v>3005845</v>
          </cell>
          <cell r="D5866" t="str">
            <v>SW LICENCA SUPORTE OPERACOES-ENGENHARIA</v>
          </cell>
          <cell r="E5866" t="str">
            <v>UN</v>
          </cell>
        </row>
        <row r="5867">
          <cell r="C5867">
            <v>3005846</v>
          </cell>
          <cell r="D5867" t="str">
            <v>SW LICENCA SUPORTE OPERACOES - OUTROS</v>
          </cell>
          <cell r="E5867" t="str">
            <v>ANO</v>
          </cell>
        </row>
        <row r="5868">
          <cell r="C5868">
            <v>3005847</v>
          </cell>
          <cell r="D5868" t="str">
            <v>SW LICENCA SUPORTE OPERACOES - OUTROS</v>
          </cell>
          <cell r="E5868" t="str">
            <v>DIA</v>
          </cell>
        </row>
        <row r="5869">
          <cell r="C5869">
            <v>3005848</v>
          </cell>
          <cell r="D5869" t="str">
            <v>SW LICENCA SUPORTE OPERACOES - OUTROS</v>
          </cell>
          <cell r="E5869" t="str">
            <v>H</v>
          </cell>
        </row>
        <row r="5870">
          <cell r="C5870">
            <v>3005849</v>
          </cell>
          <cell r="D5870" t="str">
            <v>SW LICENCA SUPORTE OPERACOES - OUTROS</v>
          </cell>
          <cell r="E5870" t="str">
            <v>MES</v>
          </cell>
        </row>
        <row r="5871">
          <cell r="C5871">
            <v>3005850</v>
          </cell>
          <cell r="D5871" t="str">
            <v>SW LICENCA SUPORTE OPERACOES - OUTROS</v>
          </cell>
          <cell r="E5871" t="str">
            <v>SV</v>
          </cell>
        </row>
        <row r="5872">
          <cell r="C5872">
            <v>3005851</v>
          </cell>
          <cell r="D5872" t="str">
            <v>SW LICENCA SUPORTE OPERACOES - OUTROS</v>
          </cell>
          <cell r="E5872" t="str">
            <v>UN</v>
          </cell>
        </row>
        <row r="5873">
          <cell r="C5873">
            <v>3005852</v>
          </cell>
          <cell r="D5873" t="str">
            <v>SW LICENCA SUPORTE OPERACOES - PRODUCAO</v>
          </cell>
          <cell r="E5873" t="str">
            <v>UN</v>
          </cell>
        </row>
        <row r="5874">
          <cell r="C5874">
            <v>3005853</v>
          </cell>
          <cell r="D5874" t="str">
            <v>SW LICENCA SUP OPERACOES-TRANSPORTATION</v>
          </cell>
          <cell r="E5874" t="str">
            <v>UN</v>
          </cell>
        </row>
        <row r="5875">
          <cell r="C5875">
            <v>3005854</v>
          </cell>
          <cell r="D5875" t="str">
            <v>SW LICENCA SUPORTE OPERACOES - GED</v>
          </cell>
          <cell r="E5875" t="str">
            <v>UN</v>
          </cell>
        </row>
        <row r="5876">
          <cell r="C5876">
            <v>3005855</v>
          </cell>
          <cell r="D5876" t="str">
            <v>SW LICENCA SUPORTE OPERACOES - GIS</v>
          </cell>
          <cell r="E5876" t="str">
            <v>UN</v>
          </cell>
        </row>
        <row r="5877">
          <cell r="C5877">
            <v>3005856</v>
          </cell>
          <cell r="D5877" t="str">
            <v>SW LICENCA SUPORTE ERP - PEOPLE SOFT</v>
          </cell>
          <cell r="E5877" t="str">
            <v>UN</v>
          </cell>
        </row>
        <row r="5878">
          <cell r="C5878">
            <v>3005857</v>
          </cell>
          <cell r="D5878" t="str">
            <v>SW L&amp;S BACK OFFICE E CORPORATIVO - GED</v>
          </cell>
          <cell r="E5878" t="str">
            <v>UN</v>
          </cell>
        </row>
        <row r="5879">
          <cell r="C5879">
            <v>3005858</v>
          </cell>
          <cell r="D5879" t="str">
            <v>SW L&amp;S TECN TI PLATAF- S O GER ARMAZENA</v>
          </cell>
          <cell r="E5879" t="str">
            <v>UN</v>
          </cell>
        </row>
        <row r="5880">
          <cell r="C5880">
            <v>3005859</v>
          </cell>
          <cell r="D5880" t="str">
            <v>SW L&amp;S BACK OFFICE E CORPORAT - FINANCAS</v>
          </cell>
          <cell r="E5880" t="str">
            <v>H</v>
          </cell>
        </row>
        <row r="5881">
          <cell r="C5881">
            <v>3005860</v>
          </cell>
          <cell r="D5881" t="str">
            <v>SW L&amp;S BACK OFFICE E CORPORAT - FINANCAS</v>
          </cell>
          <cell r="E5881" t="str">
            <v>MES</v>
          </cell>
        </row>
        <row r="5882">
          <cell r="C5882">
            <v>3005861</v>
          </cell>
          <cell r="D5882" t="str">
            <v>SW L&amp;S BACK OFFICE E CORPORAT - FINANCAS</v>
          </cell>
          <cell r="E5882" t="str">
            <v>SV</v>
          </cell>
        </row>
        <row r="5883">
          <cell r="C5883">
            <v>3005862</v>
          </cell>
          <cell r="D5883" t="str">
            <v>SW L&amp;S BACK OFFICE E CORPORAT - FINANCAS</v>
          </cell>
          <cell r="E5883" t="str">
            <v>UN</v>
          </cell>
        </row>
        <row r="5884">
          <cell r="C5884">
            <v>3005863</v>
          </cell>
          <cell r="D5884" t="str">
            <v>SW L&amp;S BACK OFFICE CORPORAT - FOLHA PGTO</v>
          </cell>
          <cell r="E5884" t="str">
            <v>UN</v>
          </cell>
        </row>
        <row r="5885">
          <cell r="C5885">
            <v>3005864</v>
          </cell>
          <cell r="D5885" t="str">
            <v>SW LICENCA SUPORTE OPER- GER SUPRIMENTOS</v>
          </cell>
          <cell r="E5885" t="str">
            <v>H</v>
          </cell>
        </row>
        <row r="5886">
          <cell r="C5886">
            <v>3005865</v>
          </cell>
          <cell r="D5886" t="str">
            <v>SW LICENCA SUPORTE OPER- GER SUPRIMENTOS</v>
          </cell>
          <cell r="E5886" t="str">
            <v>MES</v>
          </cell>
        </row>
        <row r="5887">
          <cell r="C5887">
            <v>3005866</v>
          </cell>
          <cell r="D5887" t="str">
            <v>SW LICENCA SUPORTE OPER- GER SUPRIMENTOS</v>
          </cell>
          <cell r="E5887" t="str">
            <v>UN</v>
          </cell>
        </row>
        <row r="5888">
          <cell r="C5888">
            <v>3005867</v>
          </cell>
          <cell r="D5888" t="str">
            <v>TAPEÇARIA E REFORMA ESTOFAMENTOS GERAL</v>
          </cell>
          <cell r="E5888" t="str">
            <v>M2</v>
          </cell>
        </row>
        <row r="5889">
          <cell r="C5889">
            <v>3005868</v>
          </cell>
          <cell r="D5889" t="str">
            <v>TAPEÇARIA E REFORMA ESTOFAMENTOS GERAL</v>
          </cell>
          <cell r="E5889" t="str">
            <v>UN</v>
          </cell>
        </row>
        <row r="5890">
          <cell r="C5890">
            <v>3005869</v>
          </cell>
          <cell r="D5890" t="str">
            <v>TARIFAS AEROPORTUÃ�RIAS</v>
          </cell>
          <cell r="E5890" t="str">
            <v>H</v>
          </cell>
        </row>
        <row r="5891">
          <cell r="C5891">
            <v>3005870</v>
          </cell>
          <cell r="D5891" t="str">
            <v>TARIFAS AEROPORTUÁRIAS</v>
          </cell>
          <cell r="E5891" t="str">
            <v>KG</v>
          </cell>
        </row>
        <row r="5892">
          <cell r="C5892">
            <v>3005871</v>
          </cell>
          <cell r="D5892" t="str">
            <v>TARIFAS AEROPORTUÃ�RIAS</v>
          </cell>
          <cell r="E5892" t="str">
            <v>MES</v>
          </cell>
        </row>
        <row r="5893">
          <cell r="C5893">
            <v>3005872</v>
          </cell>
          <cell r="D5893" t="str">
            <v>TARIFAS AEROPORTUÁRIAS</v>
          </cell>
          <cell r="E5893" t="str">
            <v>UN</v>
          </cell>
        </row>
        <row r="5894">
          <cell r="C5894">
            <v>3005873</v>
          </cell>
          <cell r="D5894" t="str">
            <v>TAXAS PARA EMISSÃƒO DE DOCUNENTOS</v>
          </cell>
          <cell r="E5894" t="str">
            <v>UN</v>
          </cell>
        </row>
        <row r="5895">
          <cell r="C5895">
            <v>3005874</v>
          </cell>
          <cell r="D5895" t="str">
            <v>TÁXI (S VÍNCULO DISPONIBILIDADE)</v>
          </cell>
          <cell r="E5895" t="str">
            <v>H</v>
          </cell>
        </row>
        <row r="5896">
          <cell r="C5896">
            <v>3005875</v>
          </cell>
          <cell r="D5896" t="str">
            <v>TÁXI (S VÍNCULO DISPONIBILIDADE)</v>
          </cell>
          <cell r="E5896" t="str">
            <v>KMS</v>
          </cell>
        </row>
        <row r="5897">
          <cell r="C5897">
            <v>3005876</v>
          </cell>
          <cell r="D5897" t="str">
            <v>SERVICO DE TAXI</v>
          </cell>
          <cell r="E5897" t="str">
            <v>SV</v>
          </cell>
        </row>
        <row r="5898">
          <cell r="C5898">
            <v>3005877</v>
          </cell>
          <cell r="D5898" t="str">
            <v>TÁXI (S VÍNCULO DISPONIBILIDADE)</v>
          </cell>
          <cell r="E5898" t="str">
            <v>UN</v>
          </cell>
        </row>
        <row r="5899">
          <cell r="C5899">
            <v>3005878</v>
          </cell>
          <cell r="D5899" t="str">
            <v>TECNOLOGIA AUTOMAÇÃO SERVIDOR;ESTAÇÃO</v>
          </cell>
          <cell r="E5899" t="str">
            <v>H</v>
          </cell>
        </row>
        <row r="5900">
          <cell r="C5900">
            <v>3005879</v>
          </cell>
          <cell r="D5900" t="str">
            <v>TECNOLOGIA AUTOMAÇÃO SERVIDOR;ESTAÇÃO</v>
          </cell>
          <cell r="E5900" t="str">
            <v>MES</v>
          </cell>
        </row>
        <row r="5901">
          <cell r="C5901">
            <v>3005880</v>
          </cell>
          <cell r="D5901" t="str">
            <v>ANALISE E DESENVOLVIMENTO DE SISTEMAS</v>
          </cell>
          <cell r="E5901" t="str">
            <v>SV</v>
          </cell>
        </row>
        <row r="5902">
          <cell r="C5902">
            <v>3005881</v>
          </cell>
          <cell r="D5902" t="str">
            <v>TECNOLOGIA AUTOMAÇÃO SERVIDOR;ESTAÇÃO</v>
          </cell>
          <cell r="E5902" t="str">
            <v>UN</v>
          </cell>
        </row>
        <row r="5903">
          <cell r="C5903">
            <v>3005882</v>
          </cell>
          <cell r="D5903" t="str">
            <v>TELEMARKETING</v>
          </cell>
          <cell r="E5903" t="str">
            <v>MES</v>
          </cell>
        </row>
        <row r="5904">
          <cell r="C5904">
            <v>3005883</v>
          </cell>
          <cell r="D5904" t="str">
            <v>TELEMARKETING</v>
          </cell>
          <cell r="E5904" t="str">
            <v>SV</v>
          </cell>
        </row>
        <row r="5905">
          <cell r="C5905">
            <v>3005884</v>
          </cell>
          <cell r="D5905" t="str">
            <v>TELEMARKETING</v>
          </cell>
          <cell r="E5905" t="str">
            <v>UN</v>
          </cell>
        </row>
        <row r="5906">
          <cell r="C5906">
            <v>3005885</v>
          </cell>
          <cell r="D5906" t="str">
            <v>OPER, FORNEC DE MAO-DE-OBRA OU OUTSOURC</v>
          </cell>
          <cell r="E5906" t="str">
            <v>SV</v>
          </cell>
        </row>
        <row r="5907">
          <cell r="C5907">
            <v>3005886</v>
          </cell>
          <cell r="D5907" t="str">
            <v>TEMP SUPPORT- ENVIRONMENT_SUSTAINABILITY</v>
          </cell>
          <cell r="E5907" t="str">
            <v>UN</v>
          </cell>
        </row>
        <row r="5908">
          <cell r="C5908">
            <v>3005887</v>
          </cell>
          <cell r="D5908" t="str">
            <v>TEMPORARY SUPPORT - MINING AND LOGISTICS</v>
          </cell>
          <cell r="E5908" t="str">
            <v>H</v>
          </cell>
        </row>
        <row r="5909">
          <cell r="C5909">
            <v>3005888</v>
          </cell>
          <cell r="D5909" t="str">
            <v>TEMPORARY SUPPORT - MINING AND LOGISTICS</v>
          </cell>
          <cell r="E5909" t="str">
            <v>UN</v>
          </cell>
        </row>
        <row r="5910">
          <cell r="C5910">
            <v>3005889</v>
          </cell>
          <cell r="D5910" t="str">
            <v>SERV SUPORT TEMP - PROCESSAM OPERACOES</v>
          </cell>
          <cell r="E5910" t="str">
            <v>H</v>
          </cell>
        </row>
        <row r="5911">
          <cell r="C5911">
            <v>3005890</v>
          </cell>
          <cell r="D5911" t="str">
            <v>TEMPORARY SUPPORT SERVICES - BACKOFFICE</v>
          </cell>
          <cell r="E5911" t="str">
            <v>UN</v>
          </cell>
        </row>
        <row r="5912">
          <cell r="C5912">
            <v>3005891</v>
          </cell>
          <cell r="D5912" t="str">
            <v>TEMPORARY SUPPORT SERVICES - FINANCIAL</v>
          </cell>
          <cell r="E5912" t="str">
            <v>H</v>
          </cell>
        </row>
        <row r="5913">
          <cell r="C5913">
            <v>3005892</v>
          </cell>
          <cell r="D5913" t="str">
            <v>TEMPORARY SUPPORT SERVICES - FINANCIAL</v>
          </cell>
          <cell r="E5913" t="str">
            <v>UN</v>
          </cell>
        </row>
        <row r="5914">
          <cell r="C5914">
            <v>3005893</v>
          </cell>
          <cell r="D5914" t="str">
            <v>TEMPORARY SUPPORT SERVICES - IT</v>
          </cell>
          <cell r="E5914" t="str">
            <v>H</v>
          </cell>
        </row>
        <row r="5915">
          <cell r="C5915">
            <v>3005894</v>
          </cell>
          <cell r="D5915" t="str">
            <v>TEMPORARY SUPPORT SERVICES - IT</v>
          </cell>
          <cell r="E5915" t="str">
            <v>UN</v>
          </cell>
        </row>
        <row r="5916">
          <cell r="C5916">
            <v>3005895</v>
          </cell>
          <cell r="D5916" t="str">
            <v>TEMPORARY SUPPORT SERVICES - PROCUREMENT</v>
          </cell>
          <cell r="E5916" t="str">
            <v>H</v>
          </cell>
        </row>
        <row r="5917">
          <cell r="C5917">
            <v>3005896</v>
          </cell>
          <cell r="D5917" t="str">
            <v>TEMPORARY SUPPORT SERVICES - PROCUREMENT</v>
          </cell>
          <cell r="E5917" t="str">
            <v>UN</v>
          </cell>
        </row>
        <row r="5918">
          <cell r="C5918">
            <v>3005897</v>
          </cell>
          <cell r="D5918" t="str">
            <v>TEMPORARY SUPPORT SRV - HUNAN RESOURCES</v>
          </cell>
          <cell r="E5918" t="str">
            <v>H</v>
          </cell>
        </row>
        <row r="5919">
          <cell r="C5919">
            <v>3005898</v>
          </cell>
          <cell r="D5919" t="str">
            <v>TEMPORARY SUPPORT SRV - HUNAN RESOURCES</v>
          </cell>
          <cell r="E5919" t="str">
            <v>UN</v>
          </cell>
        </row>
        <row r="5920">
          <cell r="C5920">
            <v>3005899</v>
          </cell>
          <cell r="D5920" t="str">
            <v>TEMPORARY SUPPORT SRV- HEALTH AND SAFETY</v>
          </cell>
          <cell r="E5920" t="str">
            <v>H</v>
          </cell>
        </row>
        <row r="5921">
          <cell r="C5921">
            <v>3005900</v>
          </cell>
          <cell r="D5921" t="str">
            <v>TEMPORARY SUPPORT SRV- HEALTH AND SAFETY</v>
          </cell>
          <cell r="E5921" t="str">
            <v>UN</v>
          </cell>
        </row>
        <row r="5922">
          <cell r="C5922">
            <v>3005901</v>
          </cell>
          <cell r="D5922" t="str">
            <v>TERAPIA OCUPACIONAL, FISIO E FONO</v>
          </cell>
          <cell r="E5922" t="str">
            <v>MES</v>
          </cell>
        </row>
        <row r="5923">
          <cell r="C5923">
            <v>3005902</v>
          </cell>
          <cell r="D5923" t="str">
            <v>TERAPIA OCUPACIONAL, FISIO E FONO</v>
          </cell>
          <cell r="E5923" t="str">
            <v>UN</v>
          </cell>
        </row>
        <row r="5924">
          <cell r="C5924">
            <v>3005903</v>
          </cell>
          <cell r="D5924" t="str">
            <v>TERAP QUALQ ESPEC TRAT FIS ORG MENT</v>
          </cell>
          <cell r="E5924" t="str">
            <v>DIA</v>
          </cell>
        </row>
        <row r="5925">
          <cell r="C5925">
            <v>3005904</v>
          </cell>
          <cell r="D5925" t="str">
            <v>TERAP QUALQ ESPEC TRAT FIS ORG MENT</v>
          </cell>
          <cell r="E5925" t="str">
            <v>MES</v>
          </cell>
        </row>
        <row r="5926">
          <cell r="C5926">
            <v>3005905</v>
          </cell>
          <cell r="D5926" t="str">
            <v>TERAP QUALQ ESPEC TRAT FIS ORG MENT</v>
          </cell>
          <cell r="E5926" t="str">
            <v>SV</v>
          </cell>
        </row>
        <row r="5927">
          <cell r="C5927">
            <v>3005906</v>
          </cell>
          <cell r="D5927" t="str">
            <v>TERAP QUALQ ESPEC TRAT FIS ORG MENT</v>
          </cell>
          <cell r="E5927" t="str">
            <v>UN</v>
          </cell>
        </row>
        <row r="5928">
          <cell r="C5928">
            <v>3005907</v>
          </cell>
          <cell r="D5928" t="str">
            <v>TERCEIRIZAÇÃO SRV DE MANUT EQUIP PESADOS</v>
          </cell>
          <cell r="E5928" t="str">
            <v>H</v>
          </cell>
        </row>
        <row r="5929">
          <cell r="C5929">
            <v>3005908</v>
          </cell>
          <cell r="D5929" t="str">
            <v>TERCEIRIZAÇÃO SRV DE MANUT EQUIP PESADOS</v>
          </cell>
          <cell r="E5929" t="str">
            <v>KMS</v>
          </cell>
        </row>
        <row r="5930">
          <cell r="C5930">
            <v>3005909</v>
          </cell>
          <cell r="D5930" t="str">
            <v>MANUT CONSERV MAQS,EQUIPS MOV,PC,MOTORES</v>
          </cell>
          <cell r="E5930" t="str">
            <v>SV</v>
          </cell>
        </row>
        <row r="5931">
          <cell r="C5931">
            <v>3005910</v>
          </cell>
          <cell r="D5931" t="str">
            <v>TERCEIRIZAÇÃO SRV DE MANUT EQUIP PESADOS</v>
          </cell>
          <cell r="E5931" t="str">
            <v>UN</v>
          </cell>
        </row>
        <row r="5932">
          <cell r="C5932">
            <v>3005911</v>
          </cell>
          <cell r="D5932" t="str">
            <v>RESTAUR,PINT,CROMAG,BENEF,TING,GALV</v>
          </cell>
          <cell r="E5932" t="str">
            <v>SV</v>
          </cell>
        </row>
        <row r="5933">
          <cell r="C5933">
            <v>3005912</v>
          </cell>
          <cell r="D5933" t="str">
            <v>TINTURARIA E LAVANDERIA</v>
          </cell>
          <cell r="E5933" t="str">
            <v>KG</v>
          </cell>
        </row>
        <row r="5934">
          <cell r="C5934">
            <v>3005913</v>
          </cell>
          <cell r="D5934" t="str">
            <v>TINTURARIA E LAVANDERIA</v>
          </cell>
          <cell r="E5934" t="str">
            <v>M2</v>
          </cell>
        </row>
        <row r="5935">
          <cell r="C5935">
            <v>3005914</v>
          </cell>
          <cell r="D5935" t="str">
            <v>TINTURARIA E LAVANDERIA</v>
          </cell>
          <cell r="E5935" t="str">
            <v>MES</v>
          </cell>
        </row>
        <row r="5936">
          <cell r="C5936">
            <v>3005915</v>
          </cell>
          <cell r="D5936" t="str">
            <v>TINTURARIA E LAVANDERIA</v>
          </cell>
          <cell r="E5936" t="str">
            <v>PAR</v>
          </cell>
        </row>
        <row r="5937">
          <cell r="C5937">
            <v>3005916</v>
          </cell>
          <cell r="D5937" t="str">
            <v>TINTURARIA E LAVANDERIA.</v>
          </cell>
          <cell r="E5937" t="str">
            <v>SV</v>
          </cell>
        </row>
        <row r="5938">
          <cell r="C5938">
            <v>3005917</v>
          </cell>
          <cell r="D5938" t="str">
            <v>TINTURARIA E LAVANDERIA</v>
          </cell>
          <cell r="E5938" t="str">
            <v>UN</v>
          </cell>
        </row>
        <row r="5939">
          <cell r="C5939">
            <v>3005918</v>
          </cell>
          <cell r="D5939" t="str">
            <v>TOPOGRAFIA</v>
          </cell>
          <cell r="E5939" t="str">
            <v>DIA</v>
          </cell>
        </row>
        <row r="5940">
          <cell r="C5940">
            <v>3005919</v>
          </cell>
          <cell r="D5940" t="str">
            <v>TOPOGRAFIA</v>
          </cell>
          <cell r="E5940" t="str">
            <v>H</v>
          </cell>
        </row>
        <row r="5941">
          <cell r="C5941">
            <v>3005920</v>
          </cell>
          <cell r="D5941" t="str">
            <v>TOPOGRAFIA</v>
          </cell>
          <cell r="E5941" t="str">
            <v>HA</v>
          </cell>
        </row>
        <row r="5942">
          <cell r="C5942">
            <v>3005921</v>
          </cell>
          <cell r="D5942" t="str">
            <v>TOPOGRAFIA</v>
          </cell>
          <cell r="E5942" t="str">
            <v>KM2</v>
          </cell>
        </row>
        <row r="5943">
          <cell r="C5943">
            <v>3005922</v>
          </cell>
          <cell r="D5943" t="str">
            <v>TOPOGRAFIA</v>
          </cell>
          <cell r="E5943" t="str">
            <v>KMS</v>
          </cell>
        </row>
        <row r="5944">
          <cell r="C5944">
            <v>3005923</v>
          </cell>
          <cell r="D5944" t="str">
            <v>TOPOGRAFIA</v>
          </cell>
          <cell r="E5944" t="str">
            <v>M</v>
          </cell>
        </row>
        <row r="5945">
          <cell r="C5945">
            <v>3005924</v>
          </cell>
          <cell r="D5945" t="str">
            <v>TOPOGRAFIA</v>
          </cell>
          <cell r="E5945" t="str">
            <v>M2</v>
          </cell>
        </row>
        <row r="5946">
          <cell r="C5946">
            <v>3005925</v>
          </cell>
          <cell r="D5946" t="str">
            <v>TOPOGRAFIA</v>
          </cell>
          <cell r="E5946" t="str">
            <v>MES</v>
          </cell>
        </row>
        <row r="5947">
          <cell r="C5947">
            <v>3005926</v>
          </cell>
          <cell r="D5947" t="str">
            <v>TOPOGRAFIA</v>
          </cell>
          <cell r="E5947" t="str">
            <v>SV</v>
          </cell>
        </row>
        <row r="5948">
          <cell r="C5948">
            <v>3005927</v>
          </cell>
          <cell r="D5948" t="str">
            <v>TOPOGRAFIA</v>
          </cell>
          <cell r="E5948" t="str">
            <v>UN</v>
          </cell>
        </row>
        <row r="5949">
          <cell r="C5949">
            <v>3005928</v>
          </cell>
          <cell r="D5949" t="str">
            <v>TRADUÇÃO E INTÉRPRETE</v>
          </cell>
          <cell r="E5949" t="str">
            <v>DIA</v>
          </cell>
        </row>
        <row r="5950">
          <cell r="C5950">
            <v>3005929</v>
          </cell>
          <cell r="D5950" t="str">
            <v>TRADUÇÃO E INTÉRPRETE</v>
          </cell>
          <cell r="E5950" t="str">
            <v>H</v>
          </cell>
        </row>
        <row r="5951">
          <cell r="C5951">
            <v>3005930</v>
          </cell>
          <cell r="D5951" t="str">
            <v>TRADUÇÃO E INTÉRPRETE</v>
          </cell>
          <cell r="E5951" t="str">
            <v>MES</v>
          </cell>
        </row>
        <row r="5952">
          <cell r="C5952">
            <v>3005931</v>
          </cell>
          <cell r="D5952" t="str">
            <v>TRADUÇÃO, INTERPRETE.</v>
          </cell>
          <cell r="E5952" t="str">
            <v>SV</v>
          </cell>
        </row>
        <row r="5953">
          <cell r="C5953">
            <v>3005932</v>
          </cell>
          <cell r="D5953" t="str">
            <v>TRADUÇÃO E INTÉRPRETE</v>
          </cell>
          <cell r="E5953" t="str">
            <v>UN</v>
          </cell>
        </row>
        <row r="5954">
          <cell r="C5954">
            <v>3005933</v>
          </cell>
          <cell r="D5954" t="str">
            <v>TRANSMISSÃO MUSICA P AMBIENTES</v>
          </cell>
          <cell r="E5954" t="str">
            <v>UN</v>
          </cell>
        </row>
        <row r="5955">
          <cell r="C5955">
            <v>3005934</v>
          </cell>
          <cell r="D5955" t="str">
            <v>TRANSPORTE COLETIVO DE PESSOAL</v>
          </cell>
          <cell r="E5955" t="str">
            <v>DIA</v>
          </cell>
        </row>
        <row r="5956">
          <cell r="C5956">
            <v>3005935</v>
          </cell>
          <cell r="D5956" t="str">
            <v>TRANSPORTE COLETIVO DE PESSOAL</v>
          </cell>
          <cell r="E5956" t="str">
            <v>H</v>
          </cell>
        </row>
        <row r="5957">
          <cell r="C5957">
            <v>3005936</v>
          </cell>
          <cell r="D5957" t="str">
            <v>TRANSPORTE COLETIVO DE PESSOAL</v>
          </cell>
          <cell r="E5957" t="str">
            <v>KMS</v>
          </cell>
        </row>
        <row r="5958">
          <cell r="C5958">
            <v>3005937</v>
          </cell>
          <cell r="D5958" t="str">
            <v>TRANSPORTE DE PASSAGEIROS</v>
          </cell>
          <cell r="E5958" t="str">
            <v>SV</v>
          </cell>
        </row>
        <row r="5959">
          <cell r="C5959">
            <v>3005938</v>
          </cell>
          <cell r="D5959" t="str">
            <v>TRANSPORTE COLETIVO DE PESSOAL</v>
          </cell>
          <cell r="E5959" t="str">
            <v>UN</v>
          </cell>
        </row>
        <row r="5960">
          <cell r="C5960">
            <v>3005939</v>
          </cell>
          <cell r="D5960" t="str">
            <v>TRANSPORTE DE CARGA ESPECIAL</v>
          </cell>
          <cell r="E5960" t="str">
            <v>DIA</v>
          </cell>
        </row>
        <row r="5961">
          <cell r="C5961">
            <v>3005940</v>
          </cell>
          <cell r="D5961" t="str">
            <v>TRANSPORTE DE CARGA ESPECIAL</v>
          </cell>
          <cell r="E5961" t="str">
            <v>H</v>
          </cell>
        </row>
        <row r="5962">
          <cell r="C5962">
            <v>3005941</v>
          </cell>
          <cell r="D5962" t="str">
            <v>TRANSPORTE DE CARGA ESPECIAL</v>
          </cell>
          <cell r="E5962" t="str">
            <v>KMS</v>
          </cell>
        </row>
        <row r="5963">
          <cell r="C5963">
            <v>3005942</v>
          </cell>
          <cell r="D5963" t="str">
            <v>TRANSPORTE DE CARGAS</v>
          </cell>
          <cell r="E5963" t="str">
            <v>SV</v>
          </cell>
        </row>
        <row r="5964">
          <cell r="C5964">
            <v>3005943</v>
          </cell>
          <cell r="D5964" t="str">
            <v>TRANSPORTE DE CARGA ESPECIAL</v>
          </cell>
          <cell r="E5964" t="str">
            <v>TO</v>
          </cell>
        </row>
        <row r="5965">
          <cell r="C5965">
            <v>3005944</v>
          </cell>
          <cell r="D5965" t="str">
            <v>TRANSPORTE DE CARGA ESPECIAL</v>
          </cell>
          <cell r="E5965" t="str">
            <v>UN</v>
          </cell>
        </row>
        <row r="5966">
          <cell r="C5966">
            <v>3005945</v>
          </cell>
          <cell r="D5966" t="str">
            <v>TRANSPORTE DE CARGA SECA</v>
          </cell>
          <cell r="E5966" t="str">
            <v>H</v>
          </cell>
        </row>
        <row r="5967">
          <cell r="C5967">
            <v>3005946</v>
          </cell>
          <cell r="D5967" t="str">
            <v>TRANSPORTE DE CARGA SECA</v>
          </cell>
          <cell r="E5967" t="str">
            <v>KMS</v>
          </cell>
        </row>
        <row r="5968">
          <cell r="C5968">
            <v>3005947</v>
          </cell>
          <cell r="D5968" t="str">
            <v>TRANSPORTE DE CARGA SECA</v>
          </cell>
          <cell r="E5968" t="str">
            <v>M3</v>
          </cell>
        </row>
        <row r="5969">
          <cell r="C5969">
            <v>3005948</v>
          </cell>
          <cell r="D5969" t="str">
            <v>TRANSPORTE DE CARGA SECA</v>
          </cell>
          <cell r="E5969" t="str">
            <v>MES</v>
          </cell>
        </row>
        <row r="5970">
          <cell r="C5970">
            <v>3005949</v>
          </cell>
          <cell r="D5970" t="str">
            <v>TRANSPORTE DE CARGAS</v>
          </cell>
          <cell r="E5970" t="str">
            <v>SV</v>
          </cell>
        </row>
        <row r="5971">
          <cell r="C5971">
            <v>3005950</v>
          </cell>
          <cell r="D5971" t="str">
            <v>TRANSPORTE DE CARGA SECA</v>
          </cell>
          <cell r="E5971" t="str">
            <v>TO</v>
          </cell>
        </row>
        <row r="5972">
          <cell r="C5972">
            <v>3005951</v>
          </cell>
          <cell r="D5972" t="str">
            <v>TRANSPORTE DE CARGA SECA</v>
          </cell>
          <cell r="E5972" t="str">
            <v>UN</v>
          </cell>
        </row>
        <row r="5973">
          <cell r="C5973">
            <v>3005952</v>
          </cell>
          <cell r="D5973" t="str">
            <v>TRANSPORTE DE CARGAS</v>
          </cell>
          <cell r="E5973" t="str">
            <v>SV</v>
          </cell>
        </row>
        <row r="5974">
          <cell r="C5974">
            <v>3005953</v>
          </cell>
          <cell r="D5974" t="str">
            <v>TRANSPORTE DE CARGAS RODOVIÁRIAS</v>
          </cell>
          <cell r="E5974" t="str">
            <v>UN</v>
          </cell>
        </row>
        <row r="5975">
          <cell r="C5975">
            <v>3005954</v>
          </cell>
          <cell r="D5975" t="str">
            <v>TRANSPORTE DE CARGAS.</v>
          </cell>
          <cell r="E5975" t="str">
            <v>DIA</v>
          </cell>
        </row>
        <row r="5976">
          <cell r="C5976">
            <v>3005955</v>
          </cell>
          <cell r="D5976" t="str">
            <v>TRANSPORTE DE CARGAS.</v>
          </cell>
          <cell r="E5976" t="str">
            <v>H</v>
          </cell>
        </row>
        <row r="5977">
          <cell r="C5977">
            <v>3005956</v>
          </cell>
          <cell r="D5977" t="str">
            <v>TRANSPORTE DE CARGAS.</v>
          </cell>
          <cell r="E5977" t="str">
            <v>KMS</v>
          </cell>
        </row>
        <row r="5978">
          <cell r="C5978">
            <v>3005957</v>
          </cell>
          <cell r="D5978" t="str">
            <v>TRANSPORTE DE CARGAS.</v>
          </cell>
          <cell r="E5978" t="str">
            <v>M</v>
          </cell>
        </row>
        <row r="5979">
          <cell r="C5979">
            <v>3005958</v>
          </cell>
          <cell r="D5979" t="str">
            <v>TRANSPORTE DE CARGAS.</v>
          </cell>
          <cell r="E5979" t="str">
            <v>M2</v>
          </cell>
        </row>
        <row r="5980">
          <cell r="C5980">
            <v>3005959</v>
          </cell>
          <cell r="D5980" t="str">
            <v>TRANSPORTE DE CARGAS.</v>
          </cell>
          <cell r="E5980" t="str">
            <v>M3</v>
          </cell>
        </row>
        <row r="5981">
          <cell r="C5981">
            <v>3005960</v>
          </cell>
          <cell r="D5981" t="str">
            <v>TRANSPORTE DE CARGAS.</v>
          </cell>
          <cell r="E5981" t="str">
            <v>SEM</v>
          </cell>
        </row>
        <row r="5982">
          <cell r="C5982">
            <v>3005961</v>
          </cell>
          <cell r="D5982" t="str">
            <v>TRANSPORTE DE CARGAS</v>
          </cell>
          <cell r="E5982" t="str">
            <v>SV</v>
          </cell>
        </row>
        <row r="5983">
          <cell r="C5983">
            <v>3005962</v>
          </cell>
          <cell r="D5983" t="str">
            <v>TRANSPORTE DE CARGAS.</v>
          </cell>
          <cell r="E5983" t="str">
            <v>TO</v>
          </cell>
        </row>
        <row r="5984">
          <cell r="C5984">
            <v>3005963</v>
          </cell>
          <cell r="D5984" t="str">
            <v>TRANSPORTE DE CARGAS.</v>
          </cell>
          <cell r="E5984" t="str">
            <v>UN</v>
          </cell>
        </row>
        <row r="5985">
          <cell r="C5985">
            <v>3005964</v>
          </cell>
          <cell r="D5985" t="str">
            <v>TRANSPORTE DE GRANEL LÍQUIDO</v>
          </cell>
          <cell r="E5985" t="str">
            <v>H</v>
          </cell>
        </row>
        <row r="5986">
          <cell r="C5986">
            <v>3005965</v>
          </cell>
          <cell r="D5986" t="str">
            <v>TRANSPORTE DE GRANEL LÍQUIDO</v>
          </cell>
          <cell r="E5986" t="str">
            <v>KMS</v>
          </cell>
        </row>
        <row r="5987">
          <cell r="C5987">
            <v>3005966</v>
          </cell>
          <cell r="D5987" t="str">
            <v>TRANSPORTE DE GRANEL LÍQUIDO</v>
          </cell>
          <cell r="E5987" t="str">
            <v>MES</v>
          </cell>
        </row>
        <row r="5988">
          <cell r="C5988">
            <v>3005967</v>
          </cell>
          <cell r="D5988" t="str">
            <v>TRANSPORTE DE GRANEL LÍQUIDO</v>
          </cell>
          <cell r="E5988" t="str">
            <v>SV</v>
          </cell>
        </row>
        <row r="5989">
          <cell r="C5989">
            <v>3005968</v>
          </cell>
          <cell r="D5989" t="str">
            <v>TRANSPORTE DE GRANEL LÍQUIDO</v>
          </cell>
          <cell r="E5989" t="str">
            <v>TO</v>
          </cell>
        </row>
        <row r="5990">
          <cell r="C5990">
            <v>3005969</v>
          </cell>
          <cell r="D5990" t="str">
            <v>TRANSPORTE DE GRANEL LÍQUIDO</v>
          </cell>
          <cell r="E5990" t="str">
            <v>UN</v>
          </cell>
        </row>
        <row r="5991">
          <cell r="C5991">
            <v>3005970</v>
          </cell>
          <cell r="D5991" t="str">
            <v>TRANSPORTE DE GRANEL SÓLIDO</v>
          </cell>
          <cell r="E5991" t="str">
            <v>SV</v>
          </cell>
        </row>
        <row r="5992">
          <cell r="C5992">
            <v>3005971</v>
          </cell>
          <cell r="D5992" t="str">
            <v>TRANSPORTE DE GRANEL SÓLIDO</v>
          </cell>
          <cell r="E5992" t="str">
            <v>TO</v>
          </cell>
        </row>
        <row r="5993">
          <cell r="C5993">
            <v>3005972</v>
          </cell>
          <cell r="D5993" t="str">
            <v>TRANSPORTE DE GRANEL SÓLIDO</v>
          </cell>
          <cell r="E5993" t="str">
            <v>UN</v>
          </cell>
        </row>
        <row r="5994">
          <cell r="C5994">
            <v>3005973</v>
          </cell>
          <cell r="D5994" t="str">
            <v>TRANSPORTE DE PASSAGEIROS.</v>
          </cell>
          <cell r="E5994" t="str">
            <v>DIA</v>
          </cell>
        </row>
        <row r="5995">
          <cell r="C5995">
            <v>3005974</v>
          </cell>
          <cell r="D5995" t="str">
            <v>TRANSPORTE DE PASSAGEIROS.</v>
          </cell>
          <cell r="E5995" t="str">
            <v>H</v>
          </cell>
        </row>
        <row r="5996">
          <cell r="C5996">
            <v>3005975</v>
          </cell>
          <cell r="D5996" t="str">
            <v>TRANSPORTE DE PASSAGEIROS.</v>
          </cell>
          <cell r="E5996" t="str">
            <v>KMS</v>
          </cell>
        </row>
        <row r="5997">
          <cell r="C5997">
            <v>3005976</v>
          </cell>
          <cell r="D5997" t="str">
            <v>TRANSPORTE DE PASSAGEIROS.</v>
          </cell>
          <cell r="E5997" t="str">
            <v>M3</v>
          </cell>
        </row>
        <row r="5998">
          <cell r="C5998">
            <v>3005977</v>
          </cell>
          <cell r="D5998" t="str">
            <v>TRANSPORTE DE PASSAGEIROS.</v>
          </cell>
          <cell r="E5998" t="str">
            <v>MES</v>
          </cell>
        </row>
        <row r="5999">
          <cell r="C5999">
            <v>3005978</v>
          </cell>
          <cell r="D5999" t="str">
            <v>TRANSPORTE DE PASSAGEIROS.</v>
          </cell>
          <cell r="E5999" t="str">
            <v>SV</v>
          </cell>
        </row>
        <row r="6000">
          <cell r="C6000">
            <v>3005979</v>
          </cell>
          <cell r="D6000" t="str">
            <v>TRANSPORTE DE PASSAGEIROS.</v>
          </cell>
          <cell r="E6000" t="str">
            <v>UN</v>
          </cell>
        </row>
        <row r="6001">
          <cell r="C6001">
            <v>3005980</v>
          </cell>
          <cell r="D6001" t="str">
            <v>TRANSPORTE DE VALORES</v>
          </cell>
          <cell r="E6001" t="str">
            <v>SV</v>
          </cell>
        </row>
        <row r="6002">
          <cell r="C6002">
            <v>3005981</v>
          </cell>
          <cell r="D6002" t="str">
            <v>TRANSPORTE EM BALSA</v>
          </cell>
          <cell r="E6002" t="str">
            <v>H</v>
          </cell>
        </row>
        <row r="6003">
          <cell r="C6003">
            <v>3005982</v>
          </cell>
          <cell r="D6003" t="str">
            <v>TRANSPORTE EM BALSA</v>
          </cell>
          <cell r="E6003" t="str">
            <v>M3</v>
          </cell>
        </row>
        <row r="6004">
          <cell r="C6004">
            <v>3005983</v>
          </cell>
          <cell r="D6004" t="str">
            <v>TRANSPORTE EM BALSA</v>
          </cell>
          <cell r="E6004" t="str">
            <v>TO</v>
          </cell>
        </row>
        <row r="6005">
          <cell r="C6005">
            <v>3005984</v>
          </cell>
          <cell r="D6005" t="str">
            <v>TRANSPORTE EM BALSA</v>
          </cell>
          <cell r="E6005" t="str">
            <v>UN</v>
          </cell>
        </row>
        <row r="6006">
          <cell r="C6006">
            <v>3005985</v>
          </cell>
          <cell r="D6006" t="str">
            <v>TRANSPORTE INTERNACIONAL DE VALORES.</v>
          </cell>
          <cell r="E6006" t="str">
            <v>SV</v>
          </cell>
        </row>
        <row r="6007">
          <cell r="C6007">
            <v>3005986</v>
          </cell>
          <cell r="D6007" t="str">
            <v>TRANSPORTE INTERNACIONAL DE VALORES</v>
          </cell>
          <cell r="E6007" t="str">
            <v>UN</v>
          </cell>
        </row>
        <row r="6008">
          <cell r="C6008">
            <v>3005987</v>
          </cell>
          <cell r="D6008" t="str">
            <v>TRANSPORTE RELACIONADO A ENTREGA DOCS</v>
          </cell>
          <cell r="E6008" t="str">
            <v>KG</v>
          </cell>
        </row>
        <row r="6009">
          <cell r="C6009">
            <v>3005988</v>
          </cell>
          <cell r="D6009" t="str">
            <v>TRANSPORTE RELACIONADO A ENTREGA DOCS</v>
          </cell>
          <cell r="E6009" t="str">
            <v>SV</v>
          </cell>
        </row>
        <row r="6010">
          <cell r="C6010">
            <v>3005989</v>
          </cell>
          <cell r="D6010" t="str">
            <v>TRANSPORTE RELACIONADO A ENTREGA DOCS</v>
          </cell>
          <cell r="E6010" t="str">
            <v>UN</v>
          </cell>
        </row>
        <row r="6011">
          <cell r="C6011">
            <v>3005990</v>
          </cell>
          <cell r="D6011" t="str">
            <v>TRAT, SEPAR E TRANSFOR DE LIXO E SIMILAR</v>
          </cell>
          <cell r="E6011" t="str">
            <v>KG</v>
          </cell>
        </row>
        <row r="6012">
          <cell r="C6012">
            <v>3005991</v>
          </cell>
          <cell r="D6012" t="str">
            <v>TRAT, SEPAR E TRANSFOR DE LIXO E SIMILAR</v>
          </cell>
          <cell r="E6012" t="str">
            <v>UN</v>
          </cell>
        </row>
        <row r="6013">
          <cell r="C6013">
            <v>3005992</v>
          </cell>
          <cell r="D6013" t="str">
            <v>TRATAMENTO E PURIFICAÇÃO DE ÁGUA</v>
          </cell>
          <cell r="E6013" t="str">
            <v>H</v>
          </cell>
        </row>
        <row r="6014">
          <cell r="C6014">
            <v>3005993</v>
          </cell>
          <cell r="D6014" t="str">
            <v>TRATAMENTO E PURIFICAÇÃO DE ÁGUA</v>
          </cell>
          <cell r="E6014" t="str">
            <v>KG</v>
          </cell>
        </row>
        <row r="6015">
          <cell r="C6015">
            <v>3005994</v>
          </cell>
          <cell r="D6015" t="str">
            <v>TRATAMENTO E PURIFICAÇÃO DE ÁGUA</v>
          </cell>
          <cell r="E6015" t="str">
            <v>KMS</v>
          </cell>
        </row>
        <row r="6016">
          <cell r="C6016">
            <v>3005995</v>
          </cell>
          <cell r="D6016" t="str">
            <v>TRATAMENTO E PURIFICAÇÃO DE ÁGUA</v>
          </cell>
          <cell r="E6016" t="str">
            <v>M</v>
          </cell>
        </row>
        <row r="6017">
          <cell r="C6017">
            <v>3005996</v>
          </cell>
          <cell r="D6017" t="str">
            <v>TRATAMENTO E PURIFICAÇÃO DE ÁGUA</v>
          </cell>
          <cell r="E6017" t="str">
            <v>M2</v>
          </cell>
        </row>
        <row r="6018">
          <cell r="C6018">
            <v>3005997</v>
          </cell>
          <cell r="D6018" t="str">
            <v>TRATAMENTO E PURIFICAÇÃO DE ÁGUA</v>
          </cell>
          <cell r="E6018" t="str">
            <v>M3</v>
          </cell>
        </row>
        <row r="6019">
          <cell r="C6019">
            <v>3005998</v>
          </cell>
          <cell r="D6019" t="str">
            <v>TRATAMENTO E PURIFICAÇÃO DE ÁGUA</v>
          </cell>
          <cell r="E6019" t="str">
            <v>MES</v>
          </cell>
        </row>
        <row r="6020">
          <cell r="C6020">
            <v>3005999</v>
          </cell>
          <cell r="D6020" t="str">
            <v>TRATAMENTO E PURIFICACAO DE AGUA</v>
          </cell>
          <cell r="E6020" t="str">
            <v>SV</v>
          </cell>
        </row>
        <row r="6021">
          <cell r="C6021">
            <v>3006000</v>
          </cell>
          <cell r="D6021" t="str">
            <v>TRATAMENTO E PURIFICAÇÃO DE ÁGUA</v>
          </cell>
          <cell r="E6021" t="str">
            <v>UN</v>
          </cell>
        </row>
        <row r="6022">
          <cell r="C6022">
            <v>3006001</v>
          </cell>
          <cell r="D6022" t="str">
            <v>TREINAMENTO HABILIDADES PESSOAIS SET ADM</v>
          </cell>
          <cell r="E6022" t="str">
            <v>H</v>
          </cell>
        </row>
        <row r="6023">
          <cell r="C6023">
            <v>3006002</v>
          </cell>
          <cell r="D6023" t="str">
            <v>TREINAMENTO HABILIDADES PESSOAIS SET ADM</v>
          </cell>
          <cell r="E6023" t="str">
            <v>JG</v>
          </cell>
        </row>
        <row r="6024">
          <cell r="C6024">
            <v>3006003</v>
          </cell>
          <cell r="D6024" t="str">
            <v>TREINAMENTO HABILIDADES PESSOAIS SET ADM</v>
          </cell>
          <cell r="E6024" t="str">
            <v>MES</v>
          </cell>
        </row>
        <row r="6025">
          <cell r="C6025">
            <v>3006004</v>
          </cell>
          <cell r="D6025" t="str">
            <v>TREINAMENTO HABILIDADES PESSOAIS SET ADM</v>
          </cell>
          <cell r="E6025" t="str">
            <v>UN</v>
          </cell>
        </row>
        <row r="6026">
          <cell r="C6026">
            <v>3006005</v>
          </cell>
          <cell r="D6026" t="str">
            <v>TREINAMENTO HABILIDADES PESSOAIS SET OP</v>
          </cell>
          <cell r="E6026" t="str">
            <v>ANO</v>
          </cell>
        </row>
        <row r="6027">
          <cell r="C6027">
            <v>3006006</v>
          </cell>
          <cell r="D6027" t="str">
            <v>TREINAMENTO HABILIDADES PESSOAIS SET OP</v>
          </cell>
          <cell r="E6027" t="str">
            <v>DIA</v>
          </cell>
        </row>
        <row r="6028">
          <cell r="C6028">
            <v>3006007</v>
          </cell>
          <cell r="D6028" t="str">
            <v>TREINAMENTO HABILIDADES PESSOAIS SET OP</v>
          </cell>
          <cell r="E6028" t="str">
            <v>H</v>
          </cell>
        </row>
        <row r="6029">
          <cell r="C6029">
            <v>3006008</v>
          </cell>
          <cell r="D6029" t="str">
            <v>TREINAMENTO HABILIDADES PESSOAIS SET OP</v>
          </cell>
          <cell r="E6029" t="str">
            <v>MES</v>
          </cell>
        </row>
        <row r="6030">
          <cell r="C6030">
            <v>3006009</v>
          </cell>
          <cell r="D6030" t="str">
            <v>TREINAMENTO HABILIDADES PESSOAIS SET OP</v>
          </cell>
          <cell r="E6030" t="str">
            <v>SV</v>
          </cell>
        </row>
        <row r="6031">
          <cell r="C6031">
            <v>3006010</v>
          </cell>
          <cell r="D6031" t="str">
            <v>TREINAMENTO HABILIDADES PESSOAIS SET OP</v>
          </cell>
          <cell r="E6031" t="str">
            <v>UN</v>
          </cell>
        </row>
        <row r="6032">
          <cell r="C6032">
            <v>3006011</v>
          </cell>
          <cell r="D6032" t="str">
            <v>TREINAMENTO, INSTRUÇÃO E ORIENTAÇÃO</v>
          </cell>
          <cell r="E6032" t="str">
            <v>ANO</v>
          </cell>
        </row>
        <row r="6033">
          <cell r="C6033">
            <v>3006012</v>
          </cell>
          <cell r="D6033" t="str">
            <v>TREINAMENTO, INSTRUÇÃO E ORIENTAÇÃO</v>
          </cell>
          <cell r="E6033" t="str">
            <v>DIA</v>
          </cell>
        </row>
        <row r="6034">
          <cell r="C6034">
            <v>3006013</v>
          </cell>
          <cell r="D6034" t="str">
            <v>TREINAMENTO, INSTRUÇÃO E ORIENTAÇÃO</v>
          </cell>
          <cell r="E6034" t="str">
            <v>H</v>
          </cell>
        </row>
        <row r="6035">
          <cell r="C6035">
            <v>3006014</v>
          </cell>
          <cell r="D6035" t="str">
            <v>TREINAMENTO, INSTRUÇÃO E ORIENTAÇÃO</v>
          </cell>
          <cell r="E6035" t="str">
            <v>JG</v>
          </cell>
        </row>
        <row r="6036">
          <cell r="C6036">
            <v>3006015</v>
          </cell>
          <cell r="D6036" t="str">
            <v>TREINAMENTO, INSTRUÇÃO E ORIENTAÇÃO</v>
          </cell>
          <cell r="E6036" t="str">
            <v>MES</v>
          </cell>
        </row>
        <row r="6037">
          <cell r="C6037">
            <v>3006016</v>
          </cell>
          <cell r="D6037" t="str">
            <v>INSTRUCAO, TREINAMENTO, PEDAGOG E EDUCAC</v>
          </cell>
          <cell r="E6037" t="str">
            <v>SV</v>
          </cell>
        </row>
        <row r="6038">
          <cell r="C6038">
            <v>3006017</v>
          </cell>
          <cell r="D6038" t="str">
            <v>TREINAMENTO, INSTRUÇÃO E ORIENTAÇÃO</v>
          </cell>
          <cell r="E6038" t="str">
            <v>UN</v>
          </cell>
        </row>
        <row r="6039">
          <cell r="C6039">
            <v>3006018</v>
          </cell>
          <cell r="D6039" t="str">
            <v>MANUTENCAO TURBOCOMPRESSOR</v>
          </cell>
          <cell r="E6039" t="str">
            <v>UN</v>
          </cell>
        </row>
        <row r="6040">
          <cell r="C6040">
            <v>3006019</v>
          </cell>
          <cell r="D6040" t="str">
            <v>ANALISES CLINICAS E CONGENERES</v>
          </cell>
          <cell r="E6040" t="str">
            <v>SV</v>
          </cell>
        </row>
        <row r="6041">
          <cell r="C6041">
            <v>3006020</v>
          </cell>
          <cell r="D6041" t="str">
            <v>UNDERGRADUATE PROGRAMS</v>
          </cell>
          <cell r="E6041" t="str">
            <v>UN</v>
          </cell>
        </row>
        <row r="6042">
          <cell r="C6042">
            <v>3006021</v>
          </cell>
          <cell r="D6042" t="str">
            <v>UNID ATEND, ASSIST MÓVEL E SIMILARES</v>
          </cell>
          <cell r="E6042" t="str">
            <v>KMS</v>
          </cell>
        </row>
        <row r="6043">
          <cell r="C6043">
            <v>3006022</v>
          </cell>
          <cell r="D6043" t="str">
            <v>UNID ATEND, ASSIST MÓVEL E SIMILARES</v>
          </cell>
          <cell r="E6043" t="str">
            <v>SV</v>
          </cell>
        </row>
        <row r="6044">
          <cell r="C6044">
            <v>3006023</v>
          </cell>
          <cell r="D6044" t="str">
            <v>UNID ATEND, ASSIST MÓVEL E SIMILARES</v>
          </cell>
          <cell r="E6044" t="str">
            <v>UN</v>
          </cell>
        </row>
        <row r="6045">
          <cell r="C6045">
            <v>3006024</v>
          </cell>
          <cell r="D6045" t="str">
            <v>HOSPITAIS, LABS, RECUP E SIMILARES</v>
          </cell>
          <cell r="E6045" t="str">
            <v>SV</v>
          </cell>
        </row>
        <row r="6046">
          <cell r="C6046">
            <v>3006025</v>
          </cell>
          <cell r="D6046" t="str">
            <v>URBANISMO PAISAGISMO</v>
          </cell>
          <cell r="E6046" t="str">
            <v>H</v>
          </cell>
        </row>
        <row r="6047">
          <cell r="C6047">
            <v>3006026</v>
          </cell>
          <cell r="D6047" t="str">
            <v>URBANISMO PAISAGISMO</v>
          </cell>
          <cell r="E6047" t="str">
            <v>HA</v>
          </cell>
        </row>
        <row r="6048">
          <cell r="C6048">
            <v>3006027</v>
          </cell>
          <cell r="D6048" t="str">
            <v>URBANISMO PAISAGISMO</v>
          </cell>
          <cell r="E6048" t="str">
            <v>KMS</v>
          </cell>
        </row>
        <row r="6049">
          <cell r="C6049">
            <v>3006028</v>
          </cell>
          <cell r="D6049" t="str">
            <v>URBANISMO PAISAGISMO</v>
          </cell>
          <cell r="E6049" t="str">
            <v>M2</v>
          </cell>
        </row>
        <row r="6050">
          <cell r="C6050">
            <v>3006029</v>
          </cell>
          <cell r="D6050" t="str">
            <v>URBANISMO PAISAGISMO</v>
          </cell>
          <cell r="E6050" t="str">
            <v>M3</v>
          </cell>
        </row>
        <row r="6051">
          <cell r="C6051">
            <v>3006030</v>
          </cell>
          <cell r="D6051" t="str">
            <v>ENG,ARQUIT,URB,PAISAG,DECOR INTERIORES</v>
          </cell>
          <cell r="E6051" t="str">
            <v>SV</v>
          </cell>
        </row>
        <row r="6052">
          <cell r="C6052">
            <v>3006031</v>
          </cell>
          <cell r="D6052" t="str">
            <v>URBANISMO PAISAGISMO</v>
          </cell>
          <cell r="E6052" t="str">
            <v>UN</v>
          </cell>
        </row>
        <row r="6053">
          <cell r="C6053">
            <v>3006032</v>
          </cell>
          <cell r="D6053" t="str">
            <v>USINAGEM PEÇAS LEVE</v>
          </cell>
          <cell r="E6053" t="str">
            <v>UN</v>
          </cell>
        </row>
        <row r="6054">
          <cell r="C6054">
            <v>3006033</v>
          </cell>
          <cell r="D6054" t="str">
            <v>USINAGEM PEÇAS MÉDIA</v>
          </cell>
          <cell r="E6054" t="str">
            <v>H</v>
          </cell>
        </row>
        <row r="6055">
          <cell r="C6055">
            <v>3006034</v>
          </cell>
          <cell r="D6055" t="str">
            <v>USINAGEM PEÇAS MÉDIA</v>
          </cell>
          <cell r="E6055" t="str">
            <v>KG</v>
          </cell>
        </row>
        <row r="6056">
          <cell r="C6056">
            <v>3006035</v>
          </cell>
          <cell r="D6056" t="str">
            <v>USINAGEM PEÇAS MÉDIA</v>
          </cell>
          <cell r="E6056" t="str">
            <v>UN</v>
          </cell>
        </row>
        <row r="6057">
          <cell r="C6057">
            <v>3006036</v>
          </cell>
          <cell r="D6057" t="str">
            <v>FORJARIA,FUNDICAO,SERRALHERIA,VULC,USIN</v>
          </cell>
          <cell r="E6057" t="str">
            <v>SV</v>
          </cell>
        </row>
        <row r="6058">
          <cell r="C6058">
            <v>3006037</v>
          </cell>
          <cell r="D6058" t="str">
            <v>USINAGEM PEÇAS PESADA</v>
          </cell>
          <cell r="E6058" t="str">
            <v>UN</v>
          </cell>
        </row>
        <row r="6059">
          <cell r="C6059">
            <v>3006038</v>
          </cell>
          <cell r="D6059" t="str">
            <v>USINAGEM</v>
          </cell>
          <cell r="E6059" t="str">
            <v>H</v>
          </cell>
        </row>
        <row r="6060">
          <cell r="C6060">
            <v>3006039</v>
          </cell>
          <cell r="D6060" t="str">
            <v>USINAGEM</v>
          </cell>
          <cell r="E6060" t="str">
            <v>KG</v>
          </cell>
        </row>
        <row r="6061">
          <cell r="C6061">
            <v>3006040</v>
          </cell>
          <cell r="D6061" t="str">
            <v>USINAGEM</v>
          </cell>
          <cell r="E6061" t="str">
            <v>M2</v>
          </cell>
        </row>
        <row r="6062">
          <cell r="C6062">
            <v>3006041</v>
          </cell>
          <cell r="D6062" t="str">
            <v>USINAGEM</v>
          </cell>
          <cell r="E6062" t="str">
            <v>PC</v>
          </cell>
        </row>
        <row r="6063">
          <cell r="C6063">
            <v>3006042</v>
          </cell>
          <cell r="D6063" t="str">
            <v>FORJARIA,FUNDICAO,SERRALHERIA,VULC,USIN</v>
          </cell>
          <cell r="E6063" t="str">
            <v>SV</v>
          </cell>
        </row>
        <row r="6064">
          <cell r="C6064">
            <v>3006043</v>
          </cell>
          <cell r="D6064" t="str">
            <v>USINAGEM</v>
          </cell>
          <cell r="E6064" t="str">
            <v>UN</v>
          </cell>
        </row>
        <row r="6065">
          <cell r="C6065">
            <v>3006044</v>
          </cell>
          <cell r="D6065" t="str">
            <v>VARRIÇÃO</v>
          </cell>
          <cell r="E6065" t="str">
            <v>M2</v>
          </cell>
        </row>
        <row r="6066">
          <cell r="C6066">
            <v>3006045</v>
          </cell>
          <cell r="D6066" t="str">
            <v>VARRIÇÃO</v>
          </cell>
          <cell r="E6066" t="str">
            <v>UN</v>
          </cell>
        </row>
        <row r="6067">
          <cell r="C6067">
            <v>3006046</v>
          </cell>
          <cell r="D6067" t="str">
            <v>VEICULAÇÃO MÍDIA IMPRESSA E SIMILAR</v>
          </cell>
          <cell r="E6067" t="str">
            <v>MES</v>
          </cell>
        </row>
        <row r="6068">
          <cell r="C6068">
            <v>3006047</v>
          </cell>
          <cell r="D6068" t="str">
            <v>VEICULAÇÃO MÍDIA IMPRESSA E SIMILAR</v>
          </cell>
          <cell r="E6068" t="str">
            <v>SV</v>
          </cell>
        </row>
        <row r="6069">
          <cell r="C6069">
            <v>3006048</v>
          </cell>
          <cell r="D6069" t="str">
            <v>VEICULAÇÃO MÍDIA IMPRESSA E SIMILAR</v>
          </cell>
          <cell r="E6069" t="str">
            <v>UN</v>
          </cell>
        </row>
        <row r="6070">
          <cell r="C6070">
            <v>3006049</v>
          </cell>
          <cell r="D6070" t="str">
            <v>VEICULAÇÃO TV CABO E ABERTA - ASSINATURA</v>
          </cell>
          <cell r="E6070" t="str">
            <v>MES</v>
          </cell>
        </row>
        <row r="6071">
          <cell r="C6071">
            <v>3006050</v>
          </cell>
          <cell r="D6071" t="str">
            <v>VEICULAÇÃO DE TV A CABO E ABERTA (ASS)</v>
          </cell>
          <cell r="E6071" t="str">
            <v>SV</v>
          </cell>
        </row>
        <row r="6072">
          <cell r="C6072">
            <v>3006051</v>
          </cell>
          <cell r="D6072" t="str">
            <v>VIGILÂNCIA SANITÁRIA ALIMENTOS</v>
          </cell>
          <cell r="E6072" t="str">
            <v>SV</v>
          </cell>
        </row>
        <row r="6073">
          <cell r="C6073">
            <v>3006052</v>
          </cell>
          <cell r="D6073" t="str">
            <v>SRV TECNICOS EM EDIFICACOES</v>
          </cell>
          <cell r="E6073" t="str">
            <v>SV</v>
          </cell>
        </row>
        <row r="6074">
          <cell r="C6074">
            <v>3006053</v>
          </cell>
          <cell r="D6074" t="str">
            <v>VOICE SERVICES - MOBILE COMMUNICATIONS</v>
          </cell>
          <cell r="E6074" t="str">
            <v>UN</v>
          </cell>
        </row>
        <row r="6075">
          <cell r="C6075">
            <v>3006054</v>
          </cell>
          <cell r="D6075" t="str">
            <v>VOICE SERVICES - RADIO COMMUNICATIONS</v>
          </cell>
          <cell r="E6075" t="str">
            <v>DIA</v>
          </cell>
        </row>
        <row r="6076">
          <cell r="C6076">
            <v>3006055</v>
          </cell>
          <cell r="D6076" t="str">
            <v>VOICE SERVICES - RADIO COMMUNICATIONS</v>
          </cell>
          <cell r="E6076" t="str">
            <v>H</v>
          </cell>
        </row>
        <row r="6077">
          <cell r="C6077">
            <v>3006056</v>
          </cell>
          <cell r="D6077" t="str">
            <v>SRV TECNICOS EM EDIFICACOES</v>
          </cell>
          <cell r="E6077" t="str">
            <v>SV</v>
          </cell>
        </row>
        <row r="6078">
          <cell r="C6078">
            <v>3006057</v>
          </cell>
          <cell r="D6078" t="str">
            <v>VOICE SERVICES - RADIO COMMUNICATIONS</v>
          </cell>
          <cell r="E6078" t="str">
            <v>MES</v>
          </cell>
        </row>
        <row r="6079">
          <cell r="C6079">
            <v>3006058</v>
          </cell>
          <cell r="D6079" t="str">
            <v>SRV TECNICOS EM EDIFICACOES</v>
          </cell>
          <cell r="E6079" t="str">
            <v>SV</v>
          </cell>
        </row>
        <row r="6080">
          <cell r="C6080">
            <v>3006059</v>
          </cell>
          <cell r="D6080" t="str">
            <v>VOICE SERVICES - RADIO COMMUNICATIONS</v>
          </cell>
          <cell r="E6080" t="str">
            <v>UN</v>
          </cell>
        </row>
        <row r="6081">
          <cell r="C6081">
            <v>3006060</v>
          </cell>
          <cell r="D6081" t="str">
            <v>VOICE SRV - FIXED LINE COMMUNICATIONS</v>
          </cell>
          <cell r="E6081" t="str">
            <v>MES</v>
          </cell>
        </row>
        <row r="6082">
          <cell r="C6082">
            <v>3006061</v>
          </cell>
          <cell r="D6082" t="str">
            <v>SRV TECNICOS EM EDIFICACOES</v>
          </cell>
          <cell r="E6082" t="str">
            <v>SV</v>
          </cell>
        </row>
        <row r="6083">
          <cell r="C6083">
            <v>3006062</v>
          </cell>
          <cell r="D6083" t="str">
            <v>VOICE SRV - FIXED LINE COMMUNICATIONS</v>
          </cell>
          <cell r="E6083" t="str">
            <v>UN</v>
          </cell>
        </row>
        <row r="6084">
          <cell r="C6084">
            <v>3006063</v>
          </cell>
          <cell r="D6084" t="str">
            <v>SRV TECNICOS EM EDIFICACOES</v>
          </cell>
          <cell r="E6084" t="str">
            <v>SV</v>
          </cell>
        </row>
        <row r="6085">
          <cell r="C6085">
            <v>3006064</v>
          </cell>
          <cell r="D6085" t="str">
            <v>VOICE SRV - SATELLITE COMMUNICATIONS</v>
          </cell>
          <cell r="E6085" t="str">
            <v>MES</v>
          </cell>
        </row>
        <row r="6086">
          <cell r="C6086">
            <v>3006065</v>
          </cell>
          <cell r="D6086" t="str">
            <v>VOICE SRV - SATELLITE COMMUNICATIONS</v>
          </cell>
          <cell r="E6086" t="str">
            <v>MIN</v>
          </cell>
        </row>
        <row r="6087">
          <cell r="C6087">
            <v>3006066</v>
          </cell>
          <cell r="D6087" t="str">
            <v>SRV TECNICOS EM EDIFICACOES</v>
          </cell>
          <cell r="E6087" t="str">
            <v>SV</v>
          </cell>
        </row>
        <row r="6088">
          <cell r="C6088">
            <v>3006067</v>
          </cell>
          <cell r="D6088" t="str">
            <v>VOICE SRV - SATELLITE COMMUNICATIONS</v>
          </cell>
          <cell r="E6088" t="str">
            <v>UN</v>
          </cell>
        </row>
        <row r="6089">
          <cell r="C6089">
            <v>3006068</v>
          </cell>
          <cell r="D6089" t="str">
            <v>VOICE SRV - VIDEO CONFERENCE SOLUTIONS</v>
          </cell>
          <cell r="E6089" t="str">
            <v>MES</v>
          </cell>
        </row>
        <row r="6090">
          <cell r="C6090">
            <v>3006069</v>
          </cell>
          <cell r="D6090" t="str">
            <v>SRV TECNICOS EM EDIFICACOES</v>
          </cell>
          <cell r="E6090" t="str">
            <v>SV</v>
          </cell>
        </row>
        <row r="6091">
          <cell r="C6091">
            <v>3006070</v>
          </cell>
          <cell r="D6091" t="str">
            <v>VOICE SRV - VIDEO CONFERENCE SOLUTIONS</v>
          </cell>
          <cell r="E6091" t="str">
            <v>UN</v>
          </cell>
        </row>
        <row r="6092">
          <cell r="C6092">
            <v>3006071</v>
          </cell>
          <cell r="D6092" t="str">
            <v>VULCANIZAÇÃO (EXCT VULCANIZAÇÃO A FRIO)</v>
          </cell>
          <cell r="E6092" t="str">
            <v>H</v>
          </cell>
        </row>
        <row r="6093">
          <cell r="C6093">
            <v>3006072</v>
          </cell>
          <cell r="D6093" t="str">
            <v>VULCANIZAÇÃO (EXCT VULCANIZAÇÃO A FRIO)</v>
          </cell>
          <cell r="E6093" t="str">
            <v>M</v>
          </cell>
        </row>
        <row r="6094">
          <cell r="C6094">
            <v>3006073</v>
          </cell>
          <cell r="D6094" t="str">
            <v>VULCANIZAÇÃO (EXCT VULCANIZAÇÃO A FRIO)</v>
          </cell>
          <cell r="E6094" t="str">
            <v>M2</v>
          </cell>
        </row>
        <row r="6095">
          <cell r="C6095">
            <v>3006074</v>
          </cell>
          <cell r="D6095" t="str">
            <v>VULCANIZAÇÃO (EXCT VULCANIZAÇÃO A FRIO)</v>
          </cell>
          <cell r="E6095" t="str">
            <v>UN</v>
          </cell>
        </row>
        <row r="6096">
          <cell r="C6096">
            <v>3006075</v>
          </cell>
          <cell r="D6096" t="str">
            <v>ENLONAMENTO DE CARGA</v>
          </cell>
          <cell r="E6096" t="str">
            <v>UN</v>
          </cell>
        </row>
        <row r="6097">
          <cell r="C6097">
            <v>3006076</v>
          </cell>
          <cell r="D6097" t="str">
            <v>SERVIÃ‡O DE LIMPEZA INDUSTRIAL MECANIZAD</v>
          </cell>
          <cell r="E6097" t="str">
            <v>TO</v>
          </cell>
        </row>
        <row r="6098">
          <cell r="C6098">
            <v>3006077</v>
          </cell>
          <cell r="D6098" t="str">
            <v>MANUT TURB;TURBO-ALIMENTADOR;TURBO-GERAD</v>
          </cell>
          <cell r="E6098" t="str">
            <v>JG</v>
          </cell>
        </row>
        <row r="6099">
          <cell r="C6099">
            <v>3006078</v>
          </cell>
          <cell r="D6099" t="str">
            <v>SRV TERMINAIS ROD,FERROV,METROV,MOV,MERC</v>
          </cell>
          <cell r="E6099" t="str">
            <v>SV</v>
          </cell>
        </row>
        <row r="6100">
          <cell r="C6100">
            <v>3006079</v>
          </cell>
          <cell r="D6100" t="str">
            <v>SRV TERMINAIS ROD,FERROV,METROV,MOV,MERC</v>
          </cell>
          <cell r="E6100" t="str">
            <v>SV</v>
          </cell>
        </row>
        <row r="6101">
          <cell r="C6101">
            <v>3006080</v>
          </cell>
          <cell r="D6101" t="str">
            <v>MANUTENCAO E INSTALACAO DE HARDWARE</v>
          </cell>
          <cell r="E6101" t="str">
            <v>SV</v>
          </cell>
        </row>
        <row r="6102">
          <cell r="C6102">
            <v>3006081</v>
          </cell>
          <cell r="D6102" t="str">
            <v>TRANSPORTE DE CARGAS RODOVIÁRIAS</v>
          </cell>
          <cell r="E6102" t="str">
            <v>TO</v>
          </cell>
        </row>
        <row r="6103">
          <cell r="C6103">
            <v>3006082</v>
          </cell>
          <cell r="D6103" t="str">
            <v>TRANSPORTE DE CARGAS RODOVIÁRIAS</v>
          </cell>
          <cell r="E6103" t="str">
            <v>DIA</v>
          </cell>
        </row>
        <row r="6104">
          <cell r="C6104">
            <v>3006083</v>
          </cell>
          <cell r="D6104" t="str">
            <v>TRANSPORTE DE CARGAS RODOVIÁRIAS</v>
          </cell>
          <cell r="E6104" t="str">
            <v>KMS</v>
          </cell>
        </row>
        <row r="6105">
          <cell r="C6105">
            <v>3006084</v>
          </cell>
          <cell r="D6105" t="str">
            <v>TRANSPORTE DE CARGAS RODOVIÁRIAS</v>
          </cell>
          <cell r="E6105" t="str">
            <v>MES</v>
          </cell>
        </row>
        <row r="6106">
          <cell r="C6106">
            <v>3006085</v>
          </cell>
          <cell r="D6106" t="str">
            <v>SERVIÇOS DE RETIRADA DE FAUNA E FLORA</v>
          </cell>
          <cell r="E6106" t="str">
            <v>HA</v>
          </cell>
        </row>
        <row r="6107">
          <cell r="C6107">
            <v>3006086</v>
          </cell>
          <cell r="D6107" t="str">
            <v>SERVIÇO DE FLORESTAMENTO</v>
          </cell>
          <cell r="E6107" t="str">
            <v>M3</v>
          </cell>
        </row>
        <row r="6108">
          <cell r="C6108">
            <v>3006087</v>
          </cell>
          <cell r="D6108" t="str">
            <v>SERVIÇO DE FLORESTAMENTO</v>
          </cell>
          <cell r="E6108" t="str">
            <v>M</v>
          </cell>
        </row>
        <row r="6109">
          <cell r="C6109">
            <v>3006088</v>
          </cell>
          <cell r="D6109" t="str">
            <v>TAXAS PARA EMISSÃO DE DOCUNENTOS</v>
          </cell>
          <cell r="E6109" t="str">
            <v>TO</v>
          </cell>
        </row>
        <row r="6110">
          <cell r="C6110">
            <v>3006089</v>
          </cell>
          <cell r="D6110" t="str">
            <v>RECOND E ACONDIC OBJ QLQ, INCLUS PÇ</v>
          </cell>
          <cell r="E6110" t="str">
            <v>KG</v>
          </cell>
        </row>
        <row r="6111">
          <cell r="C6111">
            <v>3006090</v>
          </cell>
          <cell r="D6111" t="str">
            <v>SONDAGEM-PERFURACAO-P/OBRA CIVIL-KG</v>
          </cell>
          <cell r="E6111" t="str">
            <v>KG</v>
          </cell>
        </row>
        <row r="6112">
          <cell r="C6112">
            <v>3006091</v>
          </cell>
          <cell r="D6112" t="str">
            <v>SONDAGEM-PERFURACAO-P/OBRA CIVIL-DIAS</v>
          </cell>
          <cell r="E6112" t="str">
            <v>DIA</v>
          </cell>
        </row>
        <row r="6113">
          <cell r="C6113">
            <v>3006092</v>
          </cell>
          <cell r="D6113" t="str">
            <v>SRV MANUTENÇÃO EQUIPAMENTO AUDIO-VISUAL</v>
          </cell>
          <cell r="E6113" t="str">
            <v>H</v>
          </cell>
        </row>
        <row r="6114">
          <cell r="C6114">
            <v>3006093</v>
          </cell>
          <cell r="D6114" t="str">
            <v>MANUT CAPOTARIA E ESTOFAMENTO EM GERAL</v>
          </cell>
          <cell r="E6114" t="str">
            <v>M</v>
          </cell>
        </row>
        <row r="6115">
          <cell r="C6115">
            <v>3006094</v>
          </cell>
          <cell r="D6115" t="str">
            <v>STC-MICRO-ROD-C/AR-ADM-HAB-INTRA</v>
          </cell>
          <cell r="E6115" t="str">
            <v>MES</v>
          </cell>
        </row>
        <row r="6116">
          <cell r="C6116">
            <v>3006095</v>
          </cell>
          <cell r="D6116" t="str">
            <v>STC-MICRO-ROD-C/AR-ADM-EV/EX-INTRA</v>
          </cell>
          <cell r="E6116" t="str">
            <v>MES</v>
          </cell>
        </row>
        <row r="6117">
          <cell r="C6117">
            <v>3006096</v>
          </cell>
          <cell r="D6117" t="str">
            <v>STC-MICRO-ROD-C/AR-TUR-HAB-INTRA</v>
          </cell>
          <cell r="E6117" t="str">
            <v>MES</v>
          </cell>
        </row>
        <row r="6118">
          <cell r="C6118">
            <v>3006097</v>
          </cell>
          <cell r="D6118" t="str">
            <v>SERVIÇOS DE DESPACHANTES ADUANEIRO</v>
          </cell>
          <cell r="E6118" t="str">
            <v>KMS</v>
          </cell>
        </row>
        <row r="6119">
          <cell r="C6119">
            <v>3006098</v>
          </cell>
          <cell r="D6119" t="str">
            <v>SERVIÇOS DE DESPACHANTES ADUANEIRO</v>
          </cell>
          <cell r="E6119" t="str">
            <v>H</v>
          </cell>
        </row>
        <row r="6120">
          <cell r="C6120">
            <v>3006099</v>
          </cell>
          <cell r="D6120" t="str">
            <v>ELABORAÇÃO DE PROJETOS EM GERAL</v>
          </cell>
          <cell r="E6120" t="str">
            <v>DIA</v>
          </cell>
        </row>
        <row r="6121">
          <cell r="C6121">
            <v>3006100</v>
          </cell>
          <cell r="D6121" t="str">
            <v>CARTÃO DE CREDITO CORPORATIVO</v>
          </cell>
          <cell r="E6121" t="str">
            <v>UN</v>
          </cell>
        </row>
        <row r="6122">
          <cell r="C6122">
            <v>3006101</v>
          </cell>
          <cell r="D6122" t="str">
            <v>OBRAS DE ARTE SOB ENCOMENDA</v>
          </cell>
          <cell r="E6122" t="str">
            <v>UN</v>
          </cell>
        </row>
        <row r="6123">
          <cell r="C6123">
            <v>3006102</v>
          </cell>
          <cell r="D6123" t="str">
            <v>PESQUISA HIDROLÓGICA</v>
          </cell>
          <cell r="E6123" t="str">
            <v>H</v>
          </cell>
        </row>
        <row r="6124">
          <cell r="C6124">
            <v>3006103</v>
          </cell>
          <cell r="D6124" t="str">
            <v>STC-ON-MIS-C/AR-S/RET-OPE-EV/EX-INTRA</v>
          </cell>
          <cell r="E6124" t="str">
            <v>DIA</v>
          </cell>
        </row>
        <row r="6125">
          <cell r="C6125">
            <v>3006104</v>
          </cell>
          <cell r="D6125" t="str">
            <v>STC-MICRO-ROD-C/AR-OPE-EV/EX-INTRA</v>
          </cell>
          <cell r="E6125" t="str">
            <v>DIA</v>
          </cell>
        </row>
        <row r="6126">
          <cell r="C6126">
            <v>3006105</v>
          </cell>
          <cell r="D6126" t="str">
            <v>STC-MICRO-ROD-C/AR-TUR-EV/EX-INTRA</v>
          </cell>
          <cell r="E6126" t="str">
            <v>DIA</v>
          </cell>
        </row>
        <row r="6127">
          <cell r="C6127">
            <v>3006106</v>
          </cell>
          <cell r="D6127" t="str">
            <v>STC-MICRO-ROD-C/AR-ADM-EV/EX-INTRA</v>
          </cell>
          <cell r="E6127" t="str">
            <v>KMS</v>
          </cell>
        </row>
        <row r="6128">
          <cell r="C6128">
            <v>3006107</v>
          </cell>
          <cell r="D6128" t="str">
            <v>STC-VAN-OPE-EV/EX-INTRA</v>
          </cell>
          <cell r="E6128" t="str">
            <v>DIA</v>
          </cell>
        </row>
        <row r="6129">
          <cell r="C6129">
            <v>3006108</v>
          </cell>
          <cell r="D6129" t="str">
            <v>SRV DE MANUTENÇÃO REDUTOR DE VELOCIDADE</v>
          </cell>
          <cell r="E6129" t="str">
            <v>DIA</v>
          </cell>
        </row>
        <row r="6130">
          <cell r="C6130">
            <v>3006109</v>
          </cell>
          <cell r="D6130" t="str">
            <v>SERVIÇO DE FLORESTAMENTO</v>
          </cell>
          <cell r="E6130" t="str">
            <v>H</v>
          </cell>
        </row>
        <row r="6131">
          <cell r="C6131">
            <v>3006110</v>
          </cell>
          <cell r="D6131" t="str">
            <v>SERVIÇO DE FLORESTAMENTO</v>
          </cell>
          <cell r="E6131" t="str">
            <v>KMS</v>
          </cell>
        </row>
        <row r="6132">
          <cell r="C6132">
            <v>3006111</v>
          </cell>
          <cell r="D6132" t="str">
            <v>SERVIÇOS DE LIMPEZA PREDIAL EM GERAL</v>
          </cell>
          <cell r="E6132" t="str">
            <v>HA</v>
          </cell>
        </row>
        <row r="6133">
          <cell r="C6133">
            <v>3006112</v>
          </cell>
          <cell r="D6133" t="str">
            <v>SERVIÇOS DE LIMPEZA PREDIAL EM GERAL</v>
          </cell>
          <cell r="E6133" t="str">
            <v>M</v>
          </cell>
        </row>
        <row r="6134">
          <cell r="C6134">
            <v>3006113</v>
          </cell>
          <cell r="D6134" t="str">
            <v>SRV MONTAGEM ELETROMECÂNICA GRANDE PORTE</v>
          </cell>
          <cell r="E6134" t="str">
            <v>MES</v>
          </cell>
        </row>
        <row r="6135">
          <cell r="C6135">
            <v>3006114</v>
          </cell>
          <cell r="D6135" t="str">
            <v>ELABORAÇÃO DE PROJETOS EM GERAL</v>
          </cell>
          <cell r="E6135" t="str">
            <v>S</v>
          </cell>
        </row>
        <row r="6136">
          <cell r="C6136">
            <v>3006115</v>
          </cell>
          <cell r="D6136" t="str">
            <v>ELABORAÇÃO DE PROJETOS EM GERAL</v>
          </cell>
          <cell r="E6136" t="str">
            <v>KMS</v>
          </cell>
        </row>
        <row r="6137">
          <cell r="C6137">
            <v>3006116</v>
          </cell>
          <cell r="D6137" t="str">
            <v>ABERTURA DE PICADA</v>
          </cell>
          <cell r="E6137" t="str">
            <v>KMS</v>
          </cell>
        </row>
        <row r="6138">
          <cell r="C6138">
            <v>3006117</v>
          </cell>
          <cell r="D6138" t="str">
            <v>SRV AVALIAÇÃO LAUDO EM OBRA ARTE</v>
          </cell>
          <cell r="E6138" t="str">
            <v>UN</v>
          </cell>
        </row>
        <row r="6139">
          <cell r="C6139">
            <v>3006118</v>
          </cell>
          <cell r="D6139" t="str">
            <v>SRV CONSTR SIST DE DRENAGEM PEQ PORTE</v>
          </cell>
          <cell r="E6139" t="str">
            <v>TO</v>
          </cell>
        </row>
        <row r="6140">
          <cell r="C6140">
            <v>3006119</v>
          </cell>
          <cell r="D6140" t="str">
            <v>SRV CONSTR SIST DE DRENAGEM PEQ PORTE</v>
          </cell>
          <cell r="E6140" t="str">
            <v>H</v>
          </cell>
        </row>
        <row r="6141">
          <cell r="C6141">
            <v>3006120</v>
          </cell>
          <cell r="D6141" t="str">
            <v>SRV CONSTR SIST DE DRENAGEM PEQ PORTE</v>
          </cell>
          <cell r="E6141" t="str">
            <v>L</v>
          </cell>
        </row>
        <row r="6142">
          <cell r="C6142">
            <v>3006121</v>
          </cell>
          <cell r="D6142" t="str">
            <v>STL-PICKUPMÉDIAII-OPE-KM</v>
          </cell>
          <cell r="E6142" t="str">
            <v>UN</v>
          </cell>
        </row>
        <row r="6143">
          <cell r="C6143">
            <v>3006122</v>
          </cell>
          <cell r="D6143" t="str">
            <v>ESTALEIROS NAVAIS BRAS,CONSERV,MODERN</v>
          </cell>
          <cell r="E6143" t="str">
            <v>SV</v>
          </cell>
        </row>
        <row r="6144">
          <cell r="C6144">
            <v>3006123</v>
          </cell>
          <cell r="D6144" t="str">
            <v>RECUP;POLIMENTO PISOS;OUTROS; EXCT OBRA</v>
          </cell>
          <cell r="E6144" t="str">
            <v>M2</v>
          </cell>
        </row>
        <row r="6145">
          <cell r="C6145">
            <v>3006124</v>
          </cell>
          <cell r="D6145" t="str">
            <v>RECUP;POLIMENTO PISOS;OUTROS; EXCT OBRA</v>
          </cell>
          <cell r="E6145" t="str">
            <v>M</v>
          </cell>
        </row>
        <row r="6146">
          <cell r="C6146">
            <v>3006125</v>
          </cell>
          <cell r="D6146" t="str">
            <v>RECUP;POLIMENTO PISOS;OUTROS; EXCT OBRA</v>
          </cell>
          <cell r="E6146" t="str">
            <v>KG</v>
          </cell>
        </row>
        <row r="6147">
          <cell r="C6147">
            <v>3006126</v>
          </cell>
          <cell r="D6147" t="str">
            <v>RECUP;POLIMENTO PISOS;OUTROS; EXCT OBRA</v>
          </cell>
          <cell r="E6147" t="str">
            <v>TO</v>
          </cell>
        </row>
        <row r="6148">
          <cell r="C6148">
            <v>3006127</v>
          </cell>
          <cell r="D6148" t="str">
            <v>ASSESS E CONSULT; EXCT TI, FIN E ECO</v>
          </cell>
          <cell r="E6148" t="str">
            <v>KMS</v>
          </cell>
        </row>
        <row r="6149">
          <cell r="C6149">
            <v>3006128</v>
          </cell>
          <cell r="D6149" t="str">
            <v>ENGENHARIA BÁSICA</v>
          </cell>
          <cell r="E6149" t="str">
            <v>MES</v>
          </cell>
        </row>
        <row r="6150">
          <cell r="C6150">
            <v>3006129</v>
          </cell>
          <cell r="D6150" t="str">
            <v>SERVIÇO DE REFORMA DE COMPONENTES</v>
          </cell>
          <cell r="E6150" t="str">
            <v>M2</v>
          </cell>
        </row>
        <row r="6151">
          <cell r="C6151">
            <v>3006130</v>
          </cell>
          <cell r="D6151" t="str">
            <v>SERVIÇO DE REFORMA DE COMPONENTES</v>
          </cell>
          <cell r="E6151" t="str">
            <v>H</v>
          </cell>
        </row>
        <row r="6152">
          <cell r="C6152">
            <v>3006131</v>
          </cell>
          <cell r="D6152" t="str">
            <v>ESTUDO E PROJETO CÁLCULO ELEMENTO FINITO</v>
          </cell>
          <cell r="E6152" t="str">
            <v>DIA</v>
          </cell>
        </row>
        <row r="6153">
          <cell r="C6153">
            <v>3006132</v>
          </cell>
          <cell r="D6153" t="str">
            <v>SRV TREINAM OPER E MANUT EQUIP INDUST</v>
          </cell>
          <cell r="E6153" t="str">
            <v>DIA</v>
          </cell>
        </row>
        <row r="6154">
          <cell r="C6154">
            <v>3006133</v>
          </cell>
          <cell r="D6154" t="str">
            <v>SERVIÃ‡O DE REPARO ESTRUTURAL DE NAVIO</v>
          </cell>
          <cell r="E6154" t="str">
            <v>UN</v>
          </cell>
        </row>
        <row r="6155">
          <cell r="C6155">
            <v>3006134</v>
          </cell>
          <cell r="D6155" t="str">
            <v>STL-PICKUPMÉDIAI-TR1H-ADM</v>
          </cell>
          <cell r="E6155" t="str">
            <v>MES</v>
          </cell>
        </row>
        <row r="6156">
          <cell r="C6156">
            <v>3006135</v>
          </cell>
          <cell r="D6156" t="str">
            <v>STL-SEDANMÉDIO-TR1H-ADM</v>
          </cell>
          <cell r="E6156" t="str">
            <v>MES</v>
          </cell>
        </row>
        <row r="6157">
          <cell r="C6157">
            <v>3006136</v>
          </cell>
          <cell r="D6157" t="str">
            <v>STL-HATCHCOMPACTOII-TR1H-ADM</v>
          </cell>
          <cell r="E6157" t="str">
            <v>MES</v>
          </cell>
        </row>
        <row r="6158">
          <cell r="C6158">
            <v>3006137</v>
          </cell>
          <cell r="D6158" t="str">
            <v>SANEAMENTO AMBIENTAL</v>
          </cell>
          <cell r="E6158" t="str">
            <v>M2</v>
          </cell>
        </row>
        <row r="6159">
          <cell r="C6159">
            <v>3006138</v>
          </cell>
          <cell r="D6159" t="str">
            <v>SANEAMENTO AMBIENTAL</v>
          </cell>
          <cell r="E6159" t="str">
            <v>M</v>
          </cell>
        </row>
        <row r="6160">
          <cell r="C6160">
            <v>3006139</v>
          </cell>
          <cell r="D6160" t="str">
            <v>MANUT REPARO SUPERESTRUTURA FERROVIA</v>
          </cell>
          <cell r="E6160" t="str">
            <v>HA</v>
          </cell>
        </row>
        <row r="6161">
          <cell r="C6161">
            <v>3006140</v>
          </cell>
          <cell r="D6161" t="str">
            <v>SRV LOCAÇÃO CILINDROS GASES INDUSTRIAIS</v>
          </cell>
          <cell r="E6161" t="str">
            <v>H</v>
          </cell>
        </row>
        <row r="6162">
          <cell r="C6162">
            <v>3006141</v>
          </cell>
          <cell r="D6162" t="str">
            <v>SRV DE MANUTENÇÃO DE FERRAMENTA ELÉTRICA</v>
          </cell>
          <cell r="E6162" t="str">
            <v>L</v>
          </cell>
        </row>
        <row r="6163">
          <cell r="C6163">
            <v>3006142</v>
          </cell>
          <cell r="D6163" t="str">
            <v>SERVIÇOS DE ASSISTÊNCIA SOCIAL</v>
          </cell>
          <cell r="E6163" t="str">
            <v>MES</v>
          </cell>
        </row>
        <row r="6164">
          <cell r="C6164">
            <v>3006143</v>
          </cell>
          <cell r="D6164" t="str">
            <v>ENGENHARIA BÁSICA</v>
          </cell>
          <cell r="E6164" t="str">
            <v>DIA</v>
          </cell>
        </row>
        <row r="6165">
          <cell r="C6165">
            <v>3006144</v>
          </cell>
          <cell r="D6165" t="str">
            <v>REEMBOLSO DESPESAS</v>
          </cell>
          <cell r="E6165" t="str">
            <v>SEM</v>
          </cell>
        </row>
        <row r="6166">
          <cell r="C6166">
            <v>3006145</v>
          </cell>
          <cell r="D6166" t="str">
            <v>PRODUÇÃO;EDIÇÃO;DISTRIBUIÇÃO FILMES</v>
          </cell>
          <cell r="E6166" t="str">
            <v>H</v>
          </cell>
        </row>
        <row r="6167">
          <cell r="C6167">
            <v>3006146</v>
          </cell>
          <cell r="D6167" t="str">
            <v>ANÁLISE E MONITORAMENTO AMBIENTAL - ÁGUA</v>
          </cell>
          <cell r="E6167" t="str">
            <v>MES</v>
          </cell>
        </row>
        <row r="6168">
          <cell r="C6168">
            <v>3006147</v>
          </cell>
          <cell r="D6168" t="str">
            <v>GEOFÍSICA</v>
          </cell>
          <cell r="E6168" t="str">
            <v>MES</v>
          </cell>
        </row>
        <row r="6169">
          <cell r="C6169">
            <v>3006148</v>
          </cell>
          <cell r="D6169" t="str">
            <v>SRV ANALISE TRATAMENTO AR CLIMATIZADO</v>
          </cell>
          <cell r="E6169" t="str">
            <v>H</v>
          </cell>
        </row>
        <row r="6170">
          <cell r="C6170">
            <v>3006149</v>
          </cell>
          <cell r="D6170" t="str">
            <v>SRV CONSTR SIST DE DRENAGEM GRANDE PORTE</v>
          </cell>
          <cell r="E6170" t="str">
            <v>CM</v>
          </cell>
        </row>
        <row r="6171">
          <cell r="C6171">
            <v>3006150</v>
          </cell>
          <cell r="D6171" t="str">
            <v>SERVIÇOS DE INFRAESTRUTURA DE AUTOMAÇÃO</v>
          </cell>
          <cell r="E6171" t="str">
            <v>M</v>
          </cell>
        </row>
        <row r="6172">
          <cell r="C6172">
            <v>3006151</v>
          </cell>
          <cell r="D6172" t="str">
            <v>SERVIÇO MANUTENÇÃO DE FORNO E FORNALHA</v>
          </cell>
          <cell r="E6172" t="str">
            <v>DIA</v>
          </cell>
        </row>
        <row r="6173">
          <cell r="C6173">
            <v>3006152</v>
          </cell>
          <cell r="D6173" t="str">
            <v>SERVIÇO DE MANUTENÇÃO DE VEÍCULO LEVE</v>
          </cell>
          <cell r="E6173" t="str">
            <v>KMS</v>
          </cell>
        </row>
        <row r="6174">
          <cell r="C6174">
            <v>3006153</v>
          </cell>
          <cell r="D6174" t="str">
            <v>MANUT E MONTAGEM DE ESTRUTURAS METÁLICAS</v>
          </cell>
          <cell r="E6174" t="str">
            <v>MES</v>
          </cell>
        </row>
        <row r="6175">
          <cell r="C6175">
            <v>3006154</v>
          </cell>
          <cell r="D6175" t="str">
            <v>CONSTR E EDIFICAÇÃO PREDIAL - PEQ PORTE</v>
          </cell>
          <cell r="E6175" t="str">
            <v>CM</v>
          </cell>
        </row>
        <row r="6176">
          <cell r="C6176">
            <v>3006155</v>
          </cell>
          <cell r="D6176" t="str">
            <v>SERVIÇO DE MANUTENÇÃO DE SUBESTAÇÃO</v>
          </cell>
          <cell r="E6176" t="str">
            <v>KG</v>
          </cell>
        </row>
        <row r="6177">
          <cell r="C6177">
            <v>3006156</v>
          </cell>
          <cell r="D6177" t="str">
            <v>SERVIÇO DE MANUTENÇÃO DE SUBESTAÇÃO</v>
          </cell>
          <cell r="E6177" t="str">
            <v>H</v>
          </cell>
        </row>
        <row r="6178">
          <cell r="C6178">
            <v>3006157</v>
          </cell>
          <cell r="D6178" t="str">
            <v>CONTR E TRAT EFLUENTE;AGENT FIS;QUIM;BIO</v>
          </cell>
          <cell r="E6178" t="str">
            <v>M2</v>
          </cell>
        </row>
        <row r="6179">
          <cell r="C6179">
            <v>3006158</v>
          </cell>
          <cell r="D6179" t="str">
            <v>SRV CONFECÇÃO PLACA;CARTAZ;BANNER;FAIXA</v>
          </cell>
          <cell r="E6179" t="str">
            <v>H</v>
          </cell>
        </row>
        <row r="6180">
          <cell r="C6180">
            <v>3006159</v>
          </cell>
          <cell r="D6180" t="str">
            <v>SRV CONSTR PLANTA DE TRAT ÁGUA RES E ESG</v>
          </cell>
          <cell r="E6180" t="str">
            <v>DIA</v>
          </cell>
        </row>
        <row r="6181">
          <cell r="C6181">
            <v>3006160</v>
          </cell>
          <cell r="D6181" t="str">
            <v>SRV CONSTR PLANTA DE TRAT ÁGUA RES E ESG</v>
          </cell>
          <cell r="E6181" t="str">
            <v>KG</v>
          </cell>
        </row>
        <row r="6182">
          <cell r="C6182">
            <v>3006161</v>
          </cell>
          <cell r="D6182" t="str">
            <v>SERVIÇOS DE AMBULÂNCIA</v>
          </cell>
          <cell r="E6182" t="str">
            <v>DIA</v>
          </cell>
        </row>
        <row r="6183">
          <cell r="C6183">
            <v>3006162</v>
          </cell>
          <cell r="D6183" t="str">
            <v>ARMAÇÃO DE NAVIO</v>
          </cell>
          <cell r="E6183" t="str">
            <v>UN</v>
          </cell>
        </row>
        <row r="6184">
          <cell r="C6184">
            <v>3006163</v>
          </cell>
          <cell r="D6184" t="str">
            <v>ESTUDO E PROJETO DE FERROVIA</v>
          </cell>
          <cell r="E6184" t="str">
            <v>TO</v>
          </cell>
        </row>
        <row r="6185">
          <cell r="C6185">
            <v>3006164</v>
          </cell>
          <cell r="D6185" t="str">
            <v>ESTUDO E PROJETO EQUIP CALDEIRARIA</v>
          </cell>
          <cell r="E6185" t="str">
            <v>H</v>
          </cell>
        </row>
        <row r="6186">
          <cell r="C6186">
            <v>3006165</v>
          </cell>
          <cell r="D6186" t="str">
            <v>SRV ARTES PLÁSTICAS E ARTESANATO</v>
          </cell>
          <cell r="E6186" t="str">
            <v>UN</v>
          </cell>
        </row>
        <row r="6187">
          <cell r="C6187">
            <v>3006166</v>
          </cell>
          <cell r="D6187" t="str">
            <v>PESQUISA HIDROLÓGICA</v>
          </cell>
          <cell r="E6187" t="str">
            <v>MES</v>
          </cell>
        </row>
        <row r="6188">
          <cell r="C6188">
            <v>3006167</v>
          </cell>
          <cell r="D6188" t="str">
            <v>LOCAÇÃO, SUBLOC, ARRENDAMENTO FERROVIA</v>
          </cell>
          <cell r="E6188" t="str">
            <v>TO</v>
          </cell>
        </row>
        <row r="6189">
          <cell r="C6189">
            <v>3006168</v>
          </cell>
          <cell r="D6189" t="str">
            <v>LOCAÇÃO, SUBLOC, ARRENDAMENTO FERROVIA</v>
          </cell>
          <cell r="E6189" t="str">
            <v>H</v>
          </cell>
        </row>
        <row r="6190">
          <cell r="C6190">
            <v>3006169</v>
          </cell>
          <cell r="D6190" t="str">
            <v>SERVIÃ‡O DE MANUTENÃ‡ÃƒO PREDIAL CIVIL</v>
          </cell>
          <cell r="E6190" t="str">
            <v>KM2</v>
          </cell>
        </row>
        <row r="6191">
          <cell r="C6191">
            <v>3006170</v>
          </cell>
          <cell r="D6191" t="str">
            <v>CARTÃO CRÉDITO VIRTUAL PASSAGEM-HOSPEDAG</v>
          </cell>
          <cell r="E6191" t="str">
            <v>UN</v>
          </cell>
        </row>
        <row r="6192">
          <cell r="C6192">
            <v>3006171</v>
          </cell>
          <cell r="D6192" t="str">
            <v>SRV CONSTR DE SPCI DE PEQUENO PORTE</v>
          </cell>
          <cell r="E6192" t="str">
            <v>M</v>
          </cell>
        </row>
        <row r="6193">
          <cell r="C6193">
            <v>3006172</v>
          </cell>
          <cell r="D6193" t="str">
            <v>SERVIÇO MANUTENÇÃO DE FORNO E FORNALHA</v>
          </cell>
          <cell r="E6193" t="str">
            <v>H</v>
          </cell>
        </row>
        <row r="6194">
          <cell r="C6194">
            <v>3006173</v>
          </cell>
          <cell r="D6194" t="str">
            <v>CONTRATAÇÃO SEGUROS</v>
          </cell>
          <cell r="E6194" t="str">
            <v>UN</v>
          </cell>
        </row>
        <row r="6195">
          <cell r="C6195">
            <v>3006174</v>
          </cell>
          <cell r="D6195" t="str">
            <v>SISTEMA AUTOMAÃ‡ÃƒO, SIST DE INTEGR, ETC</v>
          </cell>
          <cell r="E6195" t="str">
            <v>MES</v>
          </cell>
        </row>
        <row r="6196">
          <cell r="C6196">
            <v>3006175</v>
          </cell>
          <cell r="D6196" t="str">
            <v>ESTUDO E PROJETO DE ARQUITETURA</v>
          </cell>
          <cell r="E6196" t="str">
            <v>M2</v>
          </cell>
        </row>
        <row r="6197">
          <cell r="C6197">
            <v>3006176</v>
          </cell>
          <cell r="D6197" t="str">
            <v>CARGA E RECARGA  MAQ;EQUIP MÓV E SIMILAR</v>
          </cell>
          <cell r="E6197" t="str">
            <v>H</v>
          </cell>
        </row>
        <row r="6198">
          <cell r="C6198">
            <v>3006177</v>
          </cell>
          <cell r="D6198" t="str">
            <v>SERVIÇO DE MANUTENÇÃO HIDRÁULICA</v>
          </cell>
          <cell r="E6198" t="str">
            <v>H</v>
          </cell>
        </row>
        <row r="6199">
          <cell r="C6199">
            <v>3006178</v>
          </cell>
          <cell r="D6199" t="str">
            <v>CONTRATAÇÃO SEGUROS</v>
          </cell>
          <cell r="E6199" t="str">
            <v>ANO</v>
          </cell>
        </row>
        <row r="6200">
          <cell r="C6200">
            <v>3006179</v>
          </cell>
          <cell r="D6200" t="str">
            <v>DEDETIZAÇÃO, IMUNIZAÇÃO E SIMILARES</v>
          </cell>
          <cell r="E6200" t="str">
            <v>PAR</v>
          </cell>
        </row>
        <row r="6201">
          <cell r="C6201">
            <v>3006180</v>
          </cell>
          <cell r="D6201" t="str">
            <v>OBRAS DE ARTE SOB ENCOMENDA</v>
          </cell>
          <cell r="E6201" t="str">
            <v>SV</v>
          </cell>
        </row>
        <row r="6202">
          <cell r="C6202">
            <v>3006181</v>
          </cell>
          <cell r="D6202" t="str">
            <v>TREINAMENTO, INSTRUÇÃO E ORIENTAÇÃO</v>
          </cell>
          <cell r="E6202" t="str">
            <v>PC</v>
          </cell>
        </row>
        <row r="6203">
          <cell r="C6203">
            <v>3006182</v>
          </cell>
          <cell r="D6203" t="str">
            <v>REEMBOLSO DESPESAS</v>
          </cell>
          <cell r="E6203" t="str">
            <v>PC</v>
          </cell>
        </row>
        <row r="6204">
          <cell r="C6204">
            <v>3006183</v>
          </cell>
          <cell r="D6204" t="str">
            <v>SRV DE ASSISTÊNCIA TÉCNICA EM MANUTENÇÃO</v>
          </cell>
          <cell r="E6204" t="str">
            <v>PC</v>
          </cell>
        </row>
        <row r="6205">
          <cell r="C6205">
            <v>3006184</v>
          </cell>
          <cell r="D6205" t="str">
            <v>SERVIÇO MANUTENÇÃO DE FORNO E FORNALHA</v>
          </cell>
          <cell r="E6205" t="str">
            <v>L</v>
          </cell>
        </row>
        <row r="6206">
          <cell r="C6206">
            <v>3006185</v>
          </cell>
          <cell r="D6206" t="str">
            <v>ALUGUEL DE VEÍCULOS S MOTORISTA - VIAGEM</v>
          </cell>
          <cell r="E6206" t="str">
            <v>M</v>
          </cell>
        </row>
        <row r="6207">
          <cell r="C6207">
            <v>3006186</v>
          </cell>
          <cell r="D6207" t="str">
            <v>VOICE SRV - VIDEO CONFERENCE SOLUTIONS</v>
          </cell>
          <cell r="E6207" t="str">
            <v>ANO</v>
          </cell>
        </row>
        <row r="6208">
          <cell r="C6208">
            <v>3006187</v>
          </cell>
          <cell r="D6208" t="str">
            <v>SRV RETIFICA MOTOR VEICULO UTIL. E LEVE</v>
          </cell>
          <cell r="E6208" t="str">
            <v>H</v>
          </cell>
        </row>
        <row r="6209">
          <cell r="C6209">
            <v>3006188</v>
          </cell>
          <cell r="D6209" t="str">
            <v>MONT, INSTAL E SUP EQUIP OU SIST TELECOM</v>
          </cell>
          <cell r="E6209" t="str">
            <v>ANO</v>
          </cell>
        </row>
        <row r="6210">
          <cell r="C6210">
            <v>3006189</v>
          </cell>
          <cell r="D6210" t="str">
            <v>CANTEIRO; MANUT E OPERAÇÃO CANTEIRO</v>
          </cell>
          <cell r="E6210" t="str">
            <v>TO</v>
          </cell>
        </row>
        <row r="6211">
          <cell r="C6211">
            <v>3006190</v>
          </cell>
          <cell r="D6211" t="str">
            <v>SRV MONTAGEM ELETROMECÂNICA MÉDIO PORTE</v>
          </cell>
          <cell r="E6211" t="str">
            <v>M3</v>
          </cell>
        </row>
        <row r="6212">
          <cell r="C6212">
            <v>3006191</v>
          </cell>
          <cell r="D6212" t="str">
            <v>LAVAGEM E SECAG OBJ QLQ, INCLUS PC-HORA</v>
          </cell>
          <cell r="E6212" t="str">
            <v>H</v>
          </cell>
        </row>
        <row r="6213">
          <cell r="C6213">
            <v>3006192</v>
          </cell>
          <cell r="D6213" t="str">
            <v>SERVIÇO DE COMUNICAÇÃO VISUAL</v>
          </cell>
          <cell r="E6213" t="str">
            <v>M3</v>
          </cell>
        </row>
        <row r="6214">
          <cell r="C6214">
            <v>3006193</v>
          </cell>
          <cell r="D6214" t="str">
            <v>MONTAGEM DE ESCAVADEIRAS</v>
          </cell>
          <cell r="E6214" t="str">
            <v>H</v>
          </cell>
        </row>
        <row r="6215">
          <cell r="C6215">
            <v>3006194</v>
          </cell>
          <cell r="D6215" t="str">
            <v>SRV DE MANUTENÇÃO REDUTOR DE VELOCIDADE</v>
          </cell>
          <cell r="E6215" t="str">
            <v>M2</v>
          </cell>
        </row>
        <row r="6216">
          <cell r="C6216">
            <v>3006195</v>
          </cell>
          <cell r="D6216" t="str">
            <v>SRV MANUT CARRO DE GRELHA DE MINERAÇÃO</v>
          </cell>
          <cell r="E6216" t="str">
            <v>DIA</v>
          </cell>
        </row>
        <row r="6217">
          <cell r="C6217">
            <v>3006196</v>
          </cell>
          <cell r="D6217" t="str">
            <v>SRV MONTAGEM ELETROMECÂNICA PEQ PORTE</v>
          </cell>
          <cell r="E6217" t="str">
            <v>DIA</v>
          </cell>
        </row>
        <row r="6218">
          <cell r="C6218">
            <v>3006197</v>
          </cell>
          <cell r="D6218" t="str">
            <v>HOSPEDAGEM EM HOTÉIS E SIMIL - FATURADO</v>
          </cell>
          <cell r="E6218" t="str">
            <v>MIN</v>
          </cell>
        </row>
        <row r="6219">
          <cell r="C6219">
            <v>3006198</v>
          </cell>
          <cell r="D6219" t="str">
            <v>OUTROS TIPOS DE DESPESAS</v>
          </cell>
          <cell r="E6219" t="str">
            <v>TO</v>
          </cell>
        </row>
        <row r="6220">
          <cell r="C6220">
            <v>3006199</v>
          </cell>
          <cell r="D6220" t="str">
            <v>SERVIÇO DESCARGA DE OPERAÇÃO FERROVIÁRIA</v>
          </cell>
          <cell r="E6220" t="str">
            <v>TO</v>
          </cell>
        </row>
        <row r="6221">
          <cell r="C6221">
            <v>3006200</v>
          </cell>
          <cell r="D6221" t="str">
            <v>TRANSPORTE DE CARGA SECA</v>
          </cell>
          <cell r="E6221" t="str">
            <v>DIA</v>
          </cell>
        </row>
        <row r="6222">
          <cell r="C6222">
            <v>3006201</v>
          </cell>
          <cell r="D6222" t="str">
            <v>ESTUDO E PROJETO EM ENGENHARIA</v>
          </cell>
          <cell r="E6222" t="str">
            <v>M3</v>
          </cell>
        </row>
        <row r="6223">
          <cell r="C6223">
            <v>3006202</v>
          </cell>
          <cell r="D6223" t="str">
            <v>SERVIÇOS DE MOVIMENTAÇÃO INTERNA</v>
          </cell>
          <cell r="E6223" t="str">
            <v>DIA</v>
          </cell>
        </row>
        <row r="6224">
          <cell r="C6224">
            <v>3006203</v>
          </cell>
          <cell r="D6224" t="str">
            <v>SRV MOV CARGA NA RETRO-ÁREA PORTOS PRIV</v>
          </cell>
          <cell r="E6224" t="str">
            <v>H</v>
          </cell>
        </row>
        <row r="6225">
          <cell r="C6225">
            <v>3006204</v>
          </cell>
          <cell r="D6225" t="str">
            <v>CONSTRUÇÃO OBRA PLANTAS INDUSTR PORTE P</v>
          </cell>
          <cell r="E6225" t="str">
            <v>TO</v>
          </cell>
        </row>
        <row r="6226">
          <cell r="C6226">
            <v>3006205</v>
          </cell>
          <cell r="D6226" t="str">
            <v>MANUT BOMBAS CENTR HORIZ;VERT POLPA;AGUA</v>
          </cell>
          <cell r="E6226" t="str">
            <v>TO</v>
          </cell>
        </row>
        <row r="6227">
          <cell r="C6227">
            <v>3006206</v>
          </cell>
          <cell r="D6227" t="str">
            <v>SERVIÇO DE MANUTENÇÃO DE TRANSFORMADOR</v>
          </cell>
          <cell r="E6227" t="str">
            <v>KG</v>
          </cell>
        </row>
        <row r="6228">
          <cell r="C6228">
            <v>3006207</v>
          </cell>
          <cell r="D6228" t="str">
            <v>DESP C JUROS,TAXAS,MULTA D MORA</v>
          </cell>
          <cell r="E6228" t="str">
            <v>SV</v>
          </cell>
        </row>
        <row r="6229">
          <cell r="C6229">
            <v>3006208</v>
          </cell>
          <cell r="D6229" t="str">
            <v>DISPENSER DE AGUA</v>
          </cell>
          <cell r="E6229" t="str">
            <v>UN</v>
          </cell>
        </row>
        <row r="6230">
          <cell r="C6230">
            <v>3006209</v>
          </cell>
          <cell r="D6230" t="str">
            <v>BIDÓN DE AGUA</v>
          </cell>
          <cell r="E6230" t="str">
            <v>UN</v>
          </cell>
        </row>
        <row r="6231">
          <cell r="C6231">
            <v>3006210</v>
          </cell>
          <cell r="D6231" t="str">
            <v>OFICIAL MECÁNICO / ELÉCTRICO</v>
          </cell>
          <cell r="E6231" t="str">
            <v>H</v>
          </cell>
        </row>
        <row r="6232">
          <cell r="C6232">
            <v>3006211</v>
          </cell>
          <cell r="D6232" t="str">
            <v>1/2 OFICIAL MECÁNICO /ELÉCTRICO</v>
          </cell>
          <cell r="E6232" t="str">
            <v>H</v>
          </cell>
        </row>
        <row r="6233">
          <cell r="C6233">
            <v>3006212</v>
          </cell>
          <cell r="D6233" t="str">
            <v>TÉCNICO ELECTROMECÁNICO</v>
          </cell>
          <cell r="E6233" t="str">
            <v>H</v>
          </cell>
        </row>
        <row r="6234">
          <cell r="C6234">
            <v>3006213</v>
          </cell>
          <cell r="D6234" t="str">
            <v>INGENIERO ELECTROMECÁNICO</v>
          </cell>
          <cell r="E6234" t="str">
            <v>H</v>
          </cell>
        </row>
        <row r="6235">
          <cell r="C6235">
            <v>3006214</v>
          </cell>
          <cell r="D6235" t="str">
            <v>MANO DE OBRA PAÑOLERO</v>
          </cell>
          <cell r="E6235" t="str">
            <v>H</v>
          </cell>
        </row>
        <row r="6236">
          <cell r="C6236">
            <v>3006215</v>
          </cell>
          <cell r="D6236" t="str">
            <v>HORA EXTRA</v>
          </cell>
          <cell r="E6236" t="str">
            <v>H</v>
          </cell>
        </row>
        <row r="6237">
          <cell r="C6237">
            <v>3006216</v>
          </cell>
          <cell r="D6237" t="str">
            <v>SERVICIO DE TORNERÍA</v>
          </cell>
          <cell r="E6237" t="str">
            <v>H</v>
          </cell>
        </row>
        <row r="6238">
          <cell r="C6238">
            <v>3006217</v>
          </cell>
          <cell r="D6238" t="str">
            <v>CARTÃO ALIMENTAÇÃO - PROV FOPAG</v>
          </cell>
          <cell r="E6238" t="str">
            <v>SV</v>
          </cell>
        </row>
        <row r="6239">
          <cell r="C6239">
            <v>3006218</v>
          </cell>
          <cell r="D6239" t="str">
            <v>VALE REFEIÇÃO - PROV FOPAG</v>
          </cell>
          <cell r="E6239" t="str">
            <v>SV</v>
          </cell>
        </row>
        <row r="6240">
          <cell r="C6240">
            <v>3006219</v>
          </cell>
          <cell r="D6240" t="str">
            <v>VALE TRANSPORTE - PROV FOPAG</v>
          </cell>
          <cell r="E6240" t="str">
            <v>SV</v>
          </cell>
        </row>
        <row r="6241">
          <cell r="C6241">
            <v>3006220</v>
          </cell>
          <cell r="D6241" t="str">
            <v>SERVICIO DE ALESADO</v>
          </cell>
          <cell r="E6241" t="str">
            <v>H</v>
          </cell>
        </row>
        <row r="6242">
          <cell r="C6242">
            <v>3006221</v>
          </cell>
          <cell r="D6242" t="str">
            <v>SERVICIO DE RECTIFICADO</v>
          </cell>
          <cell r="E6242" t="str">
            <v>H</v>
          </cell>
        </row>
        <row r="6243">
          <cell r="C6243">
            <v>3006222</v>
          </cell>
          <cell r="D6243" t="str">
            <v>SERVICIO DE FRESADO</v>
          </cell>
          <cell r="E6243" t="str">
            <v>H</v>
          </cell>
        </row>
        <row r="6244">
          <cell r="C6244">
            <v>3006223</v>
          </cell>
          <cell r="D6244" t="str">
            <v>SERVICIO DE RELLENADO</v>
          </cell>
          <cell r="E6244" t="str">
            <v>H</v>
          </cell>
        </row>
        <row r="6245">
          <cell r="C6245">
            <v>3006224</v>
          </cell>
          <cell r="D6245" t="str">
            <v>SRV RELAC CRED IMOBILIARIO,VIST D IMOVEL</v>
          </cell>
          <cell r="E6245" t="str">
            <v>SV</v>
          </cell>
        </row>
        <row r="6246">
          <cell r="C6246">
            <v>3006225</v>
          </cell>
          <cell r="D6246" t="str">
            <v>AUTOMACIÓN DE EQUIPOS</v>
          </cell>
          <cell r="E6246" t="str">
            <v>SV</v>
          </cell>
        </row>
        <row r="6247">
          <cell r="C6247">
            <v>3006226</v>
          </cell>
          <cell r="D6247" t="str">
            <v>SERVICIO DE INTERNET POR WIFI</v>
          </cell>
          <cell r="E6247" t="str">
            <v>UN</v>
          </cell>
        </row>
        <row r="6248">
          <cell r="C6248">
            <v>3006227</v>
          </cell>
          <cell r="D6248" t="str">
            <v>CONSULT E ASSESS ECONOMICA OU FINANCEIRA</v>
          </cell>
          <cell r="E6248" t="str">
            <v>SV</v>
          </cell>
        </row>
        <row r="6249">
          <cell r="C6249">
            <v>3006228</v>
          </cell>
          <cell r="D6249" t="str">
            <v>DESEMB,DESPACH,EMISSAO VISTO PASSAPORTE</v>
          </cell>
          <cell r="E6249" t="str">
            <v>SV</v>
          </cell>
        </row>
        <row r="6250">
          <cell r="C6250">
            <v>3006229</v>
          </cell>
          <cell r="D6250" t="str">
            <v>ALQUILER DE EQUIPOS</v>
          </cell>
          <cell r="E6250" t="str">
            <v>H</v>
          </cell>
        </row>
        <row r="6251">
          <cell r="C6251">
            <v>3006230</v>
          </cell>
          <cell r="D6251" t="str">
            <v>PRESENTES EMPRESARIALES</v>
          </cell>
          <cell r="E6251" t="str">
            <v>UN</v>
          </cell>
        </row>
        <row r="6252">
          <cell r="C6252">
            <v>3006231</v>
          </cell>
          <cell r="D6252" t="str">
            <v>MANTENIMIENTO PREDICTIVO</v>
          </cell>
          <cell r="E6252" t="str">
            <v>SV</v>
          </cell>
        </row>
        <row r="6253">
          <cell r="C6253">
            <v>3006232</v>
          </cell>
          <cell r="D6253" t="str">
            <v>REPARACION MOTODESMALEZADORA</v>
          </cell>
          <cell r="E6253" t="str">
            <v>SV</v>
          </cell>
        </row>
        <row r="6254">
          <cell r="C6254">
            <v>3006233</v>
          </cell>
          <cell r="D6254" t="str">
            <v>SERVICIO DE FLETE</v>
          </cell>
          <cell r="E6254" t="str">
            <v>SV</v>
          </cell>
        </row>
        <row r="6255">
          <cell r="C6255">
            <v>3006234</v>
          </cell>
          <cell r="D6255" t="str">
            <v>SERVICIO DE MECANIZADO</v>
          </cell>
          <cell r="E6255" t="str">
            <v>H</v>
          </cell>
        </row>
        <row r="6256">
          <cell r="C6256">
            <v>3006235</v>
          </cell>
          <cell r="D6256" t="str">
            <v>EXAMEN MEDICO</v>
          </cell>
          <cell r="E6256" t="str">
            <v>UN</v>
          </cell>
        </row>
        <row r="6257">
          <cell r="C6257">
            <v>3006236</v>
          </cell>
          <cell r="D6257" t="str">
            <v>MANTENIMIENTO DE GRUA</v>
          </cell>
          <cell r="E6257" t="str">
            <v>SV</v>
          </cell>
        </row>
        <row r="6258">
          <cell r="C6258">
            <v>3006237</v>
          </cell>
          <cell r="D6258" t="str">
            <v>VALE CULTURA - PROV FOPAG</v>
          </cell>
          <cell r="E6258" t="str">
            <v>SV</v>
          </cell>
        </row>
        <row r="6259">
          <cell r="C6259">
            <v>3006238</v>
          </cell>
          <cell r="D6259" t="str">
            <v>EQUIPMENT REPAIR AND MAINTENANCE-LABOUR</v>
          </cell>
          <cell r="E6259" t="str">
            <v>SV</v>
          </cell>
        </row>
        <row r="6260">
          <cell r="C6260">
            <v>3006239</v>
          </cell>
          <cell r="D6260" t="str">
            <v>EQUIPMENT REPAIR AND MAINTENANCE-LABOUR</v>
          </cell>
          <cell r="E6260" t="str">
            <v>HR</v>
          </cell>
        </row>
        <row r="6261">
          <cell r="C6261">
            <v>3006240</v>
          </cell>
          <cell r="D6261" t="str">
            <v>EQUIPMENT REPAIR AND MAINTENANCE-PARTS</v>
          </cell>
          <cell r="E6261" t="str">
            <v>SV</v>
          </cell>
        </row>
        <row r="6262">
          <cell r="C6262">
            <v>3006241</v>
          </cell>
          <cell r="D6262" t="str">
            <v>MOBILE EQUIPMENT MAINTANCE AND REPAIR</v>
          </cell>
          <cell r="E6262" t="str">
            <v>SV</v>
          </cell>
        </row>
        <row r="6263">
          <cell r="C6263">
            <v>3006242</v>
          </cell>
          <cell r="D6263" t="str">
            <v>MOBILE EQUIPMENT MAINTANCE AND REPAIR</v>
          </cell>
          <cell r="E6263" t="str">
            <v>HR</v>
          </cell>
        </row>
        <row r="6264">
          <cell r="C6264">
            <v>3006243</v>
          </cell>
          <cell r="D6264" t="str">
            <v>TIRE MAINTENANCE AND REPAIR</v>
          </cell>
          <cell r="E6264" t="str">
            <v>SV</v>
          </cell>
        </row>
        <row r="6265">
          <cell r="C6265">
            <v>3006244</v>
          </cell>
          <cell r="D6265" t="str">
            <v>TIRE MAINTENANCE AND REPAIR</v>
          </cell>
          <cell r="E6265" t="str">
            <v>HR</v>
          </cell>
        </row>
        <row r="6266">
          <cell r="C6266">
            <v>3006245</v>
          </cell>
          <cell r="D6266" t="str">
            <v>BUCKET MAINTENANCE AND REPAIR</v>
          </cell>
          <cell r="E6266" t="str">
            <v>SV</v>
          </cell>
        </row>
        <row r="6267">
          <cell r="C6267">
            <v>3006246</v>
          </cell>
          <cell r="D6267" t="str">
            <v>BUCKET MAINTENANCE AND REPAIR</v>
          </cell>
          <cell r="E6267" t="str">
            <v>HR</v>
          </cell>
        </row>
        <row r="6268">
          <cell r="C6268">
            <v>3006247</v>
          </cell>
          <cell r="D6268" t="str">
            <v>SERVICIO A MOTOR CATERPILLAR C15</v>
          </cell>
          <cell r="E6268" t="str">
            <v>SV</v>
          </cell>
        </row>
        <row r="6269">
          <cell r="C6269">
            <v>3006248</v>
          </cell>
          <cell r="D6269" t="str">
            <v>CERTIFICACION DE HIDROELEVADOR</v>
          </cell>
          <cell r="E6269" t="str">
            <v>SV</v>
          </cell>
        </row>
        <row r="6270">
          <cell r="C6270">
            <v>3006249</v>
          </cell>
          <cell r="D6270" t="str">
            <v>EXAMEN PRE-OCUPACIONAL</v>
          </cell>
          <cell r="E6270" t="str">
            <v>UN</v>
          </cell>
        </row>
        <row r="6271">
          <cell r="C6271">
            <v>3006250</v>
          </cell>
          <cell r="D6271" t="str">
            <v>REPARACION GRAMPA ROZZI</v>
          </cell>
          <cell r="E6271" t="str">
            <v>SV</v>
          </cell>
        </row>
        <row r="6272">
          <cell r="C6272">
            <v>3006251</v>
          </cell>
          <cell r="D6272" t="str">
            <v>REPARACION SISTEMA DE ASPERSION</v>
          </cell>
          <cell r="E6272" t="str">
            <v>SV</v>
          </cell>
        </row>
        <row r="6273">
          <cell r="C6273">
            <v>3006252</v>
          </cell>
          <cell r="D6273" t="str">
            <v>SERVICIO DE VIANDA (ALMUERZO / CENA)</v>
          </cell>
          <cell r="E6273" t="str">
            <v>UN</v>
          </cell>
        </row>
        <row r="6274">
          <cell r="C6274">
            <v>3006253</v>
          </cell>
          <cell r="D6274" t="str">
            <v>ALQUILER DE GRUA</v>
          </cell>
          <cell r="E6274" t="str">
            <v>H</v>
          </cell>
        </row>
        <row r="6275">
          <cell r="C6275">
            <v>3006254</v>
          </cell>
          <cell r="D6275" t="str">
            <v>SERVICIO DE CORREO INTERNACIONAL</v>
          </cell>
          <cell r="E6275" t="str">
            <v>UN</v>
          </cell>
        </row>
        <row r="6276">
          <cell r="C6276">
            <v>3006255</v>
          </cell>
          <cell r="D6276" t="str">
            <v>PRESURIZACIÓN DE MATAFUEGO ABC</v>
          </cell>
          <cell r="E6276" t="str">
            <v>UN</v>
          </cell>
        </row>
        <row r="6277">
          <cell r="C6277">
            <v>3006256</v>
          </cell>
          <cell r="D6277" t="str">
            <v>CERTIFICADOS DPS</v>
          </cell>
          <cell r="E6277" t="str">
            <v>UN</v>
          </cell>
        </row>
        <row r="6278">
          <cell r="C6278">
            <v>3006257</v>
          </cell>
          <cell r="D6278" t="str">
            <v>ENVÍO DE DOCUMENTACIÓN VÍA FAX O E-MAIL</v>
          </cell>
          <cell r="E6278" t="str">
            <v>UN</v>
          </cell>
        </row>
        <row r="6279">
          <cell r="C6279">
            <v>3006258</v>
          </cell>
          <cell r="D6279" t="str">
            <v>MARBETE IRAM</v>
          </cell>
          <cell r="E6279" t="str">
            <v>UN</v>
          </cell>
        </row>
        <row r="6280">
          <cell r="C6280">
            <v>3006259</v>
          </cell>
          <cell r="D6280" t="str">
            <v>PRUEBA HIDRÁULICA</v>
          </cell>
          <cell r="E6280" t="str">
            <v>UN</v>
          </cell>
        </row>
        <row r="6281">
          <cell r="C6281">
            <v>3006260</v>
          </cell>
          <cell r="D6281" t="str">
            <v>ENVIO Y RETIRO DE CAJAS</v>
          </cell>
          <cell r="E6281" t="str">
            <v>UN</v>
          </cell>
        </row>
        <row r="6282">
          <cell r="C6282">
            <v>3006261</v>
          </cell>
          <cell r="D6282" t="str">
            <v>POLVO QUÍMICO X KG</v>
          </cell>
          <cell r="E6282" t="str">
            <v>KG</v>
          </cell>
        </row>
        <row r="6283">
          <cell r="C6283">
            <v>3006262</v>
          </cell>
          <cell r="D6283" t="str">
            <v>CONSULTORÍA LEGAL SSMA</v>
          </cell>
          <cell r="E6283" t="str">
            <v>MES</v>
          </cell>
        </row>
        <row r="6284">
          <cell r="C6284">
            <v>3006263</v>
          </cell>
          <cell r="D6284" t="str">
            <v>MANOMETRO</v>
          </cell>
          <cell r="E6284" t="str">
            <v>UN</v>
          </cell>
        </row>
        <row r="6285">
          <cell r="C6285">
            <v>3006264</v>
          </cell>
          <cell r="D6285" t="str">
            <v>OXIGENO</v>
          </cell>
          <cell r="E6285" t="str">
            <v>M3</v>
          </cell>
        </row>
        <row r="6286">
          <cell r="C6286">
            <v>3006265</v>
          </cell>
          <cell r="D6286" t="str">
            <v>MANTENIMIENTO AIRE ACONDICIONADO</v>
          </cell>
          <cell r="E6286" t="str">
            <v>SV</v>
          </cell>
        </row>
        <row r="6287">
          <cell r="C6287">
            <v>3006266</v>
          </cell>
          <cell r="D6287" t="str">
            <v>CAPACITACION EN IDIOMAS</v>
          </cell>
          <cell r="E6287" t="str">
            <v>H</v>
          </cell>
        </row>
        <row r="6288">
          <cell r="C6288">
            <v>3006267</v>
          </cell>
          <cell r="D6288" t="str">
            <v>ADMINISTRACIÓN Y GUARDA ARCHIVO</v>
          </cell>
          <cell r="E6288" t="str">
            <v>MES</v>
          </cell>
        </row>
        <row r="6289">
          <cell r="C6289">
            <v>3006268</v>
          </cell>
          <cell r="D6289" t="str">
            <v>GAS PROPANO</v>
          </cell>
          <cell r="E6289" t="str">
            <v>UN</v>
          </cell>
        </row>
        <row r="6290">
          <cell r="C6290">
            <v>3006269</v>
          </cell>
          <cell r="D6290" t="str">
            <v>VULCANIZACION - CUBIERTAS</v>
          </cell>
          <cell r="E6290" t="str">
            <v>UN</v>
          </cell>
        </row>
        <row r="6291">
          <cell r="C6291">
            <v>3006270</v>
          </cell>
          <cell r="D6291" t="str">
            <v>COSTO HORA DE ESPERA LARGA DISTANCIA</v>
          </cell>
          <cell r="E6291" t="str">
            <v>UN</v>
          </cell>
        </row>
        <row r="6292">
          <cell r="C6292">
            <v>3006271</v>
          </cell>
          <cell r="D6292" t="str">
            <v>CAMARAS PARA CUBIERTAS</v>
          </cell>
          <cell r="E6292" t="str">
            <v>UN</v>
          </cell>
        </row>
        <row r="6293">
          <cell r="C6293">
            <v>3006272</v>
          </cell>
          <cell r="D6293" t="str">
            <v>TARIFA PARA REMIS USO LOCAL</v>
          </cell>
          <cell r="E6293" t="str">
            <v>KM</v>
          </cell>
        </row>
        <row r="6294">
          <cell r="C6294">
            <v>3006273</v>
          </cell>
          <cell r="D6294" t="str">
            <v>DESARME Y ARME - CUBIERTAS</v>
          </cell>
          <cell r="E6294" t="str">
            <v>UN</v>
          </cell>
        </row>
        <row r="6295">
          <cell r="C6295">
            <v>3006274</v>
          </cell>
          <cell r="D6295" t="str">
            <v>PARCHES TIP TOP</v>
          </cell>
          <cell r="E6295" t="str">
            <v>UN</v>
          </cell>
        </row>
        <row r="6296">
          <cell r="C6296">
            <v>3006275</v>
          </cell>
          <cell r="D6296" t="str">
            <v>VÁLVULA O PICO PARA CÁMARAS</v>
          </cell>
          <cell r="E6296" t="str">
            <v>UN</v>
          </cell>
        </row>
        <row r="6297">
          <cell r="C6297">
            <v>3006276</v>
          </cell>
          <cell r="D6297" t="str">
            <v>ANALISIS FISICO/QUIMICO DE LUBRICANTE</v>
          </cell>
          <cell r="E6297" t="str">
            <v>UN</v>
          </cell>
        </row>
        <row r="6298">
          <cell r="C6298">
            <v>3006277</v>
          </cell>
          <cell r="D6298" t="str">
            <v>REPARACIÓN DE CUBIERTAS DE CAMIONETAS</v>
          </cell>
          <cell r="E6298" t="str">
            <v>UN</v>
          </cell>
        </row>
        <row r="6299">
          <cell r="C6299">
            <v>3006278</v>
          </cell>
          <cell r="D6299" t="str">
            <v>TOMA DE MUESTRAS</v>
          </cell>
          <cell r="E6299" t="str">
            <v>UN</v>
          </cell>
        </row>
        <row r="6300">
          <cell r="C6300">
            <v>3006279</v>
          </cell>
          <cell r="D6300" t="str">
            <v>ANALISIS DE ACIDEZ DE LUBRICANTE</v>
          </cell>
          <cell r="E6300" t="str">
            <v>UN</v>
          </cell>
        </row>
        <row r="6301">
          <cell r="C6301">
            <v>3006280</v>
          </cell>
          <cell r="D6301" t="str">
            <v>INFORME CON DIAGNOSTICO Y LUBRICANTES</v>
          </cell>
          <cell r="E6301" t="str">
            <v>UN</v>
          </cell>
        </row>
        <row r="6302">
          <cell r="C6302">
            <v>3006281</v>
          </cell>
          <cell r="D6302" t="str">
            <v>MEDICIÓN DE GASES</v>
          </cell>
          <cell r="E6302" t="str">
            <v>UN</v>
          </cell>
        </row>
        <row r="6303">
          <cell r="C6303">
            <v>3006282</v>
          </cell>
          <cell r="D6303" t="str">
            <v>SERVICIO DE END CON INFORMES.</v>
          </cell>
          <cell r="E6303" t="str">
            <v>UN</v>
          </cell>
        </row>
        <row r="6304">
          <cell r="C6304">
            <v>3006283</v>
          </cell>
          <cell r="D6304" t="str">
            <v>MANTENIMIENTO DE GENERADORES CAT</v>
          </cell>
          <cell r="E6304" t="str">
            <v>SV</v>
          </cell>
        </row>
        <row r="6305">
          <cell r="C6305">
            <v>3006284</v>
          </cell>
          <cell r="D6305" t="str">
            <v>CONTROL SATELITAL DE VEHÍCULOS</v>
          </cell>
          <cell r="E6305" t="str">
            <v>MES</v>
          </cell>
        </row>
        <row r="6306">
          <cell r="C6306">
            <v>3006285</v>
          </cell>
          <cell r="D6306" t="str">
            <v>INATALACION DE EQUIPOS</v>
          </cell>
          <cell r="E6306" t="str">
            <v>UN</v>
          </cell>
        </row>
        <row r="6307">
          <cell r="C6307">
            <v>3006286</v>
          </cell>
          <cell r="D6307" t="str">
            <v>MANTENIMIENTO Y BOBINADO</v>
          </cell>
          <cell r="E6307" t="str">
            <v>UN</v>
          </cell>
        </row>
        <row r="6308">
          <cell r="C6308">
            <v>3006287</v>
          </cell>
          <cell r="D6308" t="str">
            <v>DESARME Y ARME - CUBIERTAS</v>
          </cell>
          <cell r="E6308" t="str">
            <v>UN</v>
          </cell>
        </row>
        <row r="6309">
          <cell r="C6309">
            <v>3006288</v>
          </cell>
          <cell r="D6309" t="str">
            <v>ALQUILER DE VOLQUETE</v>
          </cell>
          <cell r="E6309" t="str">
            <v>MES</v>
          </cell>
        </row>
        <row r="6310">
          <cell r="C6310">
            <v>3006289</v>
          </cell>
          <cell r="D6310" t="str">
            <v>REPARACION - CUBIERTAS</v>
          </cell>
          <cell r="E6310" t="str">
            <v>UN</v>
          </cell>
        </row>
        <row r="6311">
          <cell r="C6311">
            <v>3006290</v>
          </cell>
          <cell r="D6311" t="str">
            <v>ALINEACION CON LASER PARA EQUIPOS</v>
          </cell>
          <cell r="E6311" t="str">
            <v>SV</v>
          </cell>
        </row>
        <row r="6312">
          <cell r="C6312">
            <v>3006291</v>
          </cell>
          <cell r="D6312" t="str">
            <v>SERVICIO DE TERMOGRAFIA INFRARROJA</v>
          </cell>
          <cell r="E6312" t="str">
            <v>SV</v>
          </cell>
        </row>
        <row r="6313">
          <cell r="C6313">
            <v>3006292</v>
          </cell>
          <cell r="D6313" t="str">
            <v>ALQUILER DE TUBOS X DIA X TUBO</v>
          </cell>
          <cell r="E6313" t="str">
            <v>UN</v>
          </cell>
        </row>
        <row r="6314">
          <cell r="C6314">
            <v>3006293</v>
          </cell>
          <cell r="D6314" t="str">
            <v>AUTOMATIZACION DE EQUIPOS</v>
          </cell>
          <cell r="E6314" t="str">
            <v>H</v>
          </cell>
        </row>
        <row r="6315">
          <cell r="C6315">
            <v>3006294</v>
          </cell>
          <cell r="D6315" t="str">
            <v>EQUIPMENT REPAIR AND MAINTENANCE-LABOUR</v>
          </cell>
          <cell r="E6315" t="str">
            <v>SV</v>
          </cell>
        </row>
        <row r="6316">
          <cell r="C6316">
            <v>3006295</v>
          </cell>
          <cell r="D6316" t="str">
            <v>EQUIPMENT REPAIR AND MAINTENANCE-LABOUR</v>
          </cell>
          <cell r="E6316" t="str">
            <v>HR</v>
          </cell>
        </row>
        <row r="6317">
          <cell r="C6317">
            <v>3006296</v>
          </cell>
          <cell r="D6317" t="str">
            <v>EQUIPMENT REPAIR AND MAINTENANCE-PARTS</v>
          </cell>
          <cell r="E6317" t="str">
            <v>SV</v>
          </cell>
        </row>
        <row r="6318">
          <cell r="C6318">
            <v>3006297</v>
          </cell>
          <cell r="D6318" t="str">
            <v>PLANT/BUILDING (ELECT/MECH/VENT/PIPING)</v>
          </cell>
          <cell r="E6318" t="str">
            <v>SV</v>
          </cell>
        </row>
        <row r="6319">
          <cell r="C6319">
            <v>3006298</v>
          </cell>
          <cell r="D6319" t="str">
            <v>PLANT/BUILDING (ELECT/MECH/VENT/PIPING)</v>
          </cell>
          <cell r="E6319" t="str">
            <v>HR</v>
          </cell>
        </row>
        <row r="6320">
          <cell r="C6320">
            <v>3006299</v>
          </cell>
          <cell r="D6320" t="str">
            <v>PLANT/BUILDING (STRUCTURAL AND CIVIL)</v>
          </cell>
          <cell r="E6320" t="str">
            <v>SV</v>
          </cell>
        </row>
        <row r="6321">
          <cell r="C6321">
            <v>3006300</v>
          </cell>
          <cell r="D6321" t="str">
            <v>PLANT/BUILDING (STRUCTURAL AND CIVIL)</v>
          </cell>
          <cell r="E6321" t="str">
            <v>HR</v>
          </cell>
        </row>
        <row r="6322">
          <cell r="C6322">
            <v>3006301</v>
          </cell>
          <cell r="D6322" t="str">
            <v>UNDERGROUND SPECIFIC SERVICES</v>
          </cell>
          <cell r="E6322" t="str">
            <v>SV</v>
          </cell>
        </row>
        <row r="6323">
          <cell r="C6323">
            <v>3006302</v>
          </cell>
          <cell r="D6323" t="str">
            <v>UNDERGROUND SPECIFIC SERVICES</v>
          </cell>
          <cell r="E6323" t="str">
            <v>HR</v>
          </cell>
        </row>
        <row r="6324">
          <cell r="C6324">
            <v>3006303</v>
          </cell>
          <cell r="D6324" t="str">
            <v>UNDERGROUND SPECIFIC SERVICES</v>
          </cell>
          <cell r="E6324" t="str">
            <v>PÉ</v>
          </cell>
        </row>
        <row r="6325">
          <cell r="C6325">
            <v>3006304</v>
          </cell>
          <cell r="D6325" t="str">
            <v>UNDERGROUND SPECIFIC SERVICES</v>
          </cell>
          <cell r="E6325" t="str">
            <v>DIA</v>
          </cell>
        </row>
        <row r="6326">
          <cell r="C6326">
            <v>3006305</v>
          </cell>
          <cell r="D6326" t="str">
            <v>UNDERGROUND SPECIFIC SERVICES</v>
          </cell>
          <cell r="E6326" t="str">
            <v>SEM</v>
          </cell>
        </row>
        <row r="6327">
          <cell r="C6327">
            <v>3006306</v>
          </cell>
          <cell r="D6327" t="str">
            <v>UNDERGROUND SPECIFIC SERVICES</v>
          </cell>
          <cell r="E6327" t="str">
            <v>MES</v>
          </cell>
        </row>
        <row r="6328">
          <cell r="C6328">
            <v>3006307</v>
          </cell>
          <cell r="D6328" t="str">
            <v>SITE SERVICES</v>
          </cell>
          <cell r="E6328" t="str">
            <v>SV</v>
          </cell>
        </row>
        <row r="6329">
          <cell r="C6329">
            <v>3006308</v>
          </cell>
          <cell r="D6329" t="str">
            <v>SITE SERVICES</v>
          </cell>
          <cell r="E6329" t="str">
            <v>HR</v>
          </cell>
        </row>
        <row r="6330">
          <cell r="C6330">
            <v>3006309</v>
          </cell>
          <cell r="D6330" t="str">
            <v>JANITORIAL, INDUSTRIAL CLEANING, VACUUM</v>
          </cell>
          <cell r="E6330" t="str">
            <v>SV</v>
          </cell>
        </row>
        <row r="6331">
          <cell r="C6331">
            <v>3006310</v>
          </cell>
          <cell r="D6331" t="str">
            <v>JANITORIAL, INDUSTRIAL CLEANING, VACUUM</v>
          </cell>
          <cell r="E6331" t="str">
            <v>HR</v>
          </cell>
        </row>
        <row r="6332">
          <cell r="C6332">
            <v>3006311</v>
          </cell>
          <cell r="D6332" t="str">
            <v>CATERING/EVENTS/OT MEALS</v>
          </cell>
          <cell r="E6332" t="str">
            <v>SV</v>
          </cell>
        </row>
        <row r="6333">
          <cell r="C6333">
            <v>3006312</v>
          </cell>
          <cell r="D6333" t="str">
            <v>CATERING/EVENTS/OT MEALS</v>
          </cell>
          <cell r="E6333" t="str">
            <v>HR</v>
          </cell>
        </row>
        <row r="6334">
          <cell r="C6334">
            <v>3006313</v>
          </cell>
          <cell r="D6334" t="str">
            <v>SECURITY AND SAFETY SERVICES</v>
          </cell>
          <cell r="E6334" t="str">
            <v>SV</v>
          </cell>
        </row>
        <row r="6335">
          <cell r="C6335">
            <v>3006314</v>
          </cell>
          <cell r="D6335" t="str">
            <v>SECURITY AND SAFETY SERVICES</v>
          </cell>
          <cell r="E6335" t="str">
            <v>HR</v>
          </cell>
        </row>
        <row r="6336">
          <cell r="C6336">
            <v>3006315</v>
          </cell>
          <cell r="D6336" t="str">
            <v>CONVEYOR SERVICES</v>
          </cell>
          <cell r="E6336" t="str">
            <v>SV</v>
          </cell>
        </row>
        <row r="6337">
          <cell r="C6337">
            <v>3006316</v>
          </cell>
          <cell r="D6337" t="str">
            <v>CONVEYOR SERVICES</v>
          </cell>
          <cell r="E6337" t="str">
            <v>HR</v>
          </cell>
        </row>
        <row r="6338">
          <cell r="C6338">
            <v>3006317</v>
          </cell>
          <cell r="D6338" t="str">
            <v>RENTAL SERVICES: VEHICLE LEASE/RENT</v>
          </cell>
          <cell r="E6338" t="str">
            <v>SV</v>
          </cell>
        </row>
        <row r="6339">
          <cell r="C6339">
            <v>3006318</v>
          </cell>
          <cell r="D6339" t="str">
            <v>RENTAL SERVICES: VEHICLE LEASE/RENT</v>
          </cell>
          <cell r="E6339" t="str">
            <v>HR</v>
          </cell>
        </row>
        <row r="6340">
          <cell r="C6340">
            <v>3006319</v>
          </cell>
          <cell r="D6340" t="str">
            <v>RENTAL SERVICES: VEHICLE LEASE/RENT</v>
          </cell>
          <cell r="E6340" t="str">
            <v>DIA</v>
          </cell>
        </row>
        <row r="6341">
          <cell r="C6341">
            <v>3006320</v>
          </cell>
          <cell r="D6341" t="str">
            <v>RENTAL SERVICES: VEHICLE LEASE/RENT</v>
          </cell>
          <cell r="E6341" t="str">
            <v>SEM</v>
          </cell>
        </row>
        <row r="6342">
          <cell r="C6342">
            <v>3006321</v>
          </cell>
          <cell r="D6342" t="str">
            <v>RENTAL SERVICES: VEHICLE LEASE/RENT</v>
          </cell>
          <cell r="E6342" t="str">
            <v>MES</v>
          </cell>
        </row>
        <row r="6343">
          <cell r="C6343">
            <v>3006322</v>
          </cell>
          <cell r="D6343" t="str">
            <v>RENTAL SERVICES: RESIDENTIAL RENT</v>
          </cell>
          <cell r="E6343" t="str">
            <v>SV</v>
          </cell>
        </row>
        <row r="6344">
          <cell r="C6344">
            <v>3006323</v>
          </cell>
          <cell r="D6344" t="str">
            <v>RENTAL SERVICES: RESIDENTIAL RENT</v>
          </cell>
          <cell r="E6344" t="str">
            <v>HR</v>
          </cell>
        </row>
        <row r="6345">
          <cell r="C6345">
            <v>3006324</v>
          </cell>
          <cell r="D6345" t="str">
            <v>RENTAL SERVICES: RESIDENTIAL RENT</v>
          </cell>
          <cell r="E6345" t="str">
            <v>DIA</v>
          </cell>
        </row>
        <row r="6346">
          <cell r="C6346">
            <v>3006325</v>
          </cell>
          <cell r="D6346" t="str">
            <v>RENTAL SERVICES: RESIDENTIAL RENT</v>
          </cell>
          <cell r="E6346" t="str">
            <v>SEM</v>
          </cell>
        </row>
        <row r="6347">
          <cell r="C6347">
            <v>3006326</v>
          </cell>
          <cell r="D6347" t="str">
            <v>RENTAL SERVICES: RESIDENTIAL RENT</v>
          </cell>
          <cell r="E6347" t="str">
            <v>MES</v>
          </cell>
        </row>
        <row r="6348">
          <cell r="C6348">
            <v>3006327</v>
          </cell>
          <cell r="D6348" t="str">
            <v>RENTAL SERVICES: COMMERCIAL RENT</v>
          </cell>
          <cell r="E6348" t="str">
            <v>SV</v>
          </cell>
        </row>
        <row r="6349">
          <cell r="C6349">
            <v>3006328</v>
          </cell>
          <cell r="D6349" t="str">
            <v>RENTAL SERVICES: COMMERCIAL RENT</v>
          </cell>
          <cell r="E6349" t="str">
            <v>HR</v>
          </cell>
        </row>
        <row r="6350">
          <cell r="C6350">
            <v>3006329</v>
          </cell>
          <cell r="D6350" t="str">
            <v>RENTAL SERVICES: COMMERCIAL RENT</v>
          </cell>
          <cell r="E6350" t="str">
            <v>DIA</v>
          </cell>
        </row>
        <row r="6351">
          <cell r="C6351">
            <v>3006330</v>
          </cell>
          <cell r="D6351" t="str">
            <v>RENTAL SERVICES: COMMERCIAL RENT</v>
          </cell>
          <cell r="E6351" t="str">
            <v>SEM</v>
          </cell>
        </row>
        <row r="6352">
          <cell r="C6352">
            <v>3006331</v>
          </cell>
          <cell r="D6352" t="str">
            <v>RENTAL SERVICES: COMMERCIAL RENT</v>
          </cell>
          <cell r="E6352" t="str">
            <v>MES</v>
          </cell>
        </row>
        <row r="6353">
          <cell r="C6353">
            <v>3006332</v>
          </cell>
          <cell r="D6353" t="str">
            <v>RENTAL SERVICES: EQUIPMENT RENT</v>
          </cell>
          <cell r="E6353" t="str">
            <v>SV</v>
          </cell>
        </row>
        <row r="6354">
          <cell r="C6354">
            <v>3006333</v>
          </cell>
          <cell r="D6354" t="str">
            <v>RENTAL SERVICES: EQUIPMENT RENT</v>
          </cell>
          <cell r="E6354" t="str">
            <v>HR</v>
          </cell>
        </row>
        <row r="6355">
          <cell r="C6355">
            <v>3006334</v>
          </cell>
          <cell r="D6355" t="str">
            <v>RENTAL SERVICES: EQUIPMENT RENT</v>
          </cell>
          <cell r="E6355" t="str">
            <v>DIA</v>
          </cell>
        </row>
        <row r="6356">
          <cell r="C6356">
            <v>3006335</v>
          </cell>
          <cell r="D6356" t="str">
            <v>RENTAL SERVICES: EQUIPMENT RENT</v>
          </cell>
          <cell r="E6356" t="str">
            <v>SEM</v>
          </cell>
        </row>
        <row r="6357">
          <cell r="C6357">
            <v>3006336</v>
          </cell>
          <cell r="D6357" t="str">
            <v>RENTAL SERVICES: EQUIPMENT RENT</v>
          </cell>
          <cell r="E6357" t="str">
            <v>MES</v>
          </cell>
        </row>
        <row r="6358">
          <cell r="C6358">
            <v>3006337</v>
          </cell>
          <cell r="D6358" t="str">
            <v>ENVIRONMENTAL REHABILITATION SERVICES</v>
          </cell>
          <cell r="E6358" t="str">
            <v>SV</v>
          </cell>
        </row>
        <row r="6359">
          <cell r="C6359">
            <v>3006338</v>
          </cell>
          <cell r="D6359" t="str">
            <v>ENVIRONMENTAL REHABILITATION SERVICES</v>
          </cell>
          <cell r="E6359" t="str">
            <v>HR</v>
          </cell>
        </row>
        <row r="6360">
          <cell r="C6360">
            <v>3006339</v>
          </cell>
          <cell r="D6360" t="str">
            <v>NÃO TRADUZIDO</v>
          </cell>
          <cell r="E6360" t="str">
            <v>SV</v>
          </cell>
        </row>
        <row r="6361">
          <cell r="C6361">
            <v>3006340</v>
          </cell>
          <cell r="D6361" t="str">
            <v>HAULAGE - WASTE MGMT/ORE/CONCENTRATE</v>
          </cell>
          <cell r="E6361" t="str">
            <v>HR</v>
          </cell>
        </row>
        <row r="6362">
          <cell r="C6362">
            <v>3006341</v>
          </cell>
          <cell r="D6362" t="str">
            <v>LOGISTICS AND TRANSPORTATION</v>
          </cell>
          <cell r="E6362" t="str">
            <v>SV</v>
          </cell>
        </row>
        <row r="6363">
          <cell r="C6363">
            <v>3006342</v>
          </cell>
          <cell r="D6363" t="str">
            <v>LOGISTICS AND TRANSPORTATION</v>
          </cell>
          <cell r="E6363" t="str">
            <v>HR</v>
          </cell>
        </row>
        <row r="6364">
          <cell r="C6364">
            <v>3006343</v>
          </cell>
          <cell r="D6364" t="str">
            <v>NÃO TRADUZIDO</v>
          </cell>
          <cell r="E6364" t="str">
            <v>SV</v>
          </cell>
        </row>
        <row r="6365">
          <cell r="C6365">
            <v>3006344</v>
          </cell>
          <cell r="D6365" t="str">
            <v>NÃO TRADUZIDO</v>
          </cell>
          <cell r="E6365" t="str">
            <v>HR</v>
          </cell>
        </row>
        <row r="6366">
          <cell r="C6366">
            <v>3006345</v>
          </cell>
          <cell r="D6366" t="str">
            <v>NÃO TRADUZIDO</v>
          </cell>
          <cell r="E6366" t="str">
            <v>SV</v>
          </cell>
        </row>
        <row r="6367">
          <cell r="C6367">
            <v>3006346</v>
          </cell>
          <cell r="D6367" t="str">
            <v>NÃO TRADUZIDO</v>
          </cell>
          <cell r="E6367" t="str">
            <v>HR</v>
          </cell>
        </row>
        <row r="6368">
          <cell r="C6368">
            <v>3006347</v>
          </cell>
          <cell r="D6368" t="str">
            <v>IT SERVICES(INCL LICENCES,MAINT,SUPPORT)</v>
          </cell>
          <cell r="E6368" t="str">
            <v>SV</v>
          </cell>
        </row>
        <row r="6369">
          <cell r="C6369">
            <v>3006348</v>
          </cell>
          <cell r="D6369" t="str">
            <v>IT SERVICES(INCL LICENCES,MAINT,SUPPORT)</v>
          </cell>
          <cell r="E6369" t="str">
            <v>HR</v>
          </cell>
        </row>
        <row r="6370">
          <cell r="C6370">
            <v>3006349</v>
          </cell>
          <cell r="D6370" t="str">
            <v>INSPECTION AND TESTING</v>
          </cell>
          <cell r="E6370" t="str">
            <v>SV</v>
          </cell>
        </row>
        <row r="6371">
          <cell r="C6371">
            <v>3006350</v>
          </cell>
          <cell r="D6371" t="str">
            <v>INSPECTION AND TESTING</v>
          </cell>
          <cell r="E6371" t="str">
            <v>HR</v>
          </cell>
        </row>
        <row r="6372">
          <cell r="C6372">
            <v>3006351</v>
          </cell>
          <cell r="D6372" t="str">
            <v>NÃO TRADUZIDO</v>
          </cell>
          <cell r="E6372" t="str">
            <v>SV</v>
          </cell>
        </row>
        <row r="6373">
          <cell r="C6373">
            <v>3006352</v>
          </cell>
          <cell r="D6373" t="str">
            <v>NÃƒO TRADUZIDO</v>
          </cell>
          <cell r="E6373" t="str">
            <v>HR</v>
          </cell>
        </row>
        <row r="6374">
          <cell r="C6374">
            <v>3006353</v>
          </cell>
          <cell r="D6374" t="str">
            <v>NÃO TRADUZIDO</v>
          </cell>
          <cell r="E6374" t="str">
            <v>SV</v>
          </cell>
        </row>
        <row r="6375">
          <cell r="C6375">
            <v>3006354</v>
          </cell>
          <cell r="D6375" t="str">
            <v>NÃO TRADUZIDO</v>
          </cell>
          <cell r="E6375" t="str">
            <v>HR</v>
          </cell>
        </row>
        <row r="6376">
          <cell r="C6376">
            <v>3006355</v>
          </cell>
          <cell r="D6376" t="str">
            <v>NÃO TRADUZIDO</v>
          </cell>
          <cell r="E6376" t="str">
            <v>SV</v>
          </cell>
        </row>
        <row r="6377">
          <cell r="C6377">
            <v>3006356</v>
          </cell>
          <cell r="D6377" t="str">
            <v>NÃO TRADUZIDO</v>
          </cell>
          <cell r="E6377" t="str">
            <v>HR</v>
          </cell>
        </row>
        <row r="6378">
          <cell r="C6378">
            <v>3006357</v>
          </cell>
          <cell r="D6378" t="str">
            <v>MEDICAL AND HEALTH</v>
          </cell>
          <cell r="E6378" t="str">
            <v>SV</v>
          </cell>
        </row>
        <row r="6379">
          <cell r="C6379">
            <v>3006358</v>
          </cell>
          <cell r="D6379" t="str">
            <v>MEDICAL AND HEALTH</v>
          </cell>
          <cell r="E6379" t="str">
            <v>HR</v>
          </cell>
        </row>
        <row r="6380">
          <cell r="C6380">
            <v>3006359</v>
          </cell>
          <cell r="D6380" t="str">
            <v>EXPLORATION SERVICES</v>
          </cell>
          <cell r="E6380" t="str">
            <v>SV</v>
          </cell>
        </row>
        <row r="6381">
          <cell r="C6381">
            <v>3006360</v>
          </cell>
          <cell r="D6381" t="str">
            <v>EXPLORATION SERVICES</v>
          </cell>
          <cell r="E6381" t="str">
            <v>HR</v>
          </cell>
        </row>
        <row r="6382">
          <cell r="C6382">
            <v>3006361</v>
          </cell>
          <cell r="D6382" t="str">
            <v>TRAINING SERVICES</v>
          </cell>
          <cell r="E6382" t="str">
            <v>SV</v>
          </cell>
        </row>
        <row r="6383">
          <cell r="C6383">
            <v>3006362</v>
          </cell>
          <cell r="D6383" t="str">
            <v>TRAINING SERVICES</v>
          </cell>
          <cell r="E6383" t="str">
            <v>HR</v>
          </cell>
        </row>
        <row r="6384">
          <cell r="C6384">
            <v>3006363</v>
          </cell>
          <cell r="D6384" t="str">
            <v>NÃO TRADUZIDO</v>
          </cell>
          <cell r="E6384" t="str">
            <v>SV</v>
          </cell>
        </row>
        <row r="6385">
          <cell r="C6385">
            <v>3006364</v>
          </cell>
          <cell r="D6385" t="str">
            <v>NÃO TRADUZIDO</v>
          </cell>
          <cell r="E6385" t="str">
            <v>SV</v>
          </cell>
        </row>
        <row r="6386">
          <cell r="C6386">
            <v>3006365</v>
          </cell>
          <cell r="D6386" t="str">
            <v>VTDCL - MATERIALS</v>
          </cell>
          <cell r="E6386" t="str">
            <v>SV</v>
          </cell>
        </row>
        <row r="6387">
          <cell r="C6387">
            <v>3006366</v>
          </cell>
          <cell r="D6387" t="str">
            <v>VTDCL - TRAVEL</v>
          </cell>
          <cell r="E6387" t="str">
            <v>SV</v>
          </cell>
        </row>
        <row r="6388">
          <cell r="C6388">
            <v>3006367</v>
          </cell>
          <cell r="D6388" t="str">
            <v>MOBILE EQUIPMENT MAINTANCE AND REPAIR</v>
          </cell>
          <cell r="E6388" t="str">
            <v>SV</v>
          </cell>
        </row>
        <row r="6389">
          <cell r="C6389">
            <v>3006368</v>
          </cell>
          <cell r="D6389" t="str">
            <v>MOBILE EQUIPMENT MAINTANCE AND REPAIR</v>
          </cell>
          <cell r="E6389" t="str">
            <v>HR</v>
          </cell>
        </row>
        <row r="6390">
          <cell r="C6390">
            <v>3006369</v>
          </cell>
          <cell r="D6390" t="str">
            <v>TIRE MAINTENANCE AND REPAIR</v>
          </cell>
          <cell r="E6390" t="str">
            <v>SV</v>
          </cell>
        </row>
        <row r="6391">
          <cell r="C6391">
            <v>3006370</v>
          </cell>
          <cell r="D6391" t="str">
            <v>TIRE MAINTENANCE AND REPAIR</v>
          </cell>
          <cell r="E6391" t="str">
            <v>HR</v>
          </cell>
        </row>
        <row r="6392">
          <cell r="C6392">
            <v>3006371</v>
          </cell>
          <cell r="D6392" t="str">
            <v>BUCKET MAINTENANCE AND REPAIR</v>
          </cell>
          <cell r="E6392" t="str">
            <v>SV</v>
          </cell>
        </row>
        <row r="6393">
          <cell r="C6393">
            <v>3006372</v>
          </cell>
          <cell r="D6393" t="str">
            <v>BUCKET MAINTENANCE AND REPAIR</v>
          </cell>
          <cell r="E6393" t="str">
            <v>HR</v>
          </cell>
        </row>
        <row r="6394">
          <cell r="C6394">
            <v>3006373</v>
          </cell>
          <cell r="D6394" t="str">
            <v>PLANT/BUILDING (ELECT/MECH/VENT/PIPING)</v>
          </cell>
          <cell r="E6394" t="str">
            <v>SV</v>
          </cell>
        </row>
        <row r="6395">
          <cell r="C6395">
            <v>3006374</v>
          </cell>
          <cell r="D6395" t="str">
            <v>PLANT/BUILDING (ELECT/MECH/VENT/PIPING)</v>
          </cell>
          <cell r="E6395" t="str">
            <v>HR</v>
          </cell>
        </row>
        <row r="6396">
          <cell r="C6396">
            <v>3006375</v>
          </cell>
          <cell r="D6396" t="str">
            <v>PLANT/BUILDING (STRUCTURAL AND CIVIL)</v>
          </cell>
          <cell r="E6396" t="str">
            <v>SV</v>
          </cell>
        </row>
        <row r="6397">
          <cell r="C6397">
            <v>3006376</v>
          </cell>
          <cell r="D6397" t="str">
            <v>PLANT/BUILDING (STRUCTURAL AND CIVIL)</v>
          </cell>
          <cell r="E6397" t="str">
            <v>HR</v>
          </cell>
        </row>
        <row r="6398">
          <cell r="C6398">
            <v>3006377</v>
          </cell>
          <cell r="D6398" t="str">
            <v>UNDERGROUND SPECIFIC SERVICES</v>
          </cell>
          <cell r="E6398" t="str">
            <v>SV</v>
          </cell>
        </row>
        <row r="6399">
          <cell r="C6399">
            <v>3006378</v>
          </cell>
          <cell r="D6399" t="str">
            <v>UNDERGROUND SPECIFIC SERVICES</v>
          </cell>
          <cell r="E6399" t="str">
            <v>HR</v>
          </cell>
        </row>
        <row r="6400">
          <cell r="C6400">
            <v>3006379</v>
          </cell>
          <cell r="D6400" t="str">
            <v>UNDERGROUND SPECIFIC SERVICES</v>
          </cell>
          <cell r="E6400" t="str">
            <v>PÉ</v>
          </cell>
        </row>
        <row r="6401">
          <cell r="C6401">
            <v>3006380</v>
          </cell>
          <cell r="D6401" t="str">
            <v>UNDERGROUND SPECIFIC SERVICES</v>
          </cell>
          <cell r="E6401" t="str">
            <v>DIA</v>
          </cell>
        </row>
        <row r="6402">
          <cell r="C6402">
            <v>3006381</v>
          </cell>
          <cell r="D6402" t="str">
            <v>UNDERGROUND SPECIFIC SERVICES</v>
          </cell>
          <cell r="E6402" t="str">
            <v>SEM</v>
          </cell>
        </row>
        <row r="6403">
          <cell r="C6403">
            <v>3006382</v>
          </cell>
          <cell r="D6403" t="str">
            <v>UNDERGROUND SPECIFIC SERVICES</v>
          </cell>
          <cell r="E6403" t="str">
            <v>MES</v>
          </cell>
        </row>
        <row r="6404">
          <cell r="C6404">
            <v>3006383</v>
          </cell>
          <cell r="D6404" t="str">
            <v>SITE SERVICES</v>
          </cell>
          <cell r="E6404" t="str">
            <v>SV</v>
          </cell>
        </row>
        <row r="6405">
          <cell r="C6405">
            <v>3006384</v>
          </cell>
          <cell r="D6405" t="str">
            <v>SITE SERVICES</v>
          </cell>
          <cell r="E6405" t="str">
            <v>HR</v>
          </cell>
        </row>
        <row r="6406">
          <cell r="C6406">
            <v>3006385</v>
          </cell>
          <cell r="D6406" t="str">
            <v>JANITORIAL, INDUSTRIAL CLEANING, VACUUM</v>
          </cell>
          <cell r="E6406" t="str">
            <v>SV</v>
          </cell>
        </row>
        <row r="6407">
          <cell r="C6407">
            <v>3006386</v>
          </cell>
          <cell r="D6407" t="str">
            <v>JANITORIAL, INDUSTRIAL CLEANING, VACUUM</v>
          </cell>
          <cell r="E6407" t="str">
            <v>HR</v>
          </cell>
        </row>
        <row r="6408">
          <cell r="C6408">
            <v>3006387</v>
          </cell>
          <cell r="D6408" t="str">
            <v>CATERING/EVENTS</v>
          </cell>
          <cell r="E6408" t="str">
            <v>SV</v>
          </cell>
        </row>
        <row r="6409">
          <cell r="C6409">
            <v>3006388</v>
          </cell>
          <cell r="D6409" t="str">
            <v>CATERING/EVENTS</v>
          </cell>
          <cell r="E6409" t="str">
            <v>HR</v>
          </cell>
        </row>
        <row r="6410">
          <cell r="C6410">
            <v>3006389</v>
          </cell>
          <cell r="D6410" t="str">
            <v>SECURITY AND SAFETY SERVICES</v>
          </cell>
          <cell r="E6410" t="str">
            <v>SV</v>
          </cell>
        </row>
        <row r="6411">
          <cell r="C6411">
            <v>3006390</v>
          </cell>
          <cell r="D6411" t="str">
            <v>SECURITY AND SAFETY SERVICES</v>
          </cell>
          <cell r="E6411" t="str">
            <v>HR</v>
          </cell>
        </row>
        <row r="6412">
          <cell r="C6412">
            <v>3006391</v>
          </cell>
          <cell r="D6412" t="str">
            <v>CONVEYOR SERVICES</v>
          </cell>
          <cell r="E6412" t="str">
            <v>SV</v>
          </cell>
        </row>
        <row r="6413">
          <cell r="C6413">
            <v>3006392</v>
          </cell>
          <cell r="D6413" t="str">
            <v>CONVEYOR SERVICES</v>
          </cell>
          <cell r="E6413" t="str">
            <v>HR</v>
          </cell>
        </row>
        <row r="6414">
          <cell r="C6414">
            <v>3006393</v>
          </cell>
          <cell r="D6414" t="str">
            <v>RENTAL SERVICES: VEHICLE LEASE/RENT</v>
          </cell>
          <cell r="E6414" t="str">
            <v>SV</v>
          </cell>
        </row>
        <row r="6415">
          <cell r="C6415">
            <v>3006394</v>
          </cell>
          <cell r="D6415" t="str">
            <v>RENTAL SERVICES: VEHICLE LEASE/RENT</v>
          </cell>
          <cell r="E6415" t="str">
            <v>HR</v>
          </cell>
        </row>
        <row r="6416">
          <cell r="C6416">
            <v>3006395</v>
          </cell>
          <cell r="D6416" t="str">
            <v>RENTAL SERVICES: VEHICLE LEASE/RENT</v>
          </cell>
          <cell r="E6416" t="str">
            <v>DIA</v>
          </cell>
        </row>
        <row r="6417">
          <cell r="C6417">
            <v>3006396</v>
          </cell>
          <cell r="D6417" t="str">
            <v>RENTAL SERVICES: VEHICLE LEASE/RENT</v>
          </cell>
          <cell r="E6417" t="str">
            <v>SEM</v>
          </cell>
        </row>
        <row r="6418">
          <cell r="C6418">
            <v>3006397</v>
          </cell>
          <cell r="D6418" t="str">
            <v>RENTAL SERVICES: VEHICLE LEASE/RENT</v>
          </cell>
          <cell r="E6418" t="str">
            <v>MES</v>
          </cell>
        </row>
        <row r="6419">
          <cell r="C6419">
            <v>3006398</v>
          </cell>
          <cell r="D6419" t="str">
            <v>RENTAL SERVICES: RESIDENTIAL RENT</v>
          </cell>
          <cell r="E6419" t="str">
            <v>SV</v>
          </cell>
        </row>
        <row r="6420">
          <cell r="C6420">
            <v>3006399</v>
          </cell>
          <cell r="D6420" t="str">
            <v>RENTAL SERVICES: RESIDENTIAL RENT</v>
          </cell>
          <cell r="E6420" t="str">
            <v>HR</v>
          </cell>
        </row>
        <row r="6421">
          <cell r="C6421">
            <v>3006400</v>
          </cell>
          <cell r="D6421" t="str">
            <v>RENTAL SERVICES: RESIDENTIAL RENT</v>
          </cell>
          <cell r="E6421" t="str">
            <v>DIA</v>
          </cell>
        </row>
        <row r="6422">
          <cell r="C6422">
            <v>3006401</v>
          </cell>
          <cell r="D6422" t="str">
            <v>RENTAL SERVICES: RESIDENTIAL RENT</v>
          </cell>
          <cell r="E6422" t="str">
            <v>SEM</v>
          </cell>
        </row>
        <row r="6423">
          <cell r="C6423">
            <v>3006402</v>
          </cell>
          <cell r="D6423" t="str">
            <v>RENTAL SERVICES: RESIDENTIAL RENT</v>
          </cell>
          <cell r="E6423" t="str">
            <v>MES</v>
          </cell>
        </row>
        <row r="6424">
          <cell r="C6424">
            <v>3006403</v>
          </cell>
          <cell r="D6424" t="str">
            <v>RENTAL SERVICES: COMMERCIAL RENT</v>
          </cell>
          <cell r="E6424" t="str">
            <v>SV</v>
          </cell>
        </row>
        <row r="6425">
          <cell r="C6425">
            <v>3006404</v>
          </cell>
          <cell r="D6425" t="str">
            <v>RENTAL SERVICES: COMMERCIAL RENT</v>
          </cell>
          <cell r="E6425" t="str">
            <v>HR</v>
          </cell>
        </row>
        <row r="6426">
          <cell r="C6426">
            <v>3006405</v>
          </cell>
          <cell r="D6426" t="str">
            <v>RENTAL SERVICES: COMMERCIAL RENT</v>
          </cell>
          <cell r="E6426" t="str">
            <v>DIA</v>
          </cell>
        </row>
        <row r="6427">
          <cell r="C6427">
            <v>3006406</v>
          </cell>
          <cell r="D6427" t="str">
            <v>RENTAL SERVICES: COMMERCIAL RENT</v>
          </cell>
          <cell r="E6427" t="str">
            <v>SEM</v>
          </cell>
        </row>
        <row r="6428">
          <cell r="C6428">
            <v>3006407</v>
          </cell>
          <cell r="D6428" t="str">
            <v>RENTAL SERVICES: COMMERCIAL RENT</v>
          </cell>
          <cell r="E6428" t="str">
            <v>MES</v>
          </cell>
        </row>
        <row r="6429">
          <cell r="C6429">
            <v>3006408</v>
          </cell>
          <cell r="D6429" t="str">
            <v>RENTAL SERVICES: EQUIPMENT RENT</v>
          </cell>
          <cell r="E6429" t="str">
            <v>SV</v>
          </cell>
        </row>
        <row r="6430">
          <cell r="C6430">
            <v>3006409</v>
          </cell>
          <cell r="D6430" t="str">
            <v>RENTAL SERVICES: EQUIPMENT RENT</v>
          </cell>
          <cell r="E6430" t="str">
            <v>HR</v>
          </cell>
        </row>
        <row r="6431">
          <cell r="C6431">
            <v>3006410</v>
          </cell>
          <cell r="D6431" t="str">
            <v>RENTAL SERVICES: EQUIPMENT RENT</v>
          </cell>
          <cell r="E6431" t="str">
            <v>DIA</v>
          </cell>
        </row>
        <row r="6432">
          <cell r="C6432">
            <v>3006411</v>
          </cell>
          <cell r="D6432" t="str">
            <v>RENTAL SERVICES: EQUIPMENT RENT</v>
          </cell>
          <cell r="E6432" t="str">
            <v>SEM</v>
          </cell>
        </row>
        <row r="6433">
          <cell r="C6433">
            <v>3006412</v>
          </cell>
          <cell r="D6433" t="str">
            <v>RENTAL SERVICES: EQUIPMENT RENT</v>
          </cell>
          <cell r="E6433" t="str">
            <v>MES</v>
          </cell>
        </row>
        <row r="6434">
          <cell r="C6434">
            <v>3006413</v>
          </cell>
          <cell r="D6434" t="str">
            <v>ENVIRONMENTAL REHABILITATION SERVICES</v>
          </cell>
          <cell r="E6434" t="str">
            <v>SV</v>
          </cell>
        </row>
        <row r="6435">
          <cell r="C6435">
            <v>3006414</v>
          </cell>
          <cell r="D6435" t="str">
            <v>ENVIRONMENTAL REHABILITATION SERVICES</v>
          </cell>
          <cell r="E6435" t="str">
            <v>HR</v>
          </cell>
        </row>
        <row r="6436">
          <cell r="C6436">
            <v>3006415</v>
          </cell>
          <cell r="D6436" t="str">
            <v>HAULAGE - WASTE MGMT/ORE/CONCENTRATE</v>
          </cell>
          <cell r="E6436" t="str">
            <v>SV</v>
          </cell>
        </row>
        <row r="6437">
          <cell r="C6437">
            <v>3006416</v>
          </cell>
          <cell r="D6437" t="str">
            <v>HAULAGE - WASTE MGMT/ORE/CONCENTRATE</v>
          </cell>
          <cell r="E6437" t="str">
            <v>HR</v>
          </cell>
        </row>
        <row r="6438">
          <cell r="C6438">
            <v>3006417</v>
          </cell>
          <cell r="D6438" t="str">
            <v>LOGISTICS AND TRANSPORTATION</v>
          </cell>
          <cell r="E6438" t="str">
            <v>SV</v>
          </cell>
        </row>
        <row r="6439">
          <cell r="C6439">
            <v>3006418</v>
          </cell>
          <cell r="D6439" t="str">
            <v>LOGISTICS AND TRANSPORTATION</v>
          </cell>
          <cell r="E6439" t="str">
            <v>HR</v>
          </cell>
        </row>
        <row r="6440">
          <cell r="C6440">
            <v>3006419</v>
          </cell>
          <cell r="D6440" t="str">
            <v>ADVISORY,CONSULTING,HR,AD,STUDIES,ADMIN</v>
          </cell>
          <cell r="E6440" t="str">
            <v>SV</v>
          </cell>
        </row>
        <row r="6441">
          <cell r="C6441">
            <v>3006420</v>
          </cell>
          <cell r="D6441" t="str">
            <v>ADVISORY,CONSULTING,HR,AD,STUDIES,ADMIN</v>
          </cell>
          <cell r="E6441" t="str">
            <v>HR</v>
          </cell>
        </row>
        <row r="6442">
          <cell r="C6442">
            <v>3006421</v>
          </cell>
          <cell r="D6442" t="str">
            <v>AUDIT,TAX,LEGAL,PRINT,INVCOUNT,ARCHITECT</v>
          </cell>
          <cell r="E6442" t="str">
            <v>SV</v>
          </cell>
        </row>
        <row r="6443">
          <cell r="C6443">
            <v>3006422</v>
          </cell>
          <cell r="D6443" t="str">
            <v>AUDIT,TAX,LEGAL,PRINT,INVCOUNT,ARCHITECT</v>
          </cell>
          <cell r="E6443" t="str">
            <v>HR</v>
          </cell>
        </row>
        <row r="6444">
          <cell r="C6444">
            <v>3006423</v>
          </cell>
          <cell r="D6444" t="str">
            <v>IT SERVICES(INCL LICENCES,MAINT,SUPPORT)</v>
          </cell>
          <cell r="E6444" t="str">
            <v>SV</v>
          </cell>
        </row>
        <row r="6445">
          <cell r="C6445">
            <v>3006424</v>
          </cell>
          <cell r="D6445" t="str">
            <v>IT SERVICES(INCL LICENCES,MAINT,SUPPORT)</v>
          </cell>
          <cell r="E6445" t="str">
            <v>HR</v>
          </cell>
        </row>
        <row r="6446">
          <cell r="C6446">
            <v>3006425</v>
          </cell>
          <cell r="D6446" t="str">
            <v>INSPECTION AND TESTING</v>
          </cell>
          <cell r="E6446" t="str">
            <v>SV</v>
          </cell>
        </row>
        <row r="6447">
          <cell r="C6447">
            <v>3006426</v>
          </cell>
          <cell r="D6447" t="str">
            <v>INSPECTION AND TESTING</v>
          </cell>
          <cell r="E6447" t="str">
            <v>HR</v>
          </cell>
        </row>
        <row r="6448">
          <cell r="C6448">
            <v>3006427</v>
          </cell>
          <cell r="D6448" t="str">
            <v>ENGINEERING ADVISORY,STUDIES,PROJECTS</v>
          </cell>
          <cell r="E6448" t="str">
            <v>SV</v>
          </cell>
        </row>
        <row r="6449">
          <cell r="C6449">
            <v>3006428</v>
          </cell>
          <cell r="D6449" t="str">
            <v>ENGINEERING ADVISORY,STUDIES,PROJECTS</v>
          </cell>
          <cell r="E6449" t="str">
            <v>HR</v>
          </cell>
        </row>
        <row r="6450">
          <cell r="C6450">
            <v>3006429</v>
          </cell>
          <cell r="D6450" t="str">
            <v>ENGINEERING REAL PROPERTY DET. DESIGN</v>
          </cell>
          <cell r="E6450" t="str">
            <v>SV</v>
          </cell>
        </row>
        <row r="6451">
          <cell r="C6451">
            <v>3006430</v>
          </cell>
          <cell r="D6451" t="str">
            <v>ENGINEERING REAL PROPERTY DET. DESIGN</v>
          </cell>
          <cell r="E6451" t="str">
            <v>HR</v>
          </cell>
        </row>
        <row r="6452">
          <cell r="C6452">
            <v>3006431</v>
          </cell>
          <cell r="D6452" t="str">
            <v>ENGINEERING TPP DETAILED DESIGN</v>
          </cell>
          <cell r="E6452" t="str">
            <v>SV</v>
          </cell>
        </row>
        <row r="6453">
          <cell r="C6453">
            <v>3006432</v>
          </cell>
          <cell r="D6453" t="str">
            <v>ENGINEERING TPP DETAILED DESIGN</v>
          </cell>
          <cell r="E6453" t="str">
            <v>HR</v>
          </cell>
        </row>
        <row r="6454">
          <cell r="C6454">
            <v>3006433</v>
          </cell>
          <cell r="D6454" t="str">
            <v>MEDICAL AND HEALTH</v>
          </cell>
          <cell r="E6454" t="str">
            <v>SV</v>
          </cell>
        </row>
        <row r="6455">
          <cell r="C6455">
            <v>3006434</v>
          </cell>
          <cell r="D6455" t="str">
            <v>MEDICAL AND HEALTH</v>
          </cell>
          <cell r="E6455" t="str">
            <v>HR</v>
          </cell>
        </row>
        <row r="6456">
          <cell r="C6456">
            <v>3006435</v>
          </cell>
          <cell r="D6456" t="str">
            <v>EXPLORATION SERVICES</v>
          </cell>
          <cell r="E6456" t="str">
            <v>SV</v>
          </cell>
        </row>
        <row r="6457">
          <cell r="C6457">
            <v>3006436</v>
          </cell>
          <cell r="D6457" t="str">
            <v>EXPLORATION SERVICES</v>
          </cell>
          <cell r="E6457" t="str">
            <v>HR</v>
          </cell>
        </row>
        <row r="6458">
          <cell r="C6458">
            <v>3006437</v>
          </cell>
          <cell r="D6458" t="str">
            <v>TRAINING SERVICES</v>
          </cell>
          <cell r="E6458" t="str">
            <v>SV</v>
          </cell>
        </row>
        <row r="6459">
          <cell r="C6459">
            <v>3006438</v>
          </cell>
          <cell r="D6459" t="str">
            <v>TRAINING SERVICES</v>
          </cell>
          <cell r="E6459" t="str">
            <v>HR</v>
          </cell>
        </row>
        <row r="6460">
          <cell r="C6460">
            <v>3006439</v>
          </cell>
          <cell r="D6460" t="str">
            <v>AQUISICAO DE DIREITOS DE BENS IMOVEIS</v>
          </cell>
          <cell r="E6460" t="str">
            <v>SV</v>
          </cell>
        </row>
        <row r="6461">
          <cell r="C6461">
            <v>3006447</v>
          </cell>
          <cell r="D6461" t="str">
            <v>EMPALMES EN FRIO</v>
          </cell>
          <cell r="E6461" t="str">
            <v>CM</v>
          </cell>
        </row>
        <row r="6462">
          <cell r="C6462">
            <v>3006448</v>
          </cell>
          <cell r="D6462" t="str">
            <v>EMPALMES EN FRIO T-2 COMPOUND</v>
          </cell>
          <cell r="E6462" t="str">
            <v>CM</v>
          </cell>
        </row>
        <row r="6463">
          <cell r="C6463">
            <v>3006449</v>
          </cell>
          <cell r="D6463" t="str">
            <v>EMPALMES EN CALIENTE</v>
          </cell>
          <cell r="E6463" t="str">
            <v>CM</v>
          </cell>
        </row>
        <row r="6464">
          <cell r="C6464">
            <v>3006450</v>
          </cell>
          <cell r="D6464" t="str">
            <v>REPARACIONES DE CINTA TRANSPORT</v>
          </cell>
          <cell r="E6464" t="str">
            <v>CM2</v>
          </cell>
        </row>
        <row r="6465">
          <cell r="C6465">
            <v>3006451</v>
          </cell>
          <cell r="D6465" t="str">
            <v>CAMBIO DE PARCHES CIERRE</v>
          </cell>
          <cell r="E6465" t="str">
            <v>CM2</v>
          </cell>
        </row>
        <row r="6466">
          <cell r="C6466">
            <v>3006452</v>
          </cell>
          <cell r="D6466" t="str">
            <v>ENGOMADO ROLOS</v>
          </cell>
          <cell r="E6466" t="str">
            <v>M2</v>
          </cell>
        </row>
        <row r="6467">
          <cell r="C6467">
            <v>3006453</v>
          </cell>
          <cell r="D6467" t="str">
            <v>REFILADO DE BANDAS</v>
          </cell>
          <cell r="E6467" t="str">
            <v>M</v>
          </cell>
        </row>
        <row r="6468">
          <cell r="C6468">
            <v>3006454</v>
          </cell>
          <cell r="D6468" t="str">
            <v>PASADO DE BANDAS</v>
          </cell>
          <cell r="E6468" t="str">
            <v>M</v>
          </cell>
        </row>
        <row r="6469">
          <cell r="C6469">
            <v>3006455</v>
          </cell>
          <cell r="D6469" t="str">
            <v>HORAS STAND BY</v>
          </cell>
          <cell r="E6469" t="str">
            <v>UN</v>
          </cell>
        </row>
        <row r="6470">
          <cell r="C6470">
            <v>3006456</v>
          </cell>
          <cell r="D6470" t="str">
            <v>EXTRACCIÓN DE CAUCHO EN TAMBORES</v>
          </cell>
          <cell r="E6470" t="str">
            <v>M2</v>
          </cell>
        </row>
        <row r="6471">
          <cell r="C6471">
            <v>3006457</v>
          </cell>
          <cell r="D6471" t="str">
            <v>ENGOMADO DE ROLOS IN-SITU</v>
          </cell>
          <cell r="E6471" t="str">
            <v>M2</v>
          </cell>
        </row>
        <row r="6472">
          <cell r="C6472">
            <v>3006458</v>
          </cell>
          <cell r="D6472" t="str">
            <v>TERMINACIÓN CON SISTEMA T2 COMPUOND</v>
          </cell>
          <cell r="E6472" t="str">
            <v>UN</v>
          </cell>
        </row>
        <row r="6473">
          <cell r="C6473">
            <v>3006459</v>
          </cell>
          <cell r="D6473" t="str">
            <v>CHEVRONADO DE ROLOS</v>
          </cell>
          <cell r="E6473" t="str">
            <v>UN</v>
          </cell>
        </row>
        <row r="6474">
          <cell r="C6474">
            <v>3006460</v>
          </cell>
          <cell r="D6474" t="str">
            <v>PREMIOS DE SEGURO</v>
          </cell>
          <cell r="E6474" t="str">
            <v>SV</v>
          </cell>
        </row>
        <row r="6475">
          <cell r="C6475">
            <v>3006467</v>
          </cell>
          <cell r="D6475" t="str">
            <v>Higiene Laboral</v>
          </cell>
          <cell r="E6475" t="str">
            <v>SV</v>
          </cell>
        </row>
        <row r="6476">
          <cell r="C6476">
            <v>3006468</v>
          </cell>
          <cell r="D6476" t="str">
            <v>PAGAMENTO DE DEMURRAGE</v>
          </cell>
          <cell r="E6476" t="str">
            <v>SV</v>
          </cell>
        </row>
        <row r="6477">
          <cell r="C6477">
            <v>3006477</v>
          </cell>
          <cell r="D6477" t="str">
            <v>CONTROL DE AUSENTISMO</v>
          </cell>
          <cell r="E6477" t="str">
            <v>UN</v>
          </cell>
        </row>
        <row r="6478">
          <cell r="C6478">
            <v>3006478</v>
          </cell>
          <cell r="D6478" t="str">
            <v>ALQUILER DE IMPRESORA</v>
          </cell>
          <cell r="E6478" t="str">
            <v>SV</v>
          </cell>
        </row>
        <row r="6479">
          <cell r="C6479">
            <v>3006479</v>
          </cell>
          <cell r="D6479" t="str">
            <v>COPIAS E IMPRESIONES COLOR</v>
          </cell>
          <cell r="E6479" t="str">
            <v>UN</v>
          </cell>
        </row>
        <row r="6480">
          <cell r="C6480">
            <v>3006480</v>
          </cell>
          <cell r="D6480" t="str">
            <v>COPIAS E IMPRESIONES B&amp;N</v>
          </cell>
          <cell r="E6480" t="str">
            <v>UN</v>
          </cell>
        </row>
        <row r="6481">
          <cell r="C6481">
            <v>3006487</v>
          </cell>
          <cell r="D6481" t="str">
            <v>SUPORTE TECNICO EM INFORMATICA</v>
          </cell>
          <cell r="E6481" t="str">
            <v>SV</v>
          </cell>
        </row>
        <row r="6482">
          <cell r="C6482">
            <v>3006488</v>
          </cell>
          <cell r="D6482" t="str">
            <v>SUPERVISAO</v>
          </cell>
          <cell r="E6482" t="str">
            <v>UN</v>
          </cell>
        </row>
        <row r="6483">
          <cell r="C6483">
            <v>3006489</v>
          </cell>
          <cell r="D6483" t="str">
            <v>OPERACAO ASSISTIDA</v>
          </cell>
          <cell r="E6483" t="str">
            <v>UN</v>
          </cell>
        </row>
        <row r="6484">
          <cell r="C6484">
            <v>3006490</v>
          </cell>
          <cell r="D6484" t="str">
            <v>TREINAMENTO</v>
          </cell>
          <cell r="E6484" t="str">
            <v>UN</v>
          </cell>
        </row>
        <row r="6485">
          <cell r="C6485">
            <v>3006491</v>
          </cell>
          <cell r="D6485" t="str">
            <v>SERVICOS GRAFICOS</v>
          </cell>
          <cell r="E6485" t="str">
            <v>UN</v>
          </cell>
        </row>
        <row r="6486">
          <cell r="C6486">
            <v>3006492</v>
          </cell>
          <cell r="D6486" t="str">
            <v>TRANSPORTE DE PASSAGEIROS</v>
          </cell>
          <cell r="E6486" t="str">
            <v>SV</v>
          </cell>
        </row>
        <row r="6487">
          <cell r="C6487">
            <v>3006493</v>
          </cell>
          <cell r="D6487" t="str">
            <v>AQUISICAO TERRENOS</v>
          </cell>
          <cell r="E6487" t="str">
            <v>SV</v>
          </cell>
        </row>
        <row r="6488">
          <cell r="C6488">
            <v>3006497</v>
          </cell>
          <cell r="D6488" t="str">
            <v>SUPORTE TECNICO EM INFORMATICA</v>
          </cell>
          <cell r="E6488" t="str">
            <v>SV</v>
          </cell>
        </row>
        <row r="6489">
          <cell r="C6489">
            <v>3006498</v>
          </cell>
          <cell r="D6489" t="str">
            <v>SUPORTE TECNICO EM INFORMATICA</v>
          </cell>
          <cell r="E6489" t="str">
            <v>SV</v>
          </cell>
        </row>
        <row r="6490">
          <cell r="C6490">
            <v>3006499</v>
          </cell>
          <cell r="D6490" t="str">
            <v>SUPORTE TECNICO EM INFORMATICA</v>
          </cell>
          <cell r="E6490" t="str">
            <v>SV</v>
          </cell>
        </row>
        <row r="6491">
          <cell r="C6491">
            <v>3006507</v>
          </cell>
          <cell r="D6491" t="str">
            <v>SERVICIO DE CONSULTORÍA MEDICA LABORAL</v>
          </cell>
          <cell r="E6491" t="str">
            <v>SV</v>
          </cell>
        </row>
        <row r="6492">
          <cell r="C6492">
            <v>3006508</v>
          </cell>
          <cell r="D6492" t="str">
            <v>REPARACION DE VARIADORES</v>
          </cell>
          <cell r="E6492" t="str">
            <v>UN</v>
          </cell>
        </row>
        <row r="6493">
          <cell r="C6493">
            <v>3006517</v>
          </cell>
          <cell r="D6493" t="str">
            <v>SERVICOS DE MOVIMENTACAO INTERNA</v>
          </cell>
          <cell r="E6493" t="str">
            <v>M3</v>
          </cell>
        </row>
        <row r="6494">
          <cell r="C6494">
            <v>3006527</v>
          </cell>
          <cell r="D6494" t="str">
            <v>SONDAGEM-PERFUR-P/OBRA CIVIL-METR CUBIC</v>
          </cell>
          <cell r="E6494" t="str">
            <v>M3</v>
          </cell>
        </row>
        <row r="6495">
          <cell r="C6495">
            <v>3006537</v>
          </cell>
          <cell r="D6495" t="str">
            <v>PREMIOS DE SEGURO</v>
          </cell>
          <cell r="E6495" t="str">
            <v>SV</v>
          </cell>
        </row>
        <row r="6496">
          <cell r="C6496">
            <v>3006538</v>
          </cell>
          <cell r="D6496" t="str">
            <v>AGENCIA,CORRETAG CAMBIO,SEGURO,CART CRED</v>
          </cell>
          <cell r="E6496" t="str">
            <v>SV</v>
          </cell>
        </row>
        <row r="6497">
          <cell r="C6497">
            <v>3006539</v>
          </cell>
          <cell r="D6497" t="str">
            <v>PARTILHA DE FRETE</v>
          </cell>
          <cell r="E6497" t="str">
            <v>M</v>
          </cell>
        </row>
        <row r="6498">
          <cell r="C6498">
            <v>3006540</v>
          </cell>
          <cell r="D6498" t="str">
            <v>TRAFEGO MUTUO</v>
          </cell>
          <cell r="E6498" t="str">
            <v>M</v>
          </cell>
        </row>
        <row r="6499">
          <cell r="C6499">
            <v>3006547</v>
          </cell>
          <cell r="D6499" t="str">
            <v>MULTA CONTRATUAL TELEFONIA</v>
          </cell>
          <cell r="E6499" t="str">
            <v>UN</v>
          </cell>
        </row>
        <row r="6500">
          <cell r="C6500">
            <v>3006557</v>
          </cell>
          <cell r="D6500" t="str">
            <v>FABRICACIÓN DE CINTA TRANSPORTADORA</v>
          </cell>
          <cell r="E6500" t="str">
            <v>UN</v>
          </cell>
        </row>
        <row r="6501">
          <cell r="C6501">
            <v>3006567</v>
          </cell>
          <cell r="D6501" t="str">
            <v>LOCACAO/ARRENDAMENTO DE IMOVEIS</v>
          </cell>
          <cell r="E6501" t="str">
            <v>SV</v>
          </cell>
        </row>
        <row r="6502">
          <cell r="C6502">
            <v>3006568</v>
          </cell>
          <cell r="D6502" t="str">
            <v>DIREITOS MINERARIOS</v>
          </cell>
          <cell r="E6502" t="str">
            <v>UN</v>
          </cell>
        </row>
        <row r="6503">
          <cell r="C6503">
            <v>3006569</v>
          </cell>
          <cell r="D6503" t="str">
            <v>PARTICIPACOES SOCIETARIAS</v>
          </cell>
          <cell r="E6503" t="str">
            <v>UN</v>
          </cell>
        </row>
        <row r="6504">
          <cell r="C6504">
            <v>3006577</v>
          </cell>
          <cell r="D6504" t="str">
            <v>MULTA CONTRATUAL</v>
          </cell>
          <cell r="E6504" t="str">
            <v>SV</v>
          </cell>
        </row>
        <row r="6505">
          <cell r="C6505">
            <v>3006587</v>
          </cell>
          <cell r="D6505" t="str">
            <v>DEMAIS SERVICOS DE CONSTRUCAO CIVIL</v>
          </cell>
          <cell r="E6505" t="str">
            <v>SV</v>
          </cell>
        </row>
        <row r="6506">
          <cell r="C6506">
            <v>3006588</v>
          </cell>
          <cell r="D6506" t="str">
            <v>LOC D VEICULOS,BENS MOVEIS S CESSAO MDO</v>
          </cell>
          <cell r="E6506" t="str">
            <v>SV</v>
          </cell>
        </row>
        <row r="6507">
          <cell r="C6507">
            <v>3006589</v>
          </cell>
          <cell r="D6507" t="str">
            <v>DEMOLICAO,DESMONTE D ROCHA- S CESSAO MDO</v>
          </cell>
          <cell r="E6507" t="str">
            <v>SV</v>
          </cell>
        </row>
        <row r="6508">
          <cell r="C6508">
            <v>3006590</v>
          </cell>
          <cell r="D6508" t="str">
            <v>MOV,CARGA,DESCARGA,ARRUM-S CESSAO MDO.</v>
          </cell>
          <cell r="E6508" t="str">
            <v>SV</v>
          </cell>
        </row>
        <row r="6509">
          <cell r="C6509">
            <v>3006591</v>
          </cell>
          <cell r="D6509" t="str">
            <v>ENG,ARQUIT,URB,PAISAG-S CESSAO MDO.</v>
          </cell>
          <cell r="E6509" t="str">
            <v>SV</v>
          </cell>
        </row>
        <row r="6510">
          <cell r="C6510">
            <v>3006592</v>
          </cell>
          <cell r="D6510" t="str">
            <v>INSTAL,MONT,MAQS,EQUIP-S CESSAO MDO</v>
          </cell>
          <cell r="E6510" t="str">
            <v>SV</v>
          </cell>
        </row>
        <row r="6511">
          <cell r="C6511">
            <v>3006593</v>
          </cell>
          <cell r="D6511" t="str">
            <v>TRANSPORTE DE PASSAGEIROS S CESSAO MDO</v>
          </cell>
          <cell r="E6511" t="str">
            <v>SV</v>
          </cell>
        </row>
        <row r="6512">
          <cell r="C6512">
            <v>3006594</v>
          </cell>
          <cell r="D6512" t="str">
            <v>TRANSPORTE DE PASSAGEIROS S CESSAO MDO</v>
          </cell>
          <cell r="E6512" t="str">
            <v>SV</v>
          </cell>
        </row>
        <row r="6513">
          <cell r="C6513">
            <v>3006595</v>
          </cell>
          <cell r="D6513" t="str">
            <v>SERVICO DE TAXI</v>
          </cell>
          <cell r="E6513" t="str">
            <v>SV</v>
          </cell>
        </row>
        <row r="6514">
          <cell r="C6514">
            <v>3006596</v>
          </cell>
          <cell r="D6514" t="str">
            <v>STC-ON-URB-S/AR-S/RET-ADM-HAB-KM-INTRA</v>
          </cell>
          <cell r="E6514" t="str">
            <v>SV</v>
          </cell>
        </row>
        <row r="6515">
          <cell r="C6515">
            <v>3006597</v>
          </cell>
          <cell r="D6515" t="str">
            <v>STC-MICRO-ROD-C/AR-OPE-EV/EX-INTRA</v>
          </cell>
          <cell r="E6515" t="str">
            <v>SV</v>
          </cell>
        </row>
        <row r="6516">
          <cell r="C6516">
            <v>3006598</v>
          </cell>
          <cell r="D6516" t="str">
            <v>ENFERMAGEM, INCLUSIVE SRV AUXILIARES</v>
          </cell>
          <cell r="E6516" t="str">
            <v>SV</v>
          </cell>
        </row>
        <row r="6517">
          <cell r="C6517">
            <v>3006599</v>
          </cell>
          <cell r="D6517" t="str">
            <v>STC-MICRO-ROD-S/AR-ADM-EV/EX-KM-INTRA</v>
          </cell>
          <cell r="E6517" t="str">
            <v>SV</v>
          </cell>
        </row>
        <row r="6518">
          <cell r="C6518">
            <v>3006600</v>
          </cell>
          <cell r="D6518" t="str">
            <v>BANCO DE SANGUE,PELE E CONG S CESSAO MDO</v>
          </cell>
          <cell r="E6518" t="str">
            <v>SV</v>
          </cell>
        </row>
        <row r="6519">
          <cell r="C6519">
            <v>3006601</v>
          </cell>
          <cell r="D6519" t="str">
            <v>ENG,ARQUIT,URB,PAISAG-S CESSAO MDO.</v>
          </cell>
          <cell r="E6519" t="str">
            <v>SV</v>
          </cell>
        </row>
        <row r="6520">
          <cell r="C6520">
            <v>3006602</v>
          </cell>
          <cell r="D6520" t="str">
            <v>STC-ON-MIS-C/AR-C/RET-TUR-HAB-KM-INTRA</v>
          </cell>
          <cell r="E6520" t="str">
            <v>SV</v>
          </cell>
        </row>
        <row r="6521">
          <cell r="C6521">
            <v>3006603</v>
          </cell>
          <cell r="D6521" t="str">
            <v>STC-ON-MIS-C/AR-S/RET-ADM-EV/EX-INTRA</v>
          </cell>
          <cell r="E6521" t="str">
            <v>SV</v>
          </cell>
        </row>
        <row r="6522">
          <cell r="C6522">
            <v>3006604</v>
          </cell>
          <cell r="D6522" t="str">
            <v>FORJ,FUND,SERRALH,VULC,USIN S CESSAO MDO</v>
          </cell>
          <cell r="E6522" t="str">
            <v>SV</v>
          </cell>
        </row>
        <row r="6523">
          <cell r="C6523">
            <v>3006605</v>
          </cell>
          <cell r="D6523" t="str">
            <v>STC-ON-MIS-C/AR-S/RET-TUR-EV/EX-KM-INTRA</v>
          </cell>
          <cell r="E6523" t="str">
            <v>SV</v>
          </cell>
        </row>
        <row r="6524">
          <cell r="C6524">
            <v>3006606</v>
          </cell>
          <cell r="D6524" t="str">
            <v>PERICIA;LAUDO;EXAMES;ANALISE TECNICA</v>
          </cell>
          <cell r="E6524" t="str">
            <v>SV</v>
          </cell>
        </row>
        <row r="6525">
          <cell r="C6525">
            <v>3006607</v>
          </cell>
          <cell r="D6525" t="str">
            <v>ASSESS E CONSULT EM INF - S CESSAO MDO</v>
          </cell>
          <cell r="E6525" t="str">
            <v>SV</v>
          </cell>
        </row>
        <row r="6526">
          <cell r="C6526">
            <v>3006608</v>
          </cell>
          <cell r="D6526" t="str">
            <v>STC-ON-MIS-C/AR-C/RET-ADM-EV/EX-INTRA</v>
          </cell>
          <cell r="E6526" t="str">
            <v>SV</v>
          </cell>
        </row>
        <row r="6527">
          <cell r="C6527">
            <v>3006609</v>
          </cell>
          <cell r="D6527" t="str">
            <v>MANUT CONSERV MAQS,APARELHO;S CESSAO MDO</v>
          </cell>
          <cell r="E6527" t="str">
            <v>SV</v>
          </cell>
        </row>
        <row r="6528">
          <cell r="C6528">
            <v>3006610</v>
          </cell>
          <cell r="D6528" t="str">
            <v>STC-ON-OFF-C/AR-C/RET-OPE-EV/EX-KM-INTRA</v>
          </cell>
          <cell r="E6528" t="str">
            <v>SV</v>
          </cell>
        </row>
        <row r="6529">
          <cell r="C6529">
            <v>3006611</v>
          </cell>
          <cell r="D6529" t="str">
            <v>DEMAIS SERVICOS DE CONSTRUCAO CIVIL</v>
          </cell>
          <cell r="E6529" t="str">
            <v>SV</v>
          </cell>
        </row>
        <row r="6530">
          <cell r="C6530">
            <v>3006612</v>
          </cell>
          <cell r="D6530" t="str">
            <v>CONSTRUCAO OBRA PLANTAS INDUSTR GRANDE P</v>
          </cell>
          <cell r="E6530" t="str">
            <v>SV</v>
          </cell>
        </row>
        <row r="6531">
          <cell r="C6531">
            <v>3006613</v>
          </cell>
          <cell r="D6531" t="str">
            <v>MOV,CARGA,DESCARGA,ARRUM-S CESSAO MDO.</v>
          </cell>
          <cell r="E6531" t="str">
            <v>SV</v>
          </cell>
        </row>
        <row r="6532">
          <cell r="C6532">
            <v>3006614</v>
          </cell>
          <cell r="D6532" t="str">
            <v>STC-ON-OFF-S/AR-C/RET-ADM-HAB-KM-INTRA</v>
          </cell>
          <cell r="E6532" t="str">
            <v>SV</v>
          </cell>
        </row>
        <row r="6533">
          <cell r="C6533">
            <v>3006615</v>
          </cell>
          <cell r="D6533" t="str">
            <v>STC-ON-OFF-S/AR-C/RET-OPE-HAB-KM-INTRA</v>
          </cell>
          <cell r="E6533" t="str">
            <v>SV</v>
          </cell>
        </row>
        <row r="6534">
          <cell r="C6534">
            <v>3006616</v>
          </cell>
          <cell r="D6534" t="str">
            <v>ESPETACULOS TEATRAIS</v>
          </cell>
          <cell r="E6534" t="str">
            <v>SV</v>
          </cell>
        </row>
        <row r="6535">
          <cell r="C6535">
            <v>3006617</v>
          </cell>
          <cell r="D6535" t="str">
            <v>MOV,CARGA,DESCARGA,ARRUM-S CESSAO MDO.</v>
          </cell>
          <cell r="E6535" t="str">
            <v>SV</v>
          </cell>
        </row>
        <row r="6536">
          <cell r="C6536">
            <v>3006618</v>
          </cell>
          <cell r="D6536" t="str">
            <v>REP D MAQ,PC,MOTORES E CONG S CESSAO MDO</v>
          </cell>
          <cell r="E6536" t="str">
            <v>SV</v>
          </cell>
        </row>
        <row r="6537">
          <cell r="C6537">
            <v>3006619</v>
          </cell>
          <cell r="D6537" t="str">
            <v>CASAS DE REPOUSO E CONG S CESSAO MDO</v>
          </cell>
          <cell r="E6537" t="str">
            <v>SV</v>
          </cell>
        </row>
        <row r="6538">
          <cell r="C6538">
            <v>3006620</v>
          </cell>
          <cell r="D6538" t="str">
            <v>STC-ON-MIS-S/AR-S/RET-TUR-HAB-INTRA</v>
          </cell>
          <cell r="E6538" t="str">
            <v>SV</v>
          </cell>
        </row>
        <row r="6539">
          <cell r="C6539">
            <v>3006621</v>
          </cell>
          <cell r="D6539" t="str">
            <v>STC-ON-OFF-C/AR-C/RET-ADM-EV/EX-INTRA</v>
          </cell>
          <cell r="E6539" t="str">
            <v>SV</v>
          </cell>
        </row>
        <row r="6540">
          <cell r="C6540">
            <v>3006622</v>
          </cell>
          <cell r="D6540" t="str">
            <v>COMPO HIDRAUL E PNEUM - TUBUL PNEUMATICA</v>
          </cell>
          <cell r="E6540" t="str">
            <v>SV</v>
          </cell>
        </row>
        <row r="6541">
          <cell r="C6541">
            <v>3006623</v>
          </cell>
          <cell r="D6541" t="str">
            <v>STC-ON-OFF-C/AR-C/RET-OPE-HAB-KM-INTRA</v>
          </cell>
          <cell r="E6541" t="str">
            <v>SV</v>
          </cell>
        </row>
        <row r="6542">
          <cell r="C6542">
            <v>3006624</v>
          </cell>
          <cell r="D6542" t="str">
            <v>CONSTRUCAO OBRA PLANTAS INDUSTR PORTE P</v>
          </cell>
          <cell r="E6542" t="str">
            <v>SV</v>
          </cell>
        </row>
        <row r="6543">
          <cell r="C6543">
            <v>3006625</v>
          </cell>
          <cell r="D6543" t="str">
            <v>MOV,CARGA,DESCARGA,ARRUM-S CESSAO MDO.</v>
          </cell>
          <cell r="E6543" t="str">
            <v>SV</v>
          </cell>
        </row>
        <row r="6544">
          <cell r="C6544">
            <v>3006626</v>
          </cell>
          <cell r="D6544" t="str">
            <v>MOV,CARGA,DESCARGA,ARRUM-S CESSAO MDO.</v>
          </cell>
          <cell r="E6544" t="str">
            <v>SV</v>
          </cell>
        </row>
        <row r="6545">
          <cell r="C6545">
            <v>3006627</v>
          </cell>
          <cell r="D6545" t="str">
            <v>STC-ON-OFF-C/AR-C/RET-TUR-EV/EX-KM-INTRA</v>
          </cell>
          <cell r="E6545" t="str">
            <v>SV</v>
          </cell>
        </row>
        <row r="6546">
          <cell r="C6546">
            <v>3006628</v>
          </cell>
          <cell r="D6546" t="str">
            <v>STC-ON-OFF-C/AR-C/RET-TUR-HAB-KM-INTRA</v>
          </cell>
          <cell r="E6546" t="str">
            <v>SV</v>
          </cell>
        </row>
        <row r="6547">
          <cell r="C6547">
            <v>3006629</v>
          </cell>
          <cell r="D6547" t="str">
            <v>DEMAIS SERVICOS DE CONSTRUCAO CIVIL</v>
          </cell>
          <cell r="E6547" t="str">
            <v>SV</v>
          </cell>
        </row>
        <row r="6548">
          <cell r="C6548">
            <v>3006630</v>
          </cell>
          <cell r="D6548" t="str">
            <v>STC-ON-OFF-C/AR-S/RET-TUR-EV/EX-KM-INTRA</v>
          </cell>
          <cell r="E6548" t="str">
            <v>SV</v>
          </cell>
        </row>
        <row r="6549">
          <cell r="C6549">
            <v>3006631</v>
          </cell>
          <cell r="D6549" t="str">
            <v>STC-ON-ROD-C/AR-S/RET-TUR-HAB-KM-INTRA</v>
          </cell>
          <cell r="E6549" t="str">
            <v>SV</v>
          </cell>
        </row>
        <row r="6550">
          <cell r="C6550">
            <v>3006632</v>
          </cell>
          <cell r="D6550" t="str">
            <v>INSTAL,MONT,MAQS,EQUIP-S CESSAO MDO</v>
          </cell>
          <cell r="E6550" t="str">
            <v>SV</v>
          </cell>
        </row>
        <row r="6551">
          <cell r="C6551">
            <v>3006633</v>
          </cell>
          <cell r="D6551" t="str">
            <v>STC-ON-ROD-S/AR-C/RET-TUR-EV/EX-INTRA</v>
          </cell>
          <cell r="E6551" t="str">
            <v>SV</v>
          </cell>
        </row>
        <row r="6552">
          <cell r="C6552">
            <v>3006634</v>
          </cell>
          <cell r="D6552" t="str">
            <v>ANALISE E DESENV DE SISTS - S CESSAO MDO</v>
          </cell>
          <cell r="E6552" t="str">
            <v>SV</v>
          </cell>
        </row>
        <row r="6553">
          <cell r="C6553">
            <v>3006635</v>
          </cell>
          <cell r="D6553" t="str">
            <v>STC-ON-ROD-S/AR-S/RET-TUR-EV/EX-KM-INTRA</v>
          </cell>
          <cell r="E6553" t="str">
            <v>SV</v>
          </cell>
        </row>
        <row r="6554">
          <cell r="C6554">
            <v>3006636</v>
          </cell>
          <cell r="D6554" t="str">
            <v>MANUT E CONSERV DE JAZIGOS E CEMITERIOS</v>
          </cell>
          <cell r="E6554" t="str">
            <v>SV</v>
          </cell>
        </row>
        <row r="6555">
          <cell r="C6555">
            <v>3006637</v>
          </cell>
          <cell r="D6555" t="str">
            <v>DEDETIZACAO,DESINFEC,CONG S CESSAO MDO</v>
          </cell>
          <cell r="E6555" t="str">
            <v>SV</v>
          </cell>
        </row>
        <row r="6556">
          <cell r="C6556">
            <v>3006638</v>
          </cell>
          <cell r="D6556" t="str">
            <v>EXIBICOES CINEMATOGRAFICAS</v>
          </cell>
          <cell r="E6556" t="str">
            <v>SV</v>
          </cell>
        </row>
        <row r="6557">
          <cell r="C6557">
            <v>3006639</v>
          </cell>
          <cell r="D6557" t="str">
            <v>PROGRAMAS DE AUDITORIO</v>
          </cell>
          <cell r="E6557" t="str">
            <v>SV</v>
          </cell>
        </row>
        <row r="6558">
          <cell r="C6558">
            <v>3006640</v>
          </cell>
          <cell r="D6558" t="str">
            <v>COLOCACAO DE MOLDURAS E CONGENERES</v>
          </cell>
          <cell r="E6558" t="str">
            <v>SV</v>
          </cell>
        </row>
        <row r="6559">
          <cell r="C6559">
            <v>3006641</v>
          </cell>
          <cell r="D6559" t="str">
            <v>PARQUES D DIVERSOES,CENTROS D LAZER,CONG</v>
          </cell>
          <cell r="E6559" t="str">
            <v>SV</v>
          </cell>
        </row>
        <row r="6560">
          <cell r="C6560">
            <v>3006642</v>
          </cell>
          <cell r="D6560" t="str">
            <v>STC-ON-ROD-C/AR-C/RET-ADM-EV/EX-KM-INTRA</v>
          </cell>
          <cell r="E6560" t="str">
            <v>SV</v>
          </cell>
        </row>
        <row r="6561">
          <cell r="C6561">
            <v>3006643</v>
          </cell>
          <cell r="D6561" t="str">
            <v>STC-ON-ROD-C/AR-C/RET-TUR-HAB-KM-INTRA</v>
          </cell>
          <cell r="E6561" t="str">
            <v>SV</v>
          </cell>
        </row>
        <row r="6562">
          <cell r="C6562">
            <v>3006644</v>
          </cell>
          <cell r="D6562" t="str">
            <v>BOATES, TAXI-DANCING E CONGENERES</v>
          </cell>
          <cell r="E6562" t="str">
            <v>SV</v>
          </cell>
        </row>
        <row r="6563">
          <cell r="C6563">
            <v>3006645</v>
          </cell>
          <cell r="D6563" t="str">
            <v>STC-ON-ROD-C/AR-S/RET-TUR-HAB-INTRA</v>
          </cell>
          <cell r="E6563" t="str">
            <v>SV</v>
          </cell>
        </row>
        <row r="6564">
          <cell r="C6564">
            <v>3006646</v>
          </cell>
          <cell r="D6564" t="str">
            <v>STC-ON-ROD-S/AR-C/RET-TUR-EV/EX-KM-INTRA</v>
          </cell>
          <cell r="E6564" t="str">
            <v>SV</v>
          </cell>
        </row>
        <row r="6565">
          <cell r="C6565">
            <v>3006647</v>
          </cell>
          <cell r="D6565" t="str">
            <v>STC-ON-ROD-S/AR-C/RET-TUR-HAB-INTRA</v>
          </cell>
          <cell r="E6565" t="str">
            <v>SV</v>
          </cell>
        </row>
        <row r="6566">
          <cell r="C6566">
            <v>3006648</v>
          </cell>
          <cell r="D6566" t="str">
            <v>STC-ON-ROD-S/AR-S/RET-OPE-HAB-INTRA</v>
          </cell>
          <cell r="E6566" t="str">
            <v>SV</v>
          </cell>
        </row>
        <row r="6567">
          <cell r="C6567">
            <v>3006649</v>
          </cell>
          <cell r="D6567" t="str">
            <v>DATILOGRAF,INFRA ADM E CONG S CESSAO MDO</v>
          </cell>
          <cell r="E6567" t="str">
            <v>SV</v>
          </cell>
        </row>
        <row r="6568">
          <cell r="C6568">
            <v>3006650</v>
          </cell>
          <cell r="D6568" t="str">
            <v>SRV PORTUARIO,LOGIST CONG-S CESSAO MDO</v>
          </cell>
          <cell r="E6568" t="str">
            <v>SV</v>
          </cell>
        </row>
        <row r="6569">
          <cell r="C6569">
            <v>3006651</v>
          </cell>
          <cell r="D6569" t="str">
            <v>ENG,ARQUIT,URB,PAISAG-S CESSAO MDO.</v>
          </cell>
          <cell r="E6569" t="str">
            <v>SV</v>
          </cell>
        </row>
        <row r="6570">
          <cell r="C6570">
            <v>3006652</v>
          </cell>
          <cell r="D6570" t="str">
            <v>STC-ON-URB-C/AR-C/RET-TUR-EV/EX-INTRA</v>
          </cell>
          <cell r="E6570" t="str">
            <v>SV</v>
          </cell>
        </row>
        <row r="6571">
          <cell r="C6571">
            <v>3006653</v>
          </cell>
          <cell r="D6571" t="str">
            <v>ENGENHARIA BASICA</v>
          </cell>
          <cell r="E6571" t="str">
            <v>SV</v>
          </cell>
        </row>
        <row r="6572">
          <cell r="C6572">
            <v>3006654</v>
          </cell>
          <cell r="D6572" t="str">
            <v>STC-ON-URB-C/AR-C/RET-TUR-HAB-INTRA</v>
          </cell>
          <cell r="E6572" t="str">
            <v>SV</v>
          </cell>
        </row>
        <row r="6573">
          <cell r="C6573">
            <v>3006655</v>
          </cell>
          <cell r="D6573" t="str">
            <v>STC-ON-URB-C/AR-S/RET-OPE-HAB-KM-INTRA</v>
          </cell>
          <cell r="E6573" t="str">
            <v>SV</v>
          </cell>
        </row>
        <row r="6574">
          <cell r="C6574">
            <v>3006656</v>
          </cell>
          <cell r="D6574" t="str">
            <v>STC-ON-URB-C/AR-S/RET-TUR-EV/EX-INTRA</v>
          </cell>
          <cell r="E6574" t="str">
            <v>SV</v>
          </cell>
        </row>
        <row r="6575">
          <cell r="C6575">
            <v>3006657</v>
          </cell>
          <cell r="D6575" t="str">
            <v>STC-ON-URB-S/AR-C/RET-ADM-HAB-KM-INTRA</v>
          </cell>
          <cell r="E6575" t="str">
            <v>SV</v>
          </cell>
        </row>
        <row r="6576">
          <cell r="C6576">
            <v>3006658</v>
          </cell>
          <cell r="D6576" t="str">
            <v>BILHAR,BOLICH,DIVERSOES ELETRS OU NAO</v>
          </cell>
          <cell r="E6576" t="str">
            <v>SV</v>
          </cell>
        </row>
        <row r="6577">
          <cell r="C6577">
            <v>3006659</v>
          </cell>
          <cell r="D6577" t="str">
            <v>STC-ON-URB-S/AR-C/RET-OPE-EV/EX-INTRA</v>
          </cell>
          <cell r="E6577" t="str">
            <v>SV</v>
          </cell>
        </row>
        <row r="6578">
          <cell r="C6578">
            <v>3006660</v>
          </cell>
          <cell r="D6578" t="str">
            <v>SUP TECNICO EM INFORMATICA-S CESSAO MDO</v>
          </cell>
          <cell r="E6578" t="str">
            <v>SV</v>
          </cell>
        </row>
        <row r="6579">
          <cell r="C6579">
            <v>3006661</v>
          </cell>
          <cell r="D6579" t="str">
            <v>COMPET ESPORT,DE DESTREZA FIS OU INTELEC</v>
          </cell>
          <cell r="E6579" t="str">
            <v>SV</v>
          </cell>
        </row>
        <row r="6580">
          <cell r="C6580">
            <v>3006662</v>
          </cell>
          <cell r="D6580" t="str">
            <v>SW DESENVOLV E CUSTOMIZACAO - NET</v>
          </cell>
          <cell r="E6580" t="str">
            <v>SV</v>
          </cell>
        </row>
        <row r="6581">
          <cell r="C6581">
            <v>3006663</v>
          </cell>
          <cell r="D6581" t="str">
            <v>EXECUCAO DE MUSICA</v>
          </cell>
          <cell r="E6581" t="str">
            <v>SV</v>
          </cell>
        </row>
        <row r="6582">
          <cell r="C6582">
            <v>3006664</v>
          </cell>
          <cell r="D6582" t="str">
            <v>MANUT CONSERV MAQS,APARELHO;S CESSAO MDO</v>
          </cell>
          <cell r="E6582" t="str">
            <v>SV</v>
          </cell>
        </row>
        <row r="6583">
          <cell r="C6583">
            <v>3006665</v>
          </cell>
          <cell r="D6583" t="str">
            <v>MANUT CONSERV MAQS,APARELHO;S CESSAO MDO</v>
          </cell>
          <cell r="E6583" t="str">
            <v>SV</v>
          </cell>
        </row>
        <row r="6584">
          <cell r="C6584">
            <v>3006666</v>
          </cell>
          <cell r="D6584" t="str">
            <v>SRV CONSTR EDIFICIOS COMERCIAIS PORTE G</v>
          </cell>
          <cell r="E6584" t="str">
            <v>SV</v>
          </cell>
        </row>
        <row r="6585">
          <cell r="C6585">
            <v>3006667</v>
          </cell>
          <cell r="D6585" t="str">
            <v>FRETAMENTO DE VEICULOS COM OPERACAO</v>
          </cell>
          <cell r="E6585" t="str">
            <v>SV</v>
          </cell>
        </row>
        <row r="6586">
          <cell r="C6586">
            <v>3006668</v>
          </cell>
          <cell r="D6586" t="str">
            <v>STC-VAN-OPE-EV/EX-KM-INTRA</v>
          </cell>
          <cell r="E6586" t="str">
            <v>SV</v>
          </cell>
        </row>
        <row r="6587">
          <cell r="C6587">
            <v>3006669</v>
          </cell>
          <cell r="D6587" t="str">
            <v>PRE-ESCOLAR- SEM CESSAO DE MAO DE OBRA</v>
          </cell>
          <cell r="E6587" t="str">
            <v>SV</v>
          </cell>
        </row>
        <row r="6588">
          <cell r="C6588">
            <v>3006670</v>
          </cell>
          <cell r="D6588" t="str">
            <v>STC-VAN-OPE-HAB-INTRA</v>
          </cell>
          <cell r="E6588" t="str">
            <v>SV</v>
          </cell>
        </row>
        <row r="6589">
          <cell r="C6589">
            <v>3006671</v>
          </cell>
          <cell r="D6589" t="str">
            <v>SUPERIOR- SEM CESSAO DE MAO DE OBRA</v>
          </cell>
          <cell r="E6589" t="str">
            <v>SV</v>
          </cell>
        </row>
        <row r="6590">
          <cell r="C6590">
            <v>3006672</v>
          </cell>
          <cell r="D6590" t="str">
            <v>GUARD VEIC TER AUTO,AER,EMB S CESSAO MDO</v>
          </cell>
          <cell r="E6590" t="str">
            <v>SV</v>
          </cell>
        </row>
        <row r="6591">
          <cell r="C6591">
            <v>3006673</v>
          </cell>
          <cell r="D6591" t="str">
            <v>ELAB PROGR COMPUTADOR, INCLUS JOGOS ELET</v>
          </cell>
          <cell r="E6591" t="str">
            <v>SV</v>
          </cell>
        </row>
        <row r="6592">
          <cell r="C6592">
            <v>3006674</v>
          </cell>
          <cell r="D6592" t="str">
            <v>PROGRAMACAO- SEM CESSAO DE MAO DE OBRA</v>
          </cell>
          <cell r="E6592" t="str">
            <v>SV</v>
          </cell>
        </row>
        <row r="6593">
          <cell r="C6593">
            <v>3006675</v>
          </cell>
          <cell r="D6593" t="str">
            <v>HOSPEDAGEM DE QLQ NATUREZA S CESSAO MDO</v>
          </cell>
          <cell r="E6593" t="str">
            <v>SV</v>
          </cell>
        </row>
        <row r="6594">
          <cell r="C6594">
            <v>3006676</v>
          </cell>
          <cell r="D6594" t="str">
            <v>PROPAGANDA E PUBLICIDADE - S CESSAO MDO</v>
          </cell>
          <cell r="E6594" t="str">
            <v>SV</v>
          </cell>
        </row>
        <row r="6595">
          <cell r="C6595">
            <v>3006677</v>
          </cell>
          <cell r="D6595" t="str">
            <v>FEIRAS,EXPOSICOES,CONGRESSO S CESSAO MDO</v>
          </cell>
          <cell r="E6595" t="str">
            <v>SV</v>
          </cell>
        </row>
        <row r="6596">
          <cell r="C6596">
            <v>3006678</v>
          </cell>
          <cell r="D6596" t="str">
            <v>FORNEC OU EMISSAO DE ATESTADOS EM GERAL</v>
          </cell>
          <cell r="E6596" t="str">
            <v>SV</v>
          </cell>
        </row>
        <row r="6597">
          <cell r="C6597">
            <v>3006679</v>
          </cell>
          <cell r="D6597" t="str">
            <v>SRV RELACIONADO A OPER D CAMBIO EM GERAL</v>
          </cell>
          <cell r="E6597" t="str">
            <v>SV</v>
          </cell>
        </row>
        <row r="6598">
          <cell r="C6598">
            <v>3006680</v>
          </cell>
          <cell r="D6598" t="str">
            <v>TI - SOL BACK OFFICE E CORP - S&amp;S</v>
          </cell>
          <cell r="E6598" t="str">
            <v>SV</v>
          </cell>
        </row>
        <row r="6599">
          <cell r="C6599">
            <v>3006681</v>
          </cell>
          <cell r="D6599" t="str">
            <v>SEGURANCA INFO - ANALISE VULNERABILIDADE</v>
          </cell>
          <cell r="E6599" t="str">
            <v>SV</v>
          </cell>
        </row>
        <row r="6600">
          <cell r="C6600">
            <v>3006682</v>
          </cell>
          <cell r="D6600" t="str">
            <v>FORNEC MUSICA P AMBIENTE FECHADO OU NAO</v>
          </cell>
          <cell r="E6600" t="str">
            <v>SV</v>
          </cell>
        </row>
        <row r="6601">
          <cell r="C6601">
            <v>3006683</v>
          </cell>
          <cell r="D6601" t="str">
            <v>REFOR EDIFICIOS,ESTRADAS,PONTES,PORTOS</v>
          </cell>
          <cell r="E6601" t="str">
            <v>SV</v>
          </cell>
        </row>
        <row r="6602">
          <cell r="C6602">
            <v>3006684</v>
          </cell>
          <cell r="D6602" t="str">
            <v>ASSESS E CONSULT EM INF;S CESSAO MDO</v>
          </cell>
          <cell r="E6602" t="str">
            <v>SV</v>
          </cell>
        </row>
        <row r="6603">
          <cell r="C6603">
            <v>3006685</v>
          </cell>
          <cell r="D6603" t="str">
            <v>ENG,ARQUIT,URB,PAISAG-S CESSAO MDO.</v>
          </cell>
          <cell r="E6603" t="str">
            <v>SV</v>
          </cell>
        </row>
        <row r="6604">
          <cell r="C6604">
            <v>3006686</v>
          </cell>
          <cell r="D6604" t="str">
            <v>SRV PORTUARIO,LOGIST CONG-S CESSAO MDO</v>
          </cell>
          <cell r="E6604" t="str">
            <v>SV</v>
          </cell>
        </row>
        <row r="6605">
          <cell r="C6605">
            <v>3006687</v>
          </cell>
          <cell r="D6605" t="str">
            <v>HOSP,CLINICA,SANATORIO,CONG S CESSAO MDO</v>
          </cell>
          <cell r="E6605" t="str">
            <v>SV</v>
          </cell>
        </row>
        <row r="6606">
          <cell r="C6606">
            <v>3006688</v>
          </cell>
          <cell r="D6606" t="str">
            <v>INSEMIN ARTIF,FERT IN VITRO S CESSAO MDO</v>
          </cell>
          <cell r="E6606" t="str">
            <v>SV</v>
          </cell>
        </row>
        <row r="6607">
          <cell r="C6607">
            <v>3006689</v>
          </cell>
          <cell r="D6607" t="str">
            <v>INSP,CALIB MAQS,EQUIP,PNEUS-S CESSAO MDO</v>
          </cell>
          <cell r="E6607" t="str">
            <v>SV</v>
          </cell>
        </row>
        <row r="6608">
          <cell r="C6608">
            <v>3006690</v>
          </cell>
          <cell r="D6608" t="str">
            <v>PERICIA;LAUDO;EXAMES;ANALISE TECNICA</v>
          </cell>
          <cell r="E6608" t="str">
            <v>SV</v>
          </cell>
        </row>
        <row r="6609">
          <cell r="C6609">
            <v>3006691</v>
          </cell>
          <cell r="D6609" t="str">
            <v>PERICIA;LAUDO;EXAMES;ANALISE TECNICA</v>
          </cell>
          <cell r="E6609" t="str">
            <v>SV</v>
          </cell>
        </row>
        <row r="6610">
          <cell r="C6610">
            <v>3006692</v>
          </cell>
          <cell r="D6610" t="str">
            <v>CONSERT,REP,RESTAUR,REFOR;S CESSAO MDO</v>
          </cell>
          <cell r="E6610" t="str">
            <v>SV</v>
          </cell>
        </row>
        <row r="6611">
          <cell r="C6611">
            <v>3006693</v>
          </cell>
          <cell r="D6611" t="str">
            <v>SERVICO DE MANUTENCAO DE VEICULO LEVE</v>
          </cell>
          <cell r="E6611" t="str">
            <v>SV</v>
          </cell>
        </row>
        <row r="6612">
          <cell r="C6612">
            <v>3006694</v>
          </cell>
          <cell r="D6612" t="str">
            <v>REFOR D EDIFICIOS,ESTS,CONG S CESSAO MDO</v>
          </cell>
          <cell r="E6612" t="str">
            <v>SV</v>
          </cell>
        </row>
        <row r="6613">
          <cell r="C6613">
            <v>3006695</v>
          </cell>
          <cell r="D6613" t="str">
            <v>DESEMB,DESPACH,EMISSAO VISTO PASSAPORTE</v>
          </cell>
          <cell r="E6613" t="str">
            <v>SV</v>
          </cell>
        </row>
        <row r="6614">
          <cell r="C6614">
            <v>3006696</v>
          </cell>
          <cell r="D6614" t="str">
            <v>DESEMB,DESPACH,EMISSAO VISTO PASSAPORTE</v>
          </cell>
          <cell r="E6614" t="str">
            <v>SV</v>
          </cell>
        </row>
        <row r="6615">
          <cell r="C6615">
            <v>3006697</v>
          </cell>
          <cell r="D6615" t="str">
            <v>COLETA,RECICL MAT INSERV S CESSAO MDO</v>
          </cell>
          <cell r="E6615" t="str">
            <v>SV</v>
          </cell>
        </row>
        <row r="6616">
          <cell r="C6616">
            <v>3006698</v>
          </cell>
          <cell r="D6616" t="str">
            <v>MANUT CONSERV MAQS,APARELHO;S CESSAO MDO</v>
          </cell>
          <cell r="E6616" t="str">
            <v>SV</v>
          </cell>
        </row>
        <row r="6617">
          <cell r="C6617">
            <v>3006699</v>
          </cell>
          <cell r="D6617" t="str">
            <v>SRV DISTRIB E VENDA BILHETE S CESSAO MDO</v>
          </cell>
          <cell r="E6617" t="str">
            <v>SV</v>
          </cell>
        </row>
        <row r="6618">
          <cell r="C6618">
            <v>3006700</v>
          </cell>
          <cell r="D6618" t="str">
            <v>LIGACAO DE MEDIDORES S CESSAO MDO</v>
          </cell>
          <cell r="E6618" t="str">
            <v>SV</v>
          </cell>
        </row>
        <row r="6619">
          <cell r="C6619">
            <v>3006701</v>
          </cell>
          <cell r="D6619" t="str">
            <v>LIMP MAQ,VEIC,EQUIP,MOTOR S CESSAO MDO</v>
          </cell>
          <cell r="E6619" t="str">
            <v>SV</v>
          </cell>
        </row>
        <row r="6620">
          <cell r="C6620">
            <v>3006702</v>
          </cell>
          <cell r="D6620" t="str">
            <v>MANUT E REPARO REDUTORES VELOC CONVENC</v>
          </cell>
          <cell r="E6620" t="str">
            <v>SV</v>
          </cell>
        </row>
        <row r="6621">
          <cell r="C6621">
            <v>3006703</v>
          </cell>
          <cell r="D6621" t="str">
            <v>MANUT CONSERV MAQS,APARELHO;S CESSAO MDO</v>
          </cell>
          <cell r="E6621" t="str">
            <v>SV</v>
          </cell>
        </row>
        <row r="6622">
          <cell r="C6622">
            <v>3006704</v>
          </cell>
          <cell r="D6622" t="str">
            <v>REFOR D EDIFICIOS,ESTS,CONG S CESSAO MDO</v>
          </cell>
          <cell r="E6622" t="str">
            <v>SV</v>
          </cell>
        </row>
        <row r="6623">
          <cell r="C6623">
            <v>3006705</v>
          </cell>
          <cell r="D6623" t="str">
            <v>LOC,MANUT BENS,EQUIP GERAL S CESSAO MDO</v>
          </cell>
          <cell r="E6623" t="str">
            <v>SV</v>
          </cell>
        </row>
        <row r="6624">
          <cell r="C6624">
            <v>3006706</v>
          </cell>
          <cell r="D6624" t="str">
            <v>SRV MANUTENCAO DE LINHA DE TRANSMISSAO</v>
          </cell>
          <cell r="E6624" t="str">
            <v>SV</v>
          </cell>
        </row>
        <row r="6625">
          <cell r="C6625">
            <v>3006707</v>
          </cell>
          <cell r="D6625" t="str">
            <v>MANUT E REPARO BOMBAS DAGUA SUBMERSAS</v>
          </cell>
          <cell r="E6625" t="str">
            <v>SV</v>
          </cell>
        </row>
        <row r="6626">
          <cell r="C6626">
            <v>3006708</v>
          </cell>
          <cell r="D6626" t="str">
            <v>MANUTENCAO E REPARO DE CILINDROS</v>
          </cell>
          <cell r="E6626" t="str">
            <v>SV</v>
          </cell>
        </row>
        <row r="6627">
          <cell r="C6627">
            <v>3006709</v>
          </cell>
          <cell r="D6627" t="str">
            <v>MANUT CONSERV MAQS,APARELHO;S CESSAO MDO</v>
          </cell>
          <cell r="E6627" t="str">
            <v>SV</v>
          </cell>
        </row>
        <row r="6628">
          <cell r="C6628">
            <v>3006710</v>
          </cell>
          <cell r="D6628" t="str">
            <v>MANUT BASCULAS CAMINHOES E FORA DE EST</v>
          </cell>
          <cell r="E6628" t="str">
            <v>SV</v>
          </cell>
        </row>
        <row r="6629">
          <cell r="C6629">
            <v>3006711</v>
          </cell>
          <cell r="D6629" t="str">
            <v>MANUT CONSERV MAQS,APARELHO;S CESSAO MDO</v>
          </cell>
          <cell r="E6629" t="str">
            <v>SV</v>
          </cell>
        </row>
        <row r="6630">
          <cell r="C6630">
            <v>3006712</v>
          </cell>
          <cell r="D6630" t="str">
            <v>MANUT E INSTAL DE HARDWARE- S CESSAO MDO</v>
          </cell>
          <cell r="E6630" t="str">
            <v>SV</v>
          </cell>
        </row>
        <row r="6631">
          <cell r="C6631">
            <v>3006713</v>
          </cell>
          <cell r="D6631" t="str">
            <v>MANUTENCAO E REPARO BOMBAS A VACUO</v>
          </cell>
          <cell r="E6631" t="str">
            <v>SV</v>
          </cell>
        </row>
        <row r="6632">
          <cell r="C6632">
            <v>3006714</v>
          </cell>
          <cell r="D6632" t="str">
            <v>SUP TECNICO EM INFORMATICA-S CESSAO MDO</v>
          </cell>
          <cell r="E6632" t="str">
            <v>SV</v>
          </cell>
        </row>
        <row r="6633">
          <cell r="C6633">
            <v>3006715</v>
          </cell>
          <cell r="D6633" t="str">
            <v>SRV REGULAMENTORIAL D ASSOCIACAO, CONG</v>
          </cell>
          <cell r="E6633" t="str">
            <v>SV</v>
          </cell>
        </row>
        <row r="6634">
          <cell r="C6634">
            <v>3006716</v>
          </cell>
          <cell r="D6634" t="str">
            <v>SRV TECNICOS EM EDIFICACOES S CESSAO MDO</v>
          </cell>
          <cell r="E6634" t="str">
            <v>SV</v>
          </cell>
        </row>
        <row r="6635">
          <cell r="C6635">
            <v>3006717</v>
          </cell>
          <cell r="D6635" t="str">
            <v>MONTAGEM EQUIP MECANICOS DO PROCESSO</v>
          </cell>
          <cell r="E6635" t="str">
            <v>SV</v>
          </cell>
        </row>
        <row r="6636">
          <cell r="C6636">
            <v>3006718</v>
          </cell>
          <cell r="D6636" t="str">
            <v>ORTÓPTICA. SEM CESSÃO DE MÃO DE OBRA.</v>
          </cell>
          <cell r="E6636" t="str">
            <v>SV</v>
          </cell>
        </row>
        <row r="6637">
          <cell r="C6637">
            <v>3006719</v>
          </cell>
          <cell r="D6637" t="str">
            <v>ORG D FESTAS,RECEPCOES BUFE S CESSAO MDO</v>
          </cell>
          <cell r="E6637" t="str">
            <v>SV</v>
          </cell>
        </row>
        <row r="6638">
          <cell r="C6638">
            <v>3006720</v>
          </cell>
          <cell r="D6638" t="str">
            <v>PLANEJ,MANUT D PAGINA ELETR S CESSAO MDO</v>
          </cell>
          <cell r="E6638" t="str">
            <v>SV</v>
          </cell>
        </row>
        <row r="6639">
          <cell r="C6639">
            <v>3006721</v>
          </cell>
          <cell r="D6639" t="str">
            <v>FRANQUIA (FRANCHISING)</v>
          </cell>
          <cell r="E6639" t="str">
            <v>SV</v>
          </cell>
        </row>
        <row r="6640">
          <cell r="C6640">
            <v>3006722</v>
          </cell>
          <cell r="D6640" t="str">
            <v>NUCLEACAO,BOMBARD D NUVENS S CESSAO MDO</v>
          </cell>
          <cell r="E6640" t="str">
            <v>SV</v>
          </cell>
        </row>
        <row r="6641">
          <cell r="C6641">
            <v>3006723</v>
          </cell>
          <cell r="D6641" t="str">
            <v>PLANOS MED GRUPO,INDIVIDUAL S CESSAO MDO</v>
          </cell>
          <cell r="E6641" t="str">
            <v>SV</v>
          </cell>
        </row>
        <row r="6642">
          <cell r="C6642">
            <v>3006724</v>
          </cell>
          <cell r="D6642" t="str">
            <v>SRV PORTUARIO,LOGIST CONG-S CESSAO MDO</v>
          </cell>
          <cell r="E6642" t="str">
            <v>SV</v>
          </cell>
        </row>
        <row r="6643">
          <cell r="C6643">
            <v>3006725</v>
          </cell>
          <cell r="D6643" t="str">
            <v>REP MAQ,VEIC,APAR,CALDEIRAR,SOLD,VULCAN</v>
          </cell>
          <cell r="E6643" t="str">
            <v>SV</v>
          </cell>
        </row>
        <row r="6644">
          <cell r="C6644">
            <v>3006726</v>
          </cell>
          <cell r="D6644" t="str">
            <v>SUPERIOR</v>
          </cell>
          <cell r="E6644" t="str">
            <v>SV</v>
          </cell>
        </row>
        <row r="6645">
          <cell r="C6645">
            <v>3006727</v>
          </cell>
          <cell r="D6645" t="str">
            <v>SRV TECNICOS EM EDIFICACOES S CESSAO MDO</v>
          </cell>
          <cell r="E6645" t="str">
            <v>SV</v>
          </cell>
        </row>
        <row r="6646">
          <cell r="C6646">
            <v>3006728</v>
          </cell>
          <cell r="D6646" t="str">
            <v>SRV TECNICOS EM EDIFICACOES S CESSAO MDO</v>
          </cell>
          <cell r="E6646" t="str">
            <v>SV</v>
          </cell>
        </row>
        <row r="6647">
          <cell r="C6647">
            <v>3006729</v>
          </cell>
          <cell r="D6647" t="str">
            <v>REFOR D EDIFICIOS,ESTS,CONG S CESSAO MDO</v>
          </cell>
          <cell r="E6647" t="str">
            <v>SV</v>
          </cell>
        </row>
        <row r="6648">
          <cell r="C6648">
            <v>3006730</v>
          </cell>
          <cell r="D6648" t="str">
            <v>RECAUCHU,REGENER,MANUT PNEU S CESSAO MDO</v>
          </cell>
          <cell r="E6648" t="str">
            <v>SV</v>
          </cell>
        </row>
        <row r="6649">
          <cell r="C6649">
            <v>3006731</v>
          </cell>
          <cell r="D6649" t="str">
            <v>PSICANÁLISE. SEM CESSÃO DE MÃO DE OBRA.</v>
          </cell>
          <cell r="E6649" t="str">
            <v>SV</v>
          </cell>
        </row>
        <row r="6650">
          <cell r="C6650">
            <v>3006732</v>
          </cell>
          <cell r="D6650" t="str">
            <v>SERVICOS DE MUSEOLOGIA</v>
          </cell>
          <cell r="E6650" t="str">
            <v>SV</v>
          </cell>
        </row>
        <row r="6651">
          <cell r="C6651">
            <v>3006733</v>
          </cell>
          <cell r="D6651" t="str">
            <v>SRV D ARTISTAS,ATLETAS,MODELOS,MANEQUINS</v>
          </cell>
          <cell r="E6651" t="str">
            <v>SV</v>
          </cell>
        </row>
        <row r="6652">
          <cell r="C6652">
            <v>3006734</v>
          </cell>
          <cell r="D6652" t="str">
            <v>PSICOLOGIA. SEM CESSÃO DE MÃO DE OBRA.</v>
          </cell>
          <cell r="E6652" t="str">
            <v>SV</v>
          </cell>
        </row>
        <row r="6653">
          <cell r="C6653">
            <v>3006735</v>
          </cell>
          <cell r="D6653" t="str">
            <v>JATEAMENTO E HIDROJATEAMENTO</v>
          </cell>
          <cell r="E6653" t="str">
            <v>SV</v>
          </cell>
        </row>
        <row r="6654">
          <cell r="C6654">
            <v>3006736</v>
          </cell>
          <cell r="D6654" t="str">
            <v>MANUT CONSERV MAQS,APARELHO;S CESSAO MDO</v>
          </cell>
          <cell r="E6654" t="str">
            <v>SV</v>
          </cell>
        </row>
        <row r="6655">
          <cell r="C6655">
            <v>3006737</v>
          </cell>
          <cell r="D6655" t="str">
            <v>MANUT CONSERV MAQS,APARELHO;S CESSAO MDO</v>
          </cell>
          <cell r="E6655" t="str">
            <v>SV</v>
          </cell>
        </row>
        <row r="6656">
          <cell r="C6656">
            <v>3006738</v>
          </cell>
          <cell r="D6656" t="str">
            <v>ARTES PLASTICAS E ARTESANATO</v>
          </cell>
          <cell r="E6656" t="str">
            <v>SV</v>
          </cell>
        </row>
        <row r="6657">
          <cell r="C6657">
            <v>3006739</v>
          </cell>
          <cell r="D6657" t="str">
            <v>MOV,CARGA,DESCARGA,ARRUM-S CESSAO MDO.</v>
          </cell>
          <cell r="E6657" t="str">
            <v>SV</v>
          </cell>
        </row>
        <row r="6658">
          <cell r="C6658">
            <v>3006740</v>
          </cell>
          <cell r="D6658" t="str">
            <v>REP D MAQ,PC,MOTORES E CONG S CESSAO MDO</v>
          </cell>
          <cell r="E6658" t="str">
            <v>SV</v>
          </cell>
        </row>
        <row r="6659">
          <cell r="C6659">
            <v>3006741</v>
          </cell>
          <cell r="D6659" t="str">
            <v>PERICIA;LAUDO;EXAMES;ANALISE TECNICA</v>
          </cell>
          <cell r="E6659" t="str">
            <v>SV</v>
          </cell>
        </row>
        <row r="6660">
          <cell r="C6660">
            <v>3006742</v>
          </cell>
          <cell r="D6660" t="str">
            <v>CONSERT,REP,RESTAUR,REFOR;S CESSAO MDO</v>
          </cell>
          <cell r="E6660" t="str">
            <v>SV</v>
          </cell>
        </row>
        <row r="6661">
          <cell r="C6661">
            <v>3006743</v>
          </cell>
          <cell r="D6661" t="str">
            <v>CERTIFICACAO,CERTIFIC TECNICA,D PROD,ETC</v>
          </cell>
          <cell r="E6661" t="str">
            <v>SV</v>
          </cell>
        </row>
        <row r="6662">
          <cell r="C6662">
            <v>3006744</v>
          </cell>
          <cell r="D6662" t="str">
            <v>COLETA,RECICL MAT INSERV S CESSAO MDO</v>
          </cell>
          <cell r="E6662" t="str">
            <v>SV</v>
          </cell>
        </row>
        <row r="6663">
          <cell r="C6663">
            <v>3006745</v>
          </cell>
          <cell r="D6663" t="str">
            <v>SRV CONSTR NOVAS PLANTAS INDUSTR PORTE G</v>
          </cell>
          <cell r="E6663" t="str">
            <v>SV</v>
          </cell>
        </row>
        <row r="6664">
          <cell r="C6664">
            <v>3006746</v>
          </cell>
          <cell r="D6664" t="str">
            <v>STC-ON-MIS-S/AR-C/RET-TUR-EV/EX-INTRA</v>
          </cell>
          <cell r="E6664" t="str">
            <v>SV</v>
          </cell>
        </row>
        <row r="6665">
          <cell r="C6665">
            <v>3006747</v>
          </cell>
          <cell r="D6665" t="str">
            <v>REFOR D EDIFICIOS,ESTS,CONG S CESSAO MDO</v>
          </cell>
          <cell r="E6665" t="str">
            <v>SV</v>
          </cell>
        </row>
        <row r="6666">
          <cell r="C6666">
            <v>3006748</v>
          </cell>
          <cell r="D6666" t="str">
            <v>MULTA POR RESCISAO CONTRATUAL</v>
          </cell>
          <cell r="E6666" t="str">
            <v>SV</v>
          </cell>
        </row>
        <row r="6667">
          <cell r="C6667">
            <v>3006749</v>
          </cell>
          <cell r="D6667" t="str">
            <v>MANUT CONSERV MAQS,APARELHO;S CESSAO MDO</v>
          </cell>
          <cell r="E6667" t="str">
            <v>SV</v>
          </cell>
        </row>
        <row r="6668">
          <cell r="C6668">
            <v>3006750</v>
          </cell>
          <cell r="D6668" t="str">
            <v>MOV,CARGA,DESCARGA,ARRUM-S CESSAO MDO.</v>
          </cell>
          <cell r="E6668" t="str">
            <v>SV</v>
          </cell>
        </row>
        <row r="6669">
          <cell r="C6669">
            <v>3006751</v>
          </cell>
          <cell r="D6669" t="str">
            <v>MANUT CONSERV MAQS,APARELHO;S CESSAO MDO</v>
          </cell>
          <cell r="E6669" t="str">
            <v>SV</v>
          </cell>
        </row>
        <row r="6670">
          <cell r="C6670">
            <v>3006752</v>
          </cell>
          <cell r="D6670" t="str">
            <v>UNID ATEND,ASSIST,TRAT MOV S CESSAO MDO</v>
          </cell>
          <cell r="E6670" t="str">
            <v>SV</v>
          </cell>
        </row>
        <row r="6671">
          <cell r="C6671">
            <v>3006753</v>
          </cell>
          <cell r="D6671" t="str">
            <v>LIMP,DRAGAGEM RIO E CONG S CESSAO MDO</v>
          </cell>
          <cell r="E6671" t="str">
            <v>SV</v>
          </cell>
        </row>
        <row r="6672">
          <cell r="C6672">
            <v>3006754</v>
          </cell>
          <cell r="D6672" t="str">
            <v>MANUT CONSERV MAQS,APARELHO;S CESSAO MDO</v>
          </cell>
          <cell r="E6672" t="str">
            <v>SV</v>
          </cell>
        </row>
        <row r="6673">
          <cell r="C6673">
            <v>3006755</v>
          </cell>
          <cell r="D6673" t="str">
            <v>STC-VAN-ADM-HAB-KM-INTRA</v>
          </cell>
          <cell r="E6673" t="str">
            <v>SV</v>
          </cell>
        </row>
        <row r="6674">
          <cell r="C6674">
            <v>3006756</v>
          </cell>
          <cell r="D6674" t="str">
            <v>MANUT CONSERV MAQS,APARELHO;S CESSAO MDO</v>
          </cell>
          <cell r="E6674" t="str">
            <v>SV</v>
          </cell>
        </row>
        <row r="6675">
          <cell r="C6675">
            <v>3006757</v>
          </cell>
          <cell r="D6675" t="str">
            <v>SUB, MANUT E REPARO PONTES FERROVIAS</v>
          </cell>
          <cell r="E6675" t="str">
            <v>SV</v>
          </cell>
        </row>
        <row r="6676">
          <cell r="C6676">
            <v>3006758</v>
          </cell>
          <cell r="D6676" t="str">
            <v>STC-ON-URB-C/AR-S/RET-OPE-HAB-INTRA</v>
          </cell>
          <cell r="E6676" t="str">
            <v>SV</v>
          </cell>
        </row>
        <row r="6677">
          <cell r="C6677">
            <v>3006759</v>
          </cell>
          <cell r="D6677" t="str">
            <v>STC-VAN-OPE-HAB-KM-INTRA</v>
          </cell>
          <cell r="E6677" t="str">
            <v>SV</v>
          </cell>
        </row>
        <row r="6678">
          <cell r="C6678">
            <v>3006760</v>
          </cell>
          <cell r="D6678" t="str">
            <v>STC-ON-ROD-C/AR-S/RET-OPE-EV/EX-KM-INTRA</v>
          </cell>
          <cell r="E6678" t="str">
            <v>SV</v>
          </cell>
        </row>
        <row r="6679">
          <cell r="C6679">
            <v>3006761</v>
          </cell>
          <cell r="D6679" t="str">
            <v>STC-ON-ROD-C/AR-S/RET-ADM-HAB-INTRA</v>
          </cell>
          <cell r="E6679" t="str">
            <v>SV</v>
          </cell>
        </row>
        <row r="6680">
          <cell r="C6680">
            <v>3006762</v>
          </cell>
          <cell r="D6680" t="str">
            <v>STC-ON-ROD-S/AR-C/RET-OPE-HAB-KM-INTRA</v>
          </cell>
          <cell r="E6680" t="str">
            <v>SV</v>
          </cell>
        </row>
        <row r="6681">
          <cell r="C6681">
            <v>3006763</v>
          </cell>
          <cell r="D6681" t="str">
            <v>STC-ON-ROD-S/AR-C/RET-ADM-EV/EX-INTRA</v>
          </cell>
          <cell r="E6681" t="str">
            <v>SV</v>
          </cell>
        </row>
        <row r="6682">
          <cell r="C6682">
            <v>3006764</v>
          </cell>
          <cell r="D6682" t="str">
            <v>STC-ON-OFF-S/AR-C/RET-TUR-HAB-INTRA</v>
          </cell>
          <cell r="E6682" t="str">
            <v>SV</v>
          </cell>
        </row>
        <row r="6683">
          <cell r="C6683">
            <v>3006765</v>
          </cell>
          <cell r="D6683" t="str">
            <v>STC-ON-URB-C/AR-C/RET-ADM-HAB-INTRA</v>
          </cell>
          <cell r="E6683" t="str">
            <v>SV</v>
          </cell>
        </row>
        <row r="6684">
          <cell r="C6684">
            <v>3006766</v>
          </cell>
          <cell r="D6684" t="str">
            <v>STC-ON-OFF-S/AR-S/RET-TUR-HAB-INTRA</v>
          </cell>
          <cell r="E6684" t="str">
            <v>SV</v>
          </cell>
        </row>
        <row r="6685">
          <cell r="C6685">
            <v>3006767</v>
          </cell>
          <cell r="D6685" t="str">
            <v>STC-ON-URB-C/AR-C/RET-TUR-EV/EX-KM-INTRA</v>
          </cell>
          <cell r="E6685" t="str">
            <v>SV</v>
          </cell>
        </row>
        <row r="6686">
          <cell r="C6686">
            <v>3006768</v>
          </cell>
          <cell r="D6686" t="str">
            <v>STC-ON-OFF-C/AR-C/RET-OPE-HAB-INTRA</v>
          </cell>
          <cell r="E6686" t="str">
            <v>SV</v>
          </cell>
        </row>
        <row r="6687">
          <cell r="C6687">
            <v>3006769</v>
          </cell>
          <cell r="D6687" t="str">
            <v>STC-ON-OFF-C/AR-C/RET-ADM-HAB-INTRA</v>
          </cell>
          <cell r="E6687" t="str">
            <v>SV</v>
          </cell>
        </row>
        <row r="6688">
          <cell r="C6688">
            <v>3006770</v>
          </cell>
          <cell r="D6688" t="str">
            <v>STC-ON-OFF-C/AR-C/RET-OPE-EV/EX-INTRA</v>
          </cell>
          <cell r="E6688" t="str">
            <v>SV</v>
          </cell>
        </row>
        <row r="6689">
          <cell r="C6689">
            <v>3006771</v>
          </cell>
          <cell r="D6689" t="str">
            <v>ENFERMAGEM, INCLUSIVE SRV AUXILIARES</v>
          </cell>
          <cell r="E6689" t="str">
            <v>SV</v>
          </cell>
        </row>
        <row r="6690">
          <cell r="C6690">
            <v>3006772</v>
          </cell>
          <cell r="D6690" t="str">
            <v>STC-MICRO-ROD-S/AR-OPE-EV/EX-KM-INTRA</v>
          </cell>
          <cell r="E6690" t="str">
            <v>SV</v>
          </cell>
        </row>
        <row r="6691">
          <cell r="C6691">
            <v>3006773</v>
          </cell>
          <cell r="D6691" t="str">
            <v>STC-MICRO-ROD-C/AR-ADM-EV/EX-KM-INTRA</v>
          </cell>
          <cell r="E6691" t="str">
            <v>SV</v>
          </cell>
        </row>
        <row r="6692">
          <cell r="C6692">
            <v>3006774</v>
          </cell>
          <cell r="D6692" t="str">
            <v>STC-MICRO-ROD-S/AR-TUR-HAB-INTRA</v>
          </cell>
          <cell r="E6692" t="str">
            <v>SV</v>
          </cell>
        </row>
        <row r="6693">
          <cell r="C6693">
            <v>3006775</v>
          </cell>
          <cell r="D6693" t="str">
            <v>STC-ON-MIS-C/AR-C/RET-ADM-EV/EX-KM-INTRA</v>
          </cell>
          <cell r="E6693" t="str">
            <v>SV</v>
          </cell>
        </row>
        <row r="6694">
          <cell r="C6694">
            <v>3006776</v>
          </cell>
          <cell r="D6694" t="str">
            <v>STC-MICRO-ROD-S/AR-TUR-EV/EX-KM-INTRA</v>
          </cell>
          <cell r="E6694" t="str">
            <v>SV</v>
          </cell>
        </row>
        <row r="6695">
          <cell r="C6695">
            <v>3006777</v>
          </cell>
          <cell r="D6695" t="str">
            <v>STC-ON-MIS-C/AR-S/RET-ADM-HAB-KM-INTRA</v>
          </cell>
          <cell r="E6695" t="str">
            <v>SV</v>
          </cell>
        </row>
        <row r="6696">
          <cell r="C6696">
            <v>3006778</v>
          </cell>
          <cell r="D6696" t="str">
            <v>STC-ON-MIS-C/AR-S/RET-TUR-HAB-KM-INTRA</v>
          </cell>
          <cell r="E6696" t="str">
            <v>SV</v>
          </cell>
        </row>
        <row r="6697">
          <cell r="C6697">
            <v>3006779</v>
          </cell>
          <cell r="D6697" t="str">
            <v>STC-ON-MIS-C/AR-S/RET-OPE-HAB-INTRA</v>
          </cell>
          <cell r="E6697" t="str">
            <v>SV</v>
          </cell>
        </row>
        <row r="6698">
          <cell r="C6698">
            <v>3006780</v>
          </cell>
          <cell r="D6698" t="str">
            <v>SRV MANUTENCAO DE INSTRUMENTO DE AVIACAO</v>
          </cell>
          <cell r="E6698" t="str">
            <v>SV</v>
          </cell>
        </row>
        <row r="6699">
          <cell r="C6699">
            <v>3006781</v>
          </cell>
          <cell r="D6699" t="str">
            <v>ENFERMAGEM,INCLUS SRV AUX S CESSAO MDO</v>
          </cell>
          <cell r="E6699" t="str">
            <v>SV</v>
          </cell>
        </row>
        <row r="6700">
          <cell r="C6700">
            <v>3006782</v>
          </cell>
          <cell r="D6700" t="str">
            <v>SRV DE BIOLOGIA, BIOTECNOLOGIA E QUIMICA</v>
          </cell>
          <cell r="E6700" t="str">
            <v>SV</v>
          </cell>
        </row>
        <row r="6701">
          <cell r="C6701">
            <v>3006783</v>
          </cell>
          <cell r="D6701" t="str">
            <v>SERVICOS AEROPORTUARIOS E CONG</v>
          </cell>
          <cell r="E6701" t="str">
            <v>SV</v>
          </cell>
        </row>
        <row r="6702">
          <cell r="C6702">
            <v>3006784</v>
          </cell>
          <cell r="D6702" t="str">
            <v>SRV TECNICOS EM EDIFICACOES S CESSAO MDO</v>
          </cell>
          <cell r="E6702" t="str">
            <v>SV</v>
          </cell>
        </row>
        <row r="6703">
          <cell r="C6703">
            <v>3006785</v>
          </cell>
          <cell r="D6703" t="str">
            <v>OBRAS SUPER E INFRAESTRUTURA DE FERROVIA</v>
          </cell>
          <cell r="E6703" t="str">
            <v>SV</v>
          </cell>
        </row>
        <row r="6704">
          <cell r="C6704">
            <v>3006786</v>
          </cell>
          <cell r="D6704" t="str">
            <v>OUTROS PLANOS SAUDE S CESSAO MDO</v>
          </cell>
          <cell r="E6704" t="str">
            <v>SV</v>
          </cell>
        </row>
        <row r="6705">
          <cell r="C6705">
            <v>3006787</v>
          </cell>
          <cell r="D6705" t="str">
            <v>MANUT CONSERV MAQS,APARELHO;S CESSAO MDO</v>
          </cell>
          <cell r="E6705" t="str">
            <v>SV</v>
          </cell>
        </row>
        <row r="6706">
          <cell r="C6706">
            <v>3006788</v>
          </cell>
          <cell r="D6706" t="str">
            <v>MANUT CONSERV MAQS,APARELHO;S CESSAO MDO</v>
          </cell>
          <cell r="E6706" t="str">
            <v>SV</v>
          </cell>
        </row>
        <row r="6707">
          <cell r="C6707">
            <v>3006789</v>
          </cell>
          <cell r="D6707" t="str">
            <v>MANUT CONSERV MAQS,APARELHO;S CESSAO MDO</v>
          </cell>
          <cell r="E6707" t="str">
            <v>SV</v>
          </cell>
        </row>
        <row r="6708">
          <cell r="C6708">
            <v>3006790</v>
          </cell>
          <cell r="D6708" t="str">
            <v>SRV MANUTENCAO DE EQUIPAMENTO DE OFICINA</v>
          </cell>
          <cell r="E6708" t="str">
            <v>SV</v>
          </cell>
        </row>
        <row r="6709">
          <cell r="C6709">
            <v>3006791</v>
          </cell>
          <cell r="D6709" t="str">
            <v>DEMAIS SERVICOS DE CONSTRUCAO CIVIL</v>
          </cell>
          <cell r="E6709" t="str">
            <v>SV</v>
          </cell>
        </row>
        <row r="6710">
          <cell r="C6710">
            <v>3006792</v>
          </cell>
          <cell r="D6710" t="str">
            <v>INSP,CALIB MAQS,EQUIP,PNEUS-S CESSAO MDO</v>
          </cell>
          <cell r="E6710" t="str">
            <v>SV</v>
          </cell>
        </row>
        <row r="6711">
          <cell r="C6711">
            <v>3006793</v>
          </cell>
          <cell r="D6711" t="str">
            <v>REFOR D EDIFICIOS,ESTS,CONG S CESSAO MDO</v>
          </cell>
          <cell r="E6711" t="str">
            <v>SV</v>
          </cell>
        </row>
        <row r="6712">
          <cell r="C6712">
            <v>3006794</v>
          </cell>
          <cell r="D6712" t="str">
            <v>SRV CALIBRACAO INSTRUMENTO MEDICAO FORCA</v>
          </cell>
          <cell r="E6712" t="str">
            <v>SV</v>
          </cell>
        </row>
        <row r="6713">
          <cell r="C6713">
            <v>3006795</v>
          </cell>
          <cell r="D6713" t="str">
            <v>CALAFETACAO,EXCT QUANDO FOR D REFOR/OBRA</v>
          </cell>
          <cell r="E6713" t="str">
            <v>SV</v>
          </cell>
        </row>
        <row r="6714">
          <cell r="C6714">
            <v>3006796</v>
          </cell>
          <cell r="D6714" t="str">
            <v>ENG,ARQUIT,URB,PAISAG-S CESSAO MDO.</v>
          </cell>
          <cell r="E6714" t="str">
            <v>SV</v>
          </cell>
        </row>
        <row r="6715">
          <cell r="C6715">
            <v>3006797</v>
          </cell>
          <cell r="D6715" t="str">
            <v>ACUPUNTURA- SEM CESSAO DE MAO DE OBRA</v>
          </cell>
          <cell r="E6715" t="str">
            <v>SV</v>
          </cell>
        </row>
        <row r="6716">
          <cell r="C6716">
            <v>3006798</v>
          </cell>
          <cell r="D6716" t="str">
            <v>ENG,ARQUIT,URB,PAISAG-S CESSAO MDO.</v>
          </cell>
          <cell r="E6716" t="str">
            <v>SV</v>
          </cell>
        </row>
        <row r="6717">
          <cell r="C6717">
            <v>3006799</v>
          </cell>
          <cell r="D6717" t="str">
            <v>STC-MICRO-ROD-C/AR-OPE-HAB-KM-INTRA</v>
          </cell>
          <cell r="E6717" t="str">
            <v>SV</v>
          </cell>
        </row>
        <row r="6718">
          <cell r="C6718">
            <v>3006800</v>
          </cell>
          <cell r="D6718" t="str">
            <v>STC-MICRO-ROD-C/AR-TUR-HAB-KM-INTRA</v>
          </cell>
          <cell r="E6718" t="str">
            <v>SV</v>
          </cell>
        </row>
        <row r="6719">
          <cell r="C6719">
            <v>3006801</v>
          </cell>
          <cell r="D6719" t="str">
            <v>STC-MICRO-ROD-S/AR-OPE-EV/EX-INTRA</v>
          </cell>
          <cell r="E6719" t="str">
            <v>SV</v>
          </cell>
        </row>
        <row r="6720">
          <cell r="C6720">
            <v>3006802</v>
          </cell>
          <cell r="D6720" t="str">
            <v>STC-MICRO-ROD-S/AR-TUR-EV/EX-INTRA</v>
          </cell>
          <cell r="E6720" t="str">
            <v>SV</v>
          </cell>
        </row>
        <row r="6721">
          <cell r="C6721">
            <v>3006803</v>
          </cell>
          <cell r="D6721" t="str">
            <v>STC-MICRO-ROD-S/AR-TUR-HAB-KM-INTRA</v>
          </cell>
          <cell r="E6721" t="str">
            <v>SV</v>
          </cell>
        </row>
        <row r="6722">
          <cell r="C6722">
            <v>3006804</v>
          </cell>
          <cell r="D6722" t="str">
            <v>STC-ON-MIS-C/AR-C/RET-OPE-EV/EX-INTRA</v>
          </cell>
          <cell r="E6722" t="str">
            <v>SV</v>
          </cell>
        </row>
        <row r="6723">
          <cell r="C6723">
            <v>3006805</v>
          </cell>
          <cell r="D6723" t="str">
            <v>ANALISE E DESENV DE SISTS - S CESSAO MDO</v>
          </cell>
          <cell r="E6723" t="str">
            <v>SV</v>
          </cell>
        </row>
        <row r="6724">
          <cell r="C6724">
            <v>3006806</v>
          </cell>
          <cell r="D6724" t="str">
            <v>STC-ON-MIS-C/AR-C/RET-TUR-EV/EX-KM-INTRA</v>
          </cell>
          <cell r="E6724" t="str">
            <v>SV</v>
          </cell>
        </row>
        <row r="6725">
          <cell r="C6725">
            <v>3006807</v>
          </cell>
          <cell r="D6725" t="str">
            <v>STC-ON-MIS-C/AR-S/RET-ADM-EV/EX-KM-INTRA</v>
          </cell>
          <cell r="E6725" t="str">
            <v>SV</v>
          </cell>
        </row>
        <row r="6726">
          <cell r="C6726">
            <v>3006808</v>
          </cell>
          <cell r="D6726" t="str">
            <v>ASS ACESSO INFORMACAO ELETR S CESSAO MDO</v>
          </cell>
          <cell r="E6726" t="str">
            <v>SV</v>
          </cell>
        </row>
        <row r="6727">
          <cell r="C6727">
            <v>3006809</v>
          </cell>
          <cell r="D6727" t="str">
            <v>STC-ON-MIS-C/AR-S/RET-OPE-HAB-KM-INTRA</v>
          </cell>
          <cell r="E6727" t="str">
            <v>SV</v>
          </cell>
        </row>
        <row r="6728">
          <cell r="C6728">
            <v>3006810</v>
          </cell>
          <cell r="D6728" t="str">
            <v>STC-ON-MIS-C/AR-S/RET-TUR-HAB-INTRA</v>
          </cell>
          <cell r="E6728" t="str">
            <v>SV</v>
          </cell>
        </row>
        <row r="6729">
          <cell r="C6729">
            <v>3006811</v>
          </cell>
          <cell r="D6729" t="str">
            <v>STC-ON-MIS-S/AR-C/RET-ADM-EV/EX-KM-INTRA</v>
          </cell>
          <cell r="E6729" t="str">
            <v>SV</v>
          </cell>
        </row>
        <row r="6730">
          <cell r="C6730">
            <v>3006812</v>
          </cell>
          <cell r="D6730" t="str">
            <v>STC-ON-MIS-S/AR-C/RET-ADM-HAB-KM-INTRA</v>
          </cell>
          <cell r="E6730" t="str">
            <v>SV</v>
          </cell>
        </row>
        <row r="6731">
          <cell r="C6731">
            <v>3006813</v>
          </cell>
          <cell r="D6731" t="str">
            <v>STC-ON-MIS-S/AR-C/RET-OPE-EV/EX-KM-INTRA</v>
          </cell>
          <cell r="E6731" t="str">
            <v>SV</v>
          </cell>
        </row>
        <row r="6732">
          <cell r="C6732">
            <v>3006814</v>
          </cell>
          <cell r="D6732" t="str">
            <v>LUBRIF,LUSTR,REV,RECARGA S CESSAO MDO</v>
          </cell>
          <cell r="E6732" t="str">
            <v>SV</v>
          </cell>
        </row>
        <row r="6733">
          <cell r="C6733">
            <v>3006815</v>
          </cell>
          <cell r="D6733" t="str">
            <v>ENFERMAGEM,INCLUS SRV AUX S CESSAO MDO</v>
          </cell>
          <cell r="E6733" t="str">
            <v>SV</v>
          </cell>
        </row>
        <row r="6734">
          <cell r="C6734">
            <v>3006816</v>
          </cell>
          <cell r="D6734" t="str">
            <v>COLETA D MATERIAIS BIO S CESSAO MDO</v>
          </cell>
          <cell r="E6734" t="str">
            <v>SV</v>
          </cell>
        </row>
        <row r="6735">
          <cell r="C6735">
            <v>3006817</v>
          </cell>
          <cell r="D6735" t="str">
            <v>COMPO HIDRAUL E PNEUM - TUBUL HIDRAULICA</v>
          </cell>
          <cell r="E6735" t="str">
            <v>SV</v>
          </cell>
        </row>
        <row r="6736">
          <cell r="C6736">
            <v>3006818</v>
          </cell>
          <cell r="D6736" t="str">
            <v>STC-ON-OFF-C/AR-C/RET-ADM-EV/EX-KM-INTRA</v>
          </cell>
          <cell r="E6736" t="str">
            <v>SV</v>
          </cell>
        </row>
        <row r="6737">
          <cell r="C6737">
            <v>3006819</v>
          </cell>
          <cell r="D6737" t="str">
            <v>CONSTR E EDIFICACAO PREDIAL - PEQ PORTE</v>
          </cell>
          <cell r="E6737" t="str">
            <v>SV</v>
          </cell>
        </row>
        <row r="6738">
          <cell r="C6738">
            <v>3006820</v>
          </cell>
          <cell r="D6738" t="str">
            <v>LEVANTAMENTO D FAUNA,FLORA- S CESSAO MDO</v>
          </cell>
          <cell r="E6738" t="str">
            <v>SV</v>
          </cell>
        </row>
        <row r="6739">
          <cell r="C6739">
            <v>3006821</v>
          </cell>
          <cell r="D6739" t="str">
            <v>LUBRIF,LUSTR,REV,RECARGA S CESSAO MDO</v>
          </cell>
          <cell r="E6739" t="str">
            <v>SV</v>
          </cell>
        </row>
        <row r="6740">
          <cell r="C6740">
            <v>3006822</v>
          </cell>
          <cell r="D6740" t="str">
            <v>STC-ON-ROD-S/AR-S/RET-ADM-EV/EX-INTRA</v>
          </cell>
          <cell r="E6740" t="str">
            <v>SV</v>
          </cell>
        </row>
        <row r="6741">
          <cell r="C6741">
            <v>3006823</v>
          </cell>
          <cell r="D6741" t="str">
            <v>TERAP OCUP,GINASTICA LABORAL,FISIOT,FONO</v>
          </cell>
          <cell r="E6741" t="str">
            <v>SV</v>
          </cell>
        </row>
        <row r="6742">
          <cell r="C6742">
            <v>3006824</v>
          </cell>
          <cell r="D6742" t="str">
            <v>STC-ON-URB-S/AR-C/RET-TUR-HAB-INTRA</v>
          </cell>
          <cell r="E6742" t="str">
            <v>SV</v>
          </cell>
        </row>
        <row r="6743">
          <cell r="C6743">
            <v>3006825</v>
          </cell>
          <cell r="D6743" t="str">
            <v>STC-VAN-TUR-HAB-KM-INTRA</v>
          </cell>
          <cell r="E6743" t="str">
            <v>SV</v>
          </cell>
        </row>
        <row r="6744">
          <cell r="C6744">
            <v>3006826</v>
          </cell>
          <cell r="D6744" t="str">
            <v>TERAP OCUP,GINASTICA LABORAL,FISIOT,FONO</v>
          </cell>
          <cell r="E6744" t="str">
            <v>SV</v>
          </cell>
        </row>
        <row r="6745">
          <cell r="C6745">
            <v>3006827</v>
          </cell>
          <cell r="D6745" t="str">
            <v>STC-ON-OFF-S/AR-S/RET-ADM-EV/EX-KM-INTRA</v>
          </cell>
          <cell r="E6745" t="str">
            <v>SV</v>
          </cell>
        </row>
        <row r="6746">
          <cell r="C6746">
            <v>3006828</v>
          </cell>
          <cell r="D6746" t="str">
            <v>GESTAO DE INFRAESTRUTURA (DC)</v>
          </cell>
          <cell r="E6746" t="str">
            <v>SV</v>
          </cell>
        </row>
        <row r="6747">
          <cell r="C6747">
            <v>3006829</v>
          </cell>
          <cell r="D6747" t="str">
            <v>STC-ON-OFF-S/AR-S/RET-TUR-EV/EX-KM-INTRA</v>
          </cell>
          <cell r="E6747" t="str">
            <v>SV</v>
          </cell>
        </row>
        <row r="6748">
          <cell r="C6748">
            <v>3006830</v>
          </cell>
          <cell r="D6748" t="str">
            <v>STC-ON-OFF-S/AR-S/RET-OPE-EV/EX-KM-INTRA</v>
          </cell>
          <cell r="E6748" t="str">
            <v>SV</v>
          </cell>
        </row>
        <row r="6749">
          <cell r="C6749">
            <v>3006831</v>
          </cell>
          <cell r="D6749" t="str">
            <v>STC-ON-OFF-S/AR-S/RET-TUR-HAB-KM-INTRA</v>
          </cell>
          <cell r="E6749" t="str">
            <v>SV</v>
          </cell>
        </row>
        <row r="6750">
          <cell r="C6750">
            <v>3006832</v>
          </cell>
          <cell r="D6750" t="str">
            <v>TERAPIA OCUP,FISIOT,FONO S CESSAO MDO</v>
          </cell>
          <cell r="E6750" t="str">
            <v>SV</v>
          </cell>
        </row>
        <row r="6751">
          <cell r="C6751">
            <v>3006833</v>
          </cell>
          <cell r="D6751" t="str">
            <v>NUTRICAO</v>
          </cell>
          <cell r="E6751" t="str">
            <v>SV</v>
          </cell>
        </row>
        <row r="6752">
          <cell r="C6752">
            <v>3006834</v>
          </cell>
          <cell r="D6752" t="str">
            <v>SW L&amp;S BACK OFFICE E CORPORAT - OUTROS</v>
          </cell>
          <cell r="E6752" t="str">
            <v>SV</v>
          </cell>
        </row>
        <row r="6753">
          <cell r="C6753">
            <v>3006835</v>
          </cell>
          <cell r="D6753" t="str">
            <v>STC-ON-ROD-C/AR-S/RET-ADM-EV/EX-KM-INTRA</v>
          </cell>
          <cell r="E6753" t="str">
            <v>SV</v>
          </cell>
        </row>
        <row r="6754">
          <cell r="C6754">
            <v>3006836</v>
          </cell>
          <cell r="D6754" t="str">
            <v>STC-ON-ROD-C/AR-S/RET-TUR-EV/EX-INTRA</v>
          </cell>
          <cell r="E6754" t="str">
            <v>SV</v>
          </cell>
        </row>
        <row r="6755">
          <cell r="C6755">
            <v>3006837</v>
          </cell>
          <cell r="D6755" t="str">
            <v>ODONTOLOGIA (DENTISTA)</v>
          </cell>
          <cell r="E6755" t="str">
            <v>SV</v>
          </cell>
        </row>
        <row r="6756">
          <cell r="C6756">
            <v>3006838</v>
          </cell>
          <cell r="D6756" t="str">
            <v>PSICANALISE</v>
          </cell>
          <cell r="E6756" t="str">
            <v>SV</v>
          </cell>
        </row>
        <row r="6757">
          <cell r="C6757">
            <v>3006839</v>
          </cell>
          <cell r="D6757" t="str">
            <v>STC-ON-ROD-S/AR-S/RET-OPE-EV/EX-INTRA</v>
          </cell>
          <cell r="E6757" t="str">
            <v>SV</v>
          </cell>
        </row>
        <row r="6758">
          <cell r="C6758">
            <v>3006840</v>
          </cell>
          <cell r="D6758" t="str">
            <v>STC-ON-ROD-S/AR-C/RET-OPE-HAB-INTRA</v>
          </cell>
          <cell r="E6758" t="str">
            <v>SV</v>
          </cell>
        </row>
        <row r="6759">
          <cell r="C6759">
            <v>3006841</v>
          </cell>
          <cell r="D6759" t="str">
            <v>PSICOLOGIA</v>
          </cell>
          <cell r="E6759" t="str">
            <v>SV</v>
          </cell>
        </row>
        <row r="6760">
          <cell r="C6760">
            <v>3006842</v>
          </cell>
          <cell r="D6760" t="str">
            <v>STC-ON-URB-C/AR-S/RET-ADM-EV/EX-KM-INTRA</v>
          </cell>
          <cell r="E6760" t="str">
            <v>SV</v>
          </cell>
        </row>
        <row r="6761">
          <cell r="C6761">
            <v>3006843</v>
          </cell>
          <cell r="D6761" t="str">
            <v>STC-ON-URB-C/AR-C/RET-OPE-HAB-KM-INTRA</v>
          </cell>
          <cell r="E6761" t="str">
            <v>SV</v>
          </cell>
        </row>
        <row r="6762">
          <cell r="C6762">
            <v>3006844</v>
          </cell>
          <cell r="D6762" t="str">
            <v>STC-ON-URB-C/AR-S/RET-ADM-HAB-INTRA</v>
          </cell>
          <cell r="E6762" t="str">
            <v>SV</v>
          </cell>
        </row>
        <row r="6763">
          <cell r="C6763">
            <v>3006845</v>
          </cell>
          <cell r="D6763" t="str">
            <v>STC-ON-URB-C/AR-S/RET-OPE-EV/EX-INTRA</v>
          </cell>
          <cell r="E6763" t="str">
            <v>SV</v>
          </cell>
        </row>
        <row r="6764">
          <cell r="C6764">
            <v>3006846</v>
          </cell>
          <cell r="D6764" t="str">
            <v>OUTROS PLANOS SAUDE DE SRV DE TERCEIROS</v>
          </cell>
          <cell r="E6764" t="str">
            <v>SV</v>
          </cell>
        </row>
        <row r="6765">
          <cell r="C6765">
            <v>3006847</v>
          </cell>
          <cell r="D6765" t="str">
            <v>STC-ON-URB-S/AR-C/RET-ADM-HAB-INTRA</v>
          </cell>
          <cell r="E6765" t="str">
            <v>SV</v>
          </cell>
        </row>
        <row r="6766">
          <cell r="C6766">
            <v>3006848</v>
          </cell>
          <cell r="D6766" t="str">
            <v>STC-ON-URB-S/AR-C/RET-OPE-HAB-INTRA</v>
          </cell>
          <cell r="E6766" t="str">
            <v>SV</v>
          </cell>
        </row>
        <row r="6767">
          <cell r="C6767">
            <v>3006849</v>
          </cell>
          <cell r="D6767" t="str">
            <v>STC-ON-URB-S/AR-C/RET-OPE-HAB-KM-INTRA</v>
          </cell>
          <cell r="E6767" t="str">
            <v>SV</v>
          </cell>
        </row>
        <row r="6768">
          <cell r="C6768">
            <v>3006850</v>
          </cell>
          <cell r="D6768" t="str">
            <v>STC-ON-URB-S/AR-S/RET-OPE-HAB-KM-INTRA</v>
          </cell>
          <cell r="E6768" t="str">
            <v>SV</v>
          </cell>
        </row>
        <row r="6769">
          <cell r="C6769">
            <v>3006851</v>
          </cell>
          <cell r="D6769" t="str">
            <v>STC-ON-URB-S/AR-S/RET-ADM-EV/EX-KM-INTRA</v>
          </cell>
          <cell r="E6769" t="str">
            <v>SV</v>
          </cell>
        </row>
        <row r="6770">
          <cell r="C6770">
            <v>3006852</v>
          </cell>
          <cell r="D6770" t="str">
            <v>STC-ON-URB-S/AR-S/RET-TUR-EV/EX-INTRA</v>
          </cell>
          <cell r="E6770" t="str">
            <v>SV</v>
          </cell>
        </row>
        <row r="6771">
          <cell r="C6771">
            <v>3006853</v>
          </cell>
          <cell r="D6771" t="str">
            <v>STC-VAN-ADM-EV/EX-KM-INTRA</v>
          </cell>
          <cell r="E6771" t="str">
            <v>SV</v>
          </cell>
        </row>
        <row r="6772">
          <cell r="C6772">
            <v>3006854</v>
          </cell>
          <cell r="D6772" t="str">
            <v>STC-VAN-OPE-EV/EX-INTRA</v>
          </cell>
          <cell r="E6772" t="str">
            <v>SV</v>
          </cell>
        </row>
        <row r="6773">
          <cell r="C6773">
            <v>3006855</v>
          </cell>
          <cell r="D6773" t="str">
            <v>STC-VAN-TUR-EV/EX-INTRA</v>
          </cell>
          <cell r="E6773" t="str">
            <v>SV</v>
          </cell>
        </row>
        <row r="6774">
          <cell r="C6774">
            <v>3006856</v>
          </cell>
          <cell r="D6774" t="str">
            <v>STC-VAN-TUR-HAB-INTRA</v>
          </cell>
          <cell r="E6774" t="str">
            <v>SV</v>
          </cell>
        </row>
        <row r="6775">
          <cell r="C6775">
            <v>3006857</v>
          </cell>
          <cell r="D6775" t="str">
            <v>SUP TECNICO EM INFORMATICA-S CESSAO MDO</v>
          </cell>
          <cell r="E6775" t="str">
            <v>SV</v>
          </cell>
        </row>
        <row r="6776">
          <cell r="C6776">
            <v>3006858</v>
          </cell>
          <cell r="D6776" t="str">
            <v>ESCORAMENTO,CONT D ENCOSTA S CESSAO MDO</v>
          </cell>
          <cell r="E6776" t="str">
            <v>SV</v>
          </cell>
        </row>
        <row r="6777">
          <cell r="C6777">
            <v>3006859</v>
          </cell>
          <cell r="D6777" t="str">
            <v>COMP GRAF,FOTOCOMP,LITOGRAF,FOTOLITOGRAF</v>
          </cell>
          <cell r="E6777" t="str">
            <v>SV</v>
          </cell>
        </row>
        <row r="6778">
          <cell r="C6778">
            <v>3006860</v>
          </cell>
          <cell r="D6778" t="str">
            <v>COMP GRAF,FOTOCOMP,LITOGRAF,FOTOLITOGRAF</v>
          </cell>
          <cell r="E6778" t="str">
            <v>SV</v>
          </cell>
        </row>
        <row r="6779">
          <cell r="C6779">
            <v>3006861</v>
          </cell>
          <cell r="D6779" t="str">
            <v>COMP GRAF,FOTOCOMP,LITOGRAF,FOTOLITOGRAF</v>
          </cell>
          <cell r="E6779" t="str">
            <v>SV</v>
          </cell>
        </row>
        <row r="6780">
          <cell r="C6780">
            <v>3006862</v>
          </cell>
          <cell r="D6780" t="str">
            <v>STC-ON-ROD-S/AR-C/RET-OPE-EV/EX-INTRA</v>
          </cell>
          <cell r="E6780" t="str">
            <v>SV</v>
          </cell>
        </row>
        <row r="6781">
          <cell r="C6781">
            <v>3006863</v>
          </cell>
          <cell r="D6781" t="str">
            <v>STC-ON-ROD-S/AR-S/RET-OPE-EV/EX-KM-INTRA</v>
          </cell>
          <cell r="E6781" t="str">
            <v>SV</v>
          </cell>
        </row>
        <row r="6782">
          <cell r="C6782">
            <v>3006864</v>
          </cell>
          <cell r="D6782" t="str">
            <v>STC-ON-ROD-S/AR-S/RET-TUR-EV/EX-INTRA</v>
          </cell>
          <cell r="E6782" t="str">
            <v>SV</v>
          </cell>
        </row>
        <row r="6783">
          <cell r="C6783">
            <v>3006865</v>
          </cell>
          <cell r="D6783" t="str">
            <v>COMPUTACAO GRAFICA</v>
          </cell>
          <cell r="E6783" t="str">
            <v>SV</v>
          </cell>
        </row>
        <row r="6784">
          <cell r="C6784">
            <v>3006866</v>
          </cell>
          <cell r="D6784" t="str">
            <v>SRV TECNICOS EM EDIFICACOES</v>
          </cell>
          <cell r="E6784" t="str">
            <v>SV</v>
          </cell>
        </row>
        <row r="6785">
          <cell r="C6785">
            <v>3006867</v>
          </cell>
          <cell r="D6785" t="str">
            <v>TRANSPORTE DE PASSAGEIROS S/ CESSAO MDO</v>
          </cell>
          <cell r="E6785" t="str">
            <v>SV</v>
          </cell>
        </row>
        <row r="6786">
          <cell r="C6786">
            <v>3006868</v>
          </cell>
          <cell r="D6786" t="str">
            <v>FUNILARIA E LANTERNAGEM- S CESSAO MDO</v>
          </cell>
          <cell r="E6786" t="str">
            <v>SV</v>
          </cell>
        </row>
        <row r="6787">
          <cell r="C6787">
            <v>3006869</v>
          </cell>
          <cell r="D6787" t="str">
            <v>SUPORTE TECNICO USUARIO - DESKTOP-LAPTOP</v>
          </cell>
          <cell r="E6787" t="str">
            <v>SV</v>
          </cell>
        </row>
        <row r="6788">
          <cell r="C6788">
            <v>3006870</v>
          </cell>
          <cell r="D6788" t="str">
            <v>SUP TECNICO EM INFORMATICA-S CESSAO MDO</v>
          </cell>
          <cell r="E6788" t="str">
            <v>SV</v>
          </cell>
        </row>
        <row r="6789">
          <cell r="C6789">
            <v>3006871</v>
          </cell>
          <cell r="D6789" t="str">
            <v>OUTROS PLANOS SAUDE S CESSAO MDO</v>
          </cell>
          <cell r="E6789" t="str">
            <v>SV</v>
          </cell>
        </row>
        <row r="6790">
          <cell r="C6790">
            <v>3006872</v>
          </cell>
          <cell r="D6790" t="str">
            <v>HOSP, CLINICA E CONG NA AREA VETERINARIA</v>
          </cell>
          <cell r="E6790" t="str">
            <v>SV</v>
          </cell>
        </row>
        <row r="6791">
          <cell r="C6791">
            <v>3006873</v>
          </cell>
          <cell r="D6791" t="str">
            <v>CENTROS DE EMAGRECIMENTO, SPA E CONG</v>
          </cell>
          <cell r="E6791" t="str">
            <v>SV</v>
          </cell>
        </row>
        <row r="6792">
          <cell r="C6792">
            <v>3006874</v>
          </cell>
          <cell r="D6792" t="str">
            <v>AGENC,CORRET,INTERM BENS MOVEIS,IMOVEIS</v>
          </cell>
          <cell r="E6792" t="str">
            <v>SV</v>
          </cell>
        </row>
        <row r="6793">
          <cell r="C6793">
            <v>3006875</v>
          </cell>
          <cell r="D6793" t="str">
            <v>SUP TECNICO EM INFORMATICA-S CESSAO MDO</v>
          </cell>
          <cell r="E6793" t="str">
            <v>SV</v>
          </cell>
        </row>
        <row r="6794">
          <cell r="C6794">
            <v>3006876</v>
          </cell>
          <cell r="D6794" t="str">
            <v>MANUT CONSERV MAQS,APARELHO;S CESSAO MDO</v>
          </cell>
          <cell r="E6794" t="str">
            <v>SV</v>
          </cell>
        </row>
        <row r="6795">
          <cell r="C6795">
            <v>3006877</v>
          </cell>
          <cell r="D6795" t="str">
            <v>RESTAU,PINT,BENEF,TING,GALV-S CESSAO MDO</v>
          </cell>
          <cell r="E6795" t="str">
            <v>SV</v>
          </cell>
        </row>
        <row r="6796">
          <cell r="C6796">
            <v>3006878</v>
          </cell>
          <cell r="D6796" t="str">
            <v>CONTR E TRAT DE EFLUENTES DE QLQ NAT</v>
          </cell>
          <cell r="E6796" t="str">
            <v>SV</v>
          </cell>
        </row>
        <row r="6797">
          <cell r="C6797">
            <v>3006879</v>
          </cell>
          <cell r="D6797" t="str">
            <v>MANUT CONSERV MAQS,APARELHO;S CESSAO MDO</v>
          </cell>
          <cell r="E6797" t="str">
            <v>SV</v>
          </cell>
        </row>
        <row r="6798">
          <cell r="C6798">
            <v>3006880</v>
          </cell>
          <cell r="D6798" t="str">
            <v>MANUT CONSERV MAQS,APARELHO;S CESSAO MDO</v>
          </cell>
          <cell r="E6798" t="str">
            <v>SV</v>
          </cell>
        </row>
        <row r="6799">
          <cell r="C6799">
            <v>3006881</v>
          </cell>
          <cell r="D6799" t="str">
            <v>SRV REPORT,ASSESS IMPRENSA,RELACOES PUB</v>
          </cell>
          <cell r="E6799" t="str">
            <v>SV</v>
          </cell>
        </row>
        <row r="6800">
          <cell r="C6800">
            <v>3006882</v>
          </cell>
          <cell r="D6800" t="str">
            <v>SRV TECNICOS EM EDIFICACOES S CESSAO MDO</v>
          </cell>
          <cell r="E6800" t="str">
            <v>SV</v>
          </cell>
        </row>
        <row r="6801">
          <cell r="C6801">
            <v>3006883</v>
          </cell>
          <cell r="D6801" t="str">
            <v>SUP TECNICO EM INFORMATICA-S CESSAO MDO</v>
          </cell>
          <cell r="E6801" t="str">
            <v>SV</v>
          </cell>
        </row>
        <row r="6802">
          <cell r="C6802">
            <v>3006884</v>
          </cell>
          <cell r="D6802" t="str">
            <v>INSTAL,MONT,MAQS,EQUIP-S CESSAO MDO</v>
          </cell>
          <cell r="E6802" t="str">
            <v>SV</v>
          </cell>
        </row>
        <row r="6803">
          <cell r="C6803">
            <v>3006885</v>
          </cell>
          <cell r="D6803" t="str">
            <v>MANUT CONSERV MAQS,APARELHO;S CESSAO MDO</v>
          </cell>
          <cell r="E6803" t="str">
            <v>SV</v>
          </cell>
        </row>
        <row r="6804">
          <cell r="C6804">
            <v>3006886</v>
          </cell>
          <cell r="D6804" t="str">
            <v>LOC D VEICULOS,BENS MOVEIS S CESSAO MDO</v>
          </cell>
          <cell r="E6804" t="str">
            <v>SV</v>
          </cell>
        </row>
        <row r="6805">
          <cell r="C6805">
            <v>3006887</v>
          </cell>
          <cell r="D6805" t="str">
            <v>MANUT CONSERV MAQS,APARELHO;S CESSAO MDO</v>
          </cell>
          <cell r="E6805" t="str">
            <v>SV</v>
          </cell>
        </row>
        <row r="6806">
          <cell r="C6806">
            <v>3006888</v>
          </cell>
          <cell r="D6806" t="str">
            <v>MANUT CONSERV MAQS,APARELHO;S CESSAO MDO</v>
          </cell>
          <cell r="E6806" t="str">
            <v>SV</v>
          </cell>
        </row>
        <row r="6807">
          <cell r="C6807">
            <v>3006889</v>
          </cell>
          <cell r="D6807" t="str">
            <v>CONSERT,REP,RESTAUR,REFOR;S CESSAO MDO</v>
          </cell>
          <cell r="E6807" t="str">
            <v>SV</v>
          </cell>
        </row>
        <row r="6808">
          <cell r="C6808">
            <v>3006890</v>
          </cell>
          <cell r="D6808" t="str">
            <v>CONSERT,REP,RESTAUR,REFOR;S CESSAO MDO</v>
          </cell>
          <cell r="E6808" t="str">
            <v>SV</v>
          </cell>
        </row>
        <row r="6809">
          <cell r="C6809">
            <v>3006891</v>
          </cell>
          <cell r="D6809" t="str">
            <v>SRV MANUTENCAO DE EQUIPAMENTO HIDRAULICO</v>
          </cell>
          <cell r="E6809" t="str">
            <v>SV</v>
          </cell>
        </row>
        <row r="6810">
          <cell r="C6810">
            <v>3006892</v>
          </cell>
          <cell r="D6810" t="str">
            <v>REFOR D EDIFICIOS,ESTS,CONG S CESSAO MDO</v>
          </cell>
          <cell r="E6810" t="str">
            <v>SV</v>
          </cell>
        </row>
        <row r="6811">
          <cell r="C6811">
            <v>3006893</v>
          </cell>
          <cell r="D6811" t="str">
            <v>MANUT CONSERV MAQS,APARELHO;S CESSAO MDO</v>
          </cell>
          <cell r="E6811" t="str">
            <v>SV</v>
          </cell>
        </row>
        <row r="6812">
          <cell r="C6812">
            <v>3006894</v>
          </cell>
          <cell r="D6812" t="str">
            <v>MANUTENCAO E REPARO DE CACAMBAS E LAMINA</v>
          </cell>
          <cell r="E6812" t="str">
            <v>SV</v>
          </cell>
        </row>
        <row r="6813">
          <cell r="C6813">
            <v>3006895</v>
          </cell>
          <cell r="D6813" t="str">
            <v>MANUT TURB;TURBO-ALIMENTADOR;TURBO-GERAD</v>
          </cell>
          <cell r="E6813" t="str">
            <v>SV</v>
          </cell>
        </row>
        <row r="6814">
          <cell r="C6814">
            <v>3006896</v>
          </cell>
          <cell r="D6814" t="str">
            <v>MONTAGEM DE LANCAMENTO DE CABO</v>
          </cell>
          <cell r="E6814" t="str">
            <v>SV</v>
          </cell>
        </row>
        <row r="6815">
          <cell r="C6815">
            <v>3006897</v>
          </cell>
          <cell r="D6815" t="str">
            <v>SRV D CHAVEIROS,SINALIZACAO VISUAL,CONG</v>
          </cell>
          <cell r="E6815" t="str">
            <v>SV</v>
          </cell>
        </row>
        <row r="6816">
          <cell r="C6816">
            <v>3006898</v>
          </cell>
          <cell r="D6816" t="str">
            <v>PROD,MEDIANTE OU SEM ENCOMENDA PREVIA</v>
          </cell>
          <cell r="E6816" t="str">
            <v>SV</v>
          </cell>
        </row>
        <row r="6817">
          <cell r="C6817">
            <v>3006899</v>
          </cell>
          <cell r="D6817" t="str">
            <v>DATILOGRAF,INFRA ADM E CONG S CESSAO MDO</v>
          </cell>
          <cell r="E6817" t="str">
            <v>SV</v>
          </cell>
        </row>
        <row r="6818">
          <cell r="C6818">
            <v>3006900</v>
          </cell>
          <cell r="D6818" t="str">
            <v>ENG,ARQUIT,URB,PAISAG-S CESSAO MDO.</v>
          </cell>
          <cell r="E6818" t="str">
            <v>SV</v>
          </cell>
        </row>
        <row r="6819">
          <cell r="C6819">
            <v>3006901</v>
          </cell>
          <cell r="D6819" t="str">
            <v>REP MAQ,VEIC,APAR,CALDEIRAR,SOLD,VULCAN</v>
          </cell>
          <cell r="E6819" t="str">
            <v>SV</v>
          </cell>
        </row>
        <row r="6820">
          <cell r="C6820">
            <v>3006902</v>
          </cell>
          <cell r="D6820" t="str">
            <v>MULTA POR RESCISAO CONTR C INDENIZ D REP</v>
          </cell>
          <cell r="E6820" t="str">
            <v>SV</v>
          </cell>
        </row>
        <row r="6821">
          <cell r="C6821">
            <v>3006903</v>
          </cell>
          <cell r="D6821" t="str">
            <v>SERVICO MANUTENCAO DE CALDEIRA E BOILER</v>
          </cell>
          <cell r="E6821" t="str">
            <v>SV</v>
          </cell>
        </row>
        <row r="6822">
          <cell r="C6822">
            <v>3006904</v>
          </cell>
          <cell r="D6822" t="str">
            <v>MANUT CONSERV MAQS,APARELHO;S CESSAO MDO</v>
          </cell>
          <cell r="E6822" t="str">
            <v>SV</v>
          </cell>
        </row>
        <row r="6823">
          <cell r="C6823">
            <v>3006905</v>
          </cell>
          <cell r="D6823" t="str">
            <v>PLANEJ,CONFEC,MANUT,ATUALIZ PAGINA ELETR</v>
          </cell>
          <cell r="E6823" t="str">
            <v>SV</v>
          </cell>
        </row>
        <row r="6824">
          <cell r="C6824">
            <v>3006906</v>
          </cell>
          <cell r="D6824" t="str">
            <v>SUPORTE PROJETO ERP - ENHANCEMENTS</v>
          </cell>
          <cell r="E6824" t="str">
            <v>SV</v>
          </cell>
        </row>
        <row r="6825">
          <cell r="C6825">
            <v>3006907</v>
          </cell>
          <cell r="D6825" t="str">
            <v>ODONTOLOGIA (DENTISTA)- S CESSAO MDO</v>
          </cell>
          <cell r="E6825" t="str">
            <v>SV</v>
          </cell>
        </row>
        <row r="6826">
          <cell r="C6826">
            <v>3006908</v>
          </cell>
          <cell r="D6826" t="str">
            <v>SRV TECNICOS EM EDIFICACOES</v>
          </cell>
          <cell r="E6826" t="str">
            <v>SV</v>
          </cell>
        </row>
        <row r="6827">
          <cell r="C6827">
            <v>3006909</v>
          </cell>
          <cell r="D6827" t="str">
            <v>PORTARIA, RECEPCAO OU ASCENSORISTA</v>
          </cell>
          <cell r="E6827" t="str">
            <v>SV</v>
          </cell>
        </row>
        <row r="6828">
          <cell r="C6828">
            <v>3006910</v>
          </cell>
          <cell r="D6828" t="str">
            <v>OBSTETRÍCIA. SEM CESSÃO DE MÃO DE OBRA.</v>
          </cell>
          <cell r="E6828" t="str">
            <v>SV</v>
          </cell>
        </row>
        <row r="6829">
          <cell r="C6829">
            <v>3006911</v>
          </cell>
          <cell r="D6829" t="str">
            <v>ANALISES CLINICAS E CONG S CESSAO MDO</v>
          </cell>
          <cell r="E6829" t="str">
            <v>SV</v>
          </cell>
        </row>
        <row r="6830">
          <cell r="C6830">
            <v>3006912</v>
          </cell>
          <cell r="D6830" t="str">
            <v>RECOND E ENROLAMEN DE MOTOR S CESSAO MDO</v>
          </cell>
          <cell r="E6830" t="str">
            <v>SV</v>
          </cell>
        </row>
        <row r="6831">
          <cell r="C6831">
            <v>3006913</v>
          </cell>
          <cell r="D6831" t="str">
            <v>RECUPERACAO DE PISOS E CONG S CESSAO MDO</v>
          </cell>
          <cell r="E6831" t="str">
            <v>SV</v>
          </cell>
        </row>
        <row r="6832">
          <cell r="C6832">
            <v>3006914</v>
          </cell>
          <cell r="D6832" t="str">
            <v>RESTAU,PINT,BENEF,TING,GALV-S CESSAO MDO</v>
          </cell>
          <cell r="E6832" t="str">
            <v>SV</v>
          </cell>
        </row>
        <row r="6833">
          <cell r="C6833">
            <v>3006915</v>
          </cell>
          <cell r="D6833" t="str">
            <v>DEMAIS SERVICOS DE CONSTRUCAO CIVIL</v>
          </cell>
          <cell r="E6833" t="str">
            <v>SV</v>
          </cell>
        </row>
        <row r="6834">
          <cell r="C6834">
            <v>3006916</v>
          </cell>
          <cell r="D6834" t="str">
            <v>CORTE,LIGACAO D SRV PUBLICO S CESSAO MDO</v>
          </cell>
          <cell r="E6834" t="str">
            <v>SV</v>
          </cell>
        </row>
        <row r="6835">
          <cell r="C6835">
            <v>3006917</v>
          </cell>
          <cell r="D6835" t="str">
            <v>DEMOLICAO,DESMONTE D ROCHA- S CESSAO MDO</v>
          </cell>
          <cell r="E6835" t="str">
            <v>SV</v>
          </cell>
        </row>
        <row r="6836">
          <cell r="C6836">
            <v>3006918</v>
          </cell>
          <cell r="D6836" t="str">
            <v>SERVICO DE MANURENCAO DE COMPRESSOR</v>
          </cell>
          <cell r="E6836" t="str">
            <v>SV</v>
          </cell>
        </row>
        <row r="6837">
          <cell r="C6837">
            <v>3006919</v>
          </cell>
          <cell r="D6837" t="str">
            <v>MANUT CONSERV MAQS,APARELHO;S CESSAO MDO</v>
          </cell>
          <cell r="E6837" t="str">
            <v>SV</v>
          </cell>
        </row>
        <row r="6838">
          <cell r="C6838">
            <v>3006920</v>
          </cell>
          <cell r="D6838" t="str">
            <v>MANUT CONSERV MAQS,APARELHO;S CESSAO MDO</v>
          </cell>
          <cell r="E6838" t="str">
            <v>SV</v>
          </cell>
        </row>
        <row r="6839">
          <cell r="C6839">
            <v>3006921</v>
          </cell>
          <cell r="D6839" t="str">
            <v>ABERTURA DE CONTAS EM GERAL</v>
          </cell>
          <cell r="E6839" t="str">
            <v>SV</v>
          </cell>
        </row>
        <row r="6840">
          <cell r="C6840">
            <v>3006922</v>
          </cell>
          <cell r="D6840" t="str">
            <v>SRV TERMINAIS ROD,FERROV,METROV,MOV,MERC</v>
          </cell>
          <cell r="E6840" t="str">
            <v>SV</v>
          </cell>
        </row>
        <row r="6841">
          <cell r="C6841">
            <v>3006923</v>
          </cell>
          <cell r="D6841" t="str">
            <v>MANUT CONSERV MAQS,APARELHO;S CESSAO MDO</v>
          </cell>
          <cell r="E6841" t="str">
            <v>SV</v>
          </cell>
        </row>
        <row r="6842">
          <cell r="C6842">
            <v>3006924</v>
          </cell>
          <cell r="D6842" t="str">
            <v>MANUT CONSERV MAQS,APARELHO;S CESSAO MDO</v>
          </cell>
          <cell r="E6842" t="str">
            <v>SV</v>
          </cell>
        </row>
        <row r="6843">
          <cell r="C6843">
            <v>3006925</v>
          </cell>
          <cell r="D6843" t="str">
            <v>CONSERT,REP,RESTAUR,REFOR;S CESSAO MDO</v>
          </cell>
          <cell r="E6843" t="str">
            <v>SV</v>
          </cell>
        </row>
        <row r="6844">
          <cell r="C6844">
            <v>3006926</v>
          </cell>
          <cell r="D6844" t="str">
            <v>STC-ON-OFF-S/AR-S/RET-OPE-HAB-INTRA</v>
          </cell>
          <cell r="E6844" t="str">
            <v>SV</v>
          </cell>
        </row>
        <row r="6845">
          <cell r="C6845">
            <v>3006927</v>
          </cell>
          <cell r="D6845" t="str">
            <v>STC-ON-OFF-S/AR-S/RET-ADM-HAB-KM-INTRA</v>
          </cell>
          <cell r="E6845" t="str">
            <v>SV</v>
          </cell>
        </row>
        <row r="6846">
          <cell r="C6846">
            <v>3006928</v>
          </cell>
          <cell r="D6846" t="str">
            <v>STC-ON-URB-S/AR-S/RET-TUR-EV/EX-KM-INTRA</v>
          </cell>
          <cell r="E6846" t="str">
            <v>SV</v>
          </cell>
        </row>
        <row r="6847">
          <cell r="C6847">
            <v>3006929</v>
          </cell>
          <cell r="D6847" t="str">
            <v>BLENDAGEM DE RESIDUOS- S CESSAO MDO</v>
          </cell>
          <cell r="E6847" t="str">
            <v>SV</v>
          </cell>
        </row>
        <row r="6848">
          <cell r="C6848">
            <v>3006930</v>
          </cell>
          <cell r="D6848" t="str">
            <v>STC-ON-MIS-S/AR-S/RET-OPE-EV/EX-INTRA</v>
          </cell>
          <cell r="E6848" t="str">
            <v>SV</v>
          </cell>
        </row>
        <row r="6849">
          <cell r="C6849">
            <v>3006931</v>
          </cell>
          <cell r="D6849" t="str">
            <v>CONTR,TRAT DE EFLUENTES S CESSAO MDO</v>
          </cell>
          <cell r="E6849" t="str">
            <v>SV</v>
          </cell>
        </row>
        <row r="6850">
          <cell r="C6850">
            <v>3006932</v>
          </cell>
          <cell r="D6850" t="str">
            <v>STC-ON-OFF-C/AR-S/RET-OPE-HAB-INTRA</v>
          </cell>
          <cell r="E6850" t="str">
            <v>SV</v>
          </cell>
        </row>
        <row r="6851">
          <cell r="C6851">
            <v>3006933</v>
          </cell>
          <cell r="D6851" t="str">
            <v>STC-ON-OFF-S/AR-C/RET-TUR-EV/EX-KM-INTRA</v>
          </cell>
          <cell r="E6851" t="str">
            <v>SV</v>
          </cell>
        </row>
        <row r="6852">
          <cell r="C6852">
            <v>3006934</v>
          </cell>
          <cell r="D6852" t="str">
            <v>STC-ON-ROD-C/AR-S/RET-OPE-EV/EX-INTRA</v>
          </cell>
          <cell r="E6852" t="str">
            <v>SV</v>
          </cell>
        </row>
        <row r="6853">
          <cell r="C6853">
            <v>3006935</v>
          </cell>
          <cell r="D6853" t="str">
            <v>STC-ON-URB-C/AR-C/RET-ADM-EV/EX-KM-INTRA</v>
          </cell>
          <cell r="E6853" t="str">
            <v>SV</v>
          </cell>
        </row>
        <row r="6854">
          <cell r="C6854">
            <v>3006936</v>
          </cell>
          <cell r="D6854" t="str">
            <v>STC-ON-URB-C/AR-C/RET-ADM-HAB-KM-INTRA</v>
          </cell>
          <cell r="E6854" t="str">
            <v>SV</v>
          </cell>
        </row>
        <row r="6855">
          <cell r="C6855">
            <v>3006937</v>
          </cell>
          <cell r="D6855" t="str">
            <v>STC-ON-ROD-C/AR-S/RET-ADM-EV/EX-INTRA</v>
          </cell>
          <cell r="E6855" t="str">
            <v>SV</v>
          </cell>
        </row>
        <row r="6856">
          <cell r="C6856">
            <v>3006938</v>
          </cell>
          <cell r="D6856" t="str">
            <v>STC-ON-ROD-C/AR-C/RET-TUR-EV/EX-KM-INTRA</v>
          </cell>
          <cell r="E6856" t="str">
            <v>SV</v>
          </cell>
        </row>
        <row r="6857">
          <cell r="C6857">
            <v>3006939</v>
          </cell>
          <cell r="D6857" t="str">
            <v>STC-ON-ROD-S/AR-S/RET-TUR-HAB-INTRA</v>
          </cell>
          <cell r="E6857" t="str">
            <v>SV</v>
          </cell>
        </row>
        <row r="6858">
          <cell r="C6858">
            <v>3006940</v>
          </cell>
          <cell r="D6858" t="str">
            <v>STC-ON-ROD-S/AR-S/RET-TUR-HAB-KM-INTRA</v>
          </cell>
          <cell r="E6858" t="str">
            <v>SV</v>
          </cell>
        </row>
        <row r="6859">
          <cell r="C6859">
            <v>3006941</v>
          </cell>
          <cell r="D6859" t="str">
            <v>STC-ON-URB-C/AR-C/RET-OPE-HAB-INTRA</v>
          </cell>
          <cell r="E6859" t="str">
            <v>SV</v>
          </cell>
        </row>
        <row r="6860">
          <cell r="C6860">
            <v>3006942</v>
          </cell>
          <cell r="D6860" t="str">
            <v>STC-ON-ROD-C/AR-S/RET-OPE-HAB-KM-INTRA</v>
          </cell>
          <cell r="E6860" t="str">
            <v>SV</v>
          </cell>
        </row>
        <row r="6861">
          <cell r="C6861">
            <v>3006943</v>
          </cell>
          <cell r="D6861" t="str">
            <v>STC-ON-OFF-S/AR-C/RET-OPE-EV/EX-INTRA</v>
          </cell>
          <cell r="E6861" t="str">
            <v>SV</v>
          </cell>
        </row>
        <row r="6862">
          <cell r="C6862">
            <v>3006944</v>
          </cell>
          <cell r="D6862" t="str">
            <v>STC-ON-OFF-S/AR-C/RET-ADM-EV/EX-INTRA</v>
          </cell>
          <cell r="E6862" t="str">
            <v>SV</v>
          </cell>
        </row>
        <row r="6863">
          <cell r="C6863">
            <v>3006945</v>
          </cell>
          <cell r="D6863" t="str">
            <v>STC-ON-OFF-C/AR-C/RET-TUR-EV/EX-INTRA</v>
          </cell>
          <cell r="E6863" t="str">
            <v>SV</v>
          </cell>
        </row>
        <row r="6864">
          <cell r="C6864">
            <v>3006946</v>
          </cell>
          <cell r="D6864" t="str">
            <v>STC-ON-MIS-S/AR-S/RET-TUR-EV/EX-KM-INTRA</v>
          </cell>
          <cell r="E6864" t="str">
            <v>SV</v>
          </cell>
        </row>
        <row r="6865">
          <cell r="C6865">
            <v>3006947</v>
          </cell>
          <cell r="D6865" t="str">
            <v>STC-ON-OFF-C/AR-S/RET-ADM-EV/EX-INTRA</v>
          </cell>
          <cell r="E6865" t="str">
            <v>SV</v>
          </cell>
        </row>
        <row r="6866">
          <cell r="C6866">
            <v>3006948</v>
          </cell>
          <cell r="D6866" t="str">
            <v>STC-ON-MIS-S/AR-S/RET-OPE-EV/EX-KM-INTRA</v>
          </cell>
          <cell r="E6866" t="str">
            <v>SV</v>
          </cell>
        </row>
        <row r="6867">
          <cell r="C6867">
            <v>3006949</v>
          </cell>
          <cell r="D6867" t="str">
            <v>STC-ON-MIS-S/AR-C/RET-ADM-HAB-INTRA</v>
          </cell>
          <cell r="E6867" t="str">
            <v>SV</v>
          </cell>
        </row>
        <row r="6868">
          <cell r="C6868">
            <v>3006950</v>
          </cell>
          <cell r="D6868" t="str">
            <v>STC-MICRO-ROD-C/AR-TUR-EV/EX-KM-INTRA</v>
          </cell>
          <cell r="E6868" t="str">
            <v>SV</v>
          </cell>
        </row>
        <row r="6869">
          <cell r="C6869">
            <v>3006951</v>
          </cell>
          <cell r="D6869" t="str">
            <v>STC-MICRO-ROD-S/AR-OPE-HAB-KM-INTRA</v>
          </cell>
          <cell r="E6869" t="str">
            <v>SV</v>
          </cell>
        </row>
        <row r="6870">
          <cell r="C6870">
            <v>3006952</v>
          </cell>
          <cell r="D6870" t="str">
            <v>STC-ON-MIS-C/AR-S/RET-TUR-EV/EX-INTRA</v>
          </cell>
          <cell r="E6870" t="str">
            <v>SV</v>
          </cell>
        </row>
        <row r="6871">
          <cell r="C6871">
            <v>3006953</v>
          </cell>
          <cell r="D6871" t="str">
            <v>STC-ON-MIS-C/AR-C/RET-OPE-HAB-KM-INTRA</v>
          </cell>
          <cell r="E6871" t="str">
            <v>SV</v>
          </cell>
        </row>
        <row r="6872">
          <cell r="C6872">
            <v>3006954</v>
          </cell>
          <cell r="D6872" t="str">
            <v>MANUT CONSERV MAQS,APARELHO;S CESSAO MDO</v>
          </cell>
          <cell r="E6872" t="str">
            <v>SV</v>
          </cell>
        </row>
        <row r="6873">
          <cell r="C6873">
            <v>3006955</v>
          </cell>
          <cell r="D6873" t="str">
            <v>ENG,ARQUIT,URB,PAISAG,DECOR INTERIORES</v>
          </cell>
          <cell r="E6873" t="str">
            <v>SV</v>
          </cell>
        </row>
        <row r="6874">
          <cell r="C6874">
            <v>3006956</v>
          </cell>
          <cell r="D6874" t="str">
            <v>INSTAL,MONT,MAQS,EQUIP-S CESSAO MDO</v>
          </cell>
          <cell r="E6874" t="str">
            <v>SV</v>
          </cell>
        </row>
        <row r="6875">
          <cell r="C6875">
            <v>3006957</v>
          </cell>
          <cell r="D6875" t="str">
            <v>APRESENTACAO DE PALESTRAS E CONGENERES</v>
          </cell>
          <cell r="E6875" t="str">
            <v>SV</v>
          </cell>
        </row>
        <row r="6876">
          <cell r="C6876">
            <v>3006958</v>
          </cell>
          <cell r="D6876" t="str">
            <v>RESTAUR,PINT,CROMAG,BENEF,TING,GALV</v>
          </cell>
          <cell r="E6876" t="str">
            <v>SV</v>
          </cell>
        </row>
        <row r="6877">
          <cell r="C6877">
            <v>3006959</v>
          </cell>
          <cell r="D6877" t="str">
            <v>CONSERT,REP,RESTAUR,REFOR;S CESSAO MDO</v>
          </cell>
          <cell r="E6877" t="str">
            <v>SV</v>
          </cell>
        </row>
        <row r="6878">
          <cell r="C6878">
            <v>3006960</v>
          </cell>
          <cell r="D6878" t="str">
            <v>SRV MANUTENCAO DE EQUIPAMENTO PNEUMATICO</v>
          </cell>
          <cell r="E6878" t="str">
            <v>SV</v>
          </cell>
        </row>
        <row r="6879">
          <cell r="C6879">
            <v>3006961</v>
          </cell>
          <cell r="D6879" t="str">
            <v>SRV PORTUARIO,LOGIST CONG-S CESSAO MDO</v>
          </cell>
          <cell r="E6879" t="str">
            <v>SV</v>
          </cell>
        </row>
        <row r="6880">
          <cell r="C6880">
            <v>3006962</v>
          </cell>
          <cell r="D6880" t="str">
            <v>CONSERT,REP,RESTAUR,REFOR;S CESSAO MDO</v>
          </cell>
          <cell r="E6880" t="str">
            <v>SV</v>
          </cell>
        </row>
        <row r="6881">
          <cell r="C6881">
            <v>3006963</v>
          </cell>
          <cell r="D6881" t="str">
            <v>SRV TECNICOS EM EDIFICACOES S CESSAO MDO</v>
          </cell>
          <cell r="E6881" t="str">
            <v>SV</v>
          </cell>
        </row>
        <row r="6882">
          <cell r="C6882">
            <v>3006964</v>
          </cell>
          <cell r="D6882" t="str">
            <v>ESCOLTA, INCLUSIVE DE VEICULOS E CARGAS</v>
          </cell>
          <cell r="E6882" t="str">
            <v>SV</v>
          </cell>
        </row>
        <row r="6883">
          <cell r="C6883">
            <v>3006965</v>
          </cell>
          <cell r="D6883" t="str">
            <v>MANUT CONSERV MAQS,APARELHO;S CESSAO MDO</v>
          </cell>
          <cell r="E6883" t="str">
            <v>SV</v>
          </cell>
        </row>
        <row r="6884">
          <cell r="C6884">
            <v>3006966</v>
          </cell>
          <cell r="D6884" t="str">
            <v>MANUT CONSERV MAQS,APARELHO;S CESSAO MDO</v>
          </cell>
          <cell r="E6884" t="str">
            <v>SV</v>
          </cell>
        </row>
        <row r="6885">
          <cell r="C6885">
            <v>3006967</v>
          </cell>
          <cell r="D6885" t="str">
            <v>MANUT CONSERV MAQS,APARELHO;S CESSAO MDO</v>
          </cell>
          <cell r="E6885" t="str">
            <v>SV</v>
          </cell>
        </row>
        <row r="6886">
          <cell r="C6886">
            <v>3006968</v>
          </cell>
          <cell r="D6886" t="str">
            <v>MANUT CONSERV MAQS,APARELHO;S CESSAO MDO</v>
          </cell>
          <cell r="E6886" t="str">
            <v>SV</v>
          </cell>
        </row>
        <row r="6887">
          <cell r="C6887">
            <v>3006969</v>
          </cell>
          <cell r="D6887" t="str">
            <v>MANUT CONSERV MAQS,APARELHO;S CESSAO MDO</v>
          </cell>
          <cell r="E6887" t="str">
            <v>SV</v>
          </cell>
        </row>
        <row r="6888">
          <cell r="C6888">
            <v>3006970</v>
          </cell>
          <cell r="D6888" t="str">
            <v>MANUT CONSERV MAQS,APARELHO;S CESSAO MDO</v>
          </cell>
          <cell r="E6888" t="str">
            <v>SV</v>
          </cell>
        </row>
        <row r="6889">
          <cell r="C6889">
            <v>3006971</v>
          </cell>
          <cell r="D6889" t="str">
            <v>CAD,ELAB,RENOV D FICHA CADASTRAL E CONG</v>
          </cell>
          <cell r="E6889" t="str">
            <v>SV</v>
          </cell>
        </row>
        <row r="6890">
          <cell r="C6890">
            <v>3006972</v>
          </cell>
          <cell r="D6890" t="str">
            <v>CONSERT,REP,RESTAUR,REFOR;S CESSAO MDO</v>
          </cell>
          <cell r="E6890" t="str">
            <v>SV</v>
          </cell>
        </row>
        <row r="6891">
          <cell r="C6891">
            <v>3006973</v>
          </cell>
          <cell r="D6891" t="str">
            <v>CONSERT,REP,RESTAUR,REFOR;S CESSAO MDO</v>
          </cell>
          <cell r="E6891" t="str">
            <v>SV</v>
          </cell>
        </row>
        <row r="6892">
          <cell r="C6892">
            <v>3006974</v>
          </cell>
          <cell r="D6892" t="str">
            <v>INSP,CALIB MAQS,EQUIP,PNEUS-S CESSAO MDO</v>
          </cell>
          <cell r="E6892" t="str">
            <v>SV</v>
          </cell>
        </row>
        <row r="6893">
          <cell r="C6893">
            <v>3006975</v>
          </cell>
          <cell r="D6893" t="str">
            <v>SRV CALIBRACAO DE EQUIP ANALISE EM GERAL</v>
          </cell>
          <cell r="E6893" t="str">
            <v>SV</v>
          </cell>
        </row>
        <row r="6894">
          <cell r="C6894">
            <v>3006976</v>
          </cell>
          <cell r="D6894" t="str">
            <v>ANALISE E DESENV DE SISTS - S CESSAO MDO</v>
          </cell>
          <cell r="E6894" t="str">
            <v>SV</v>
          </cell>
        </row>
        <row r="6895">
          <cell r="C6895">
            <v>3006977</v>
          </cell>
          <cell r="D6895" t="str">
            <v>MANUT CONSERV MAQS,APARELHO;S CESSAO MDO</v>
          </cell>
          <cell r="E6895" t="str">
            <v>SV</v>
          </cell>
        </row>
        <row r="6896">
          <cell r="C6896">
            <v>3006978</v>
          </cell>
          <cell r="D6896" t="str">
            <v>ACESSO,MOV,ATEND,CONSULTA CONTA EM GERAL</v>
          </cell>
          <cell r="E6896" t="str">
            <v>SV</v>
          </cell>
        </row>
        <row r="6897">
          <cell r="C6897">
            <v>3006979</v>
          </cell>
          <cell r="D6897" t="str">
            <v>ACAB ULT PART OU COMP PROD S CESSAO MDO</v>
          </cell>
          <cell r="E6897" t="str">
            <v>SV</v>
          </cell>
        </row>
        <row r="6898">
          <cell r="C6898">
            <v>3006980</v>
          </cell>
          <cell r="D6898" t="str">
            <v>APRES DE PALESTRAS E CONG S CESSAO MDO</v>
          </cell>
          <cell r="E6898" t="str">
            <v>SV</v>
          </cell>
        </row>
        <row r="6899">
          <cell r="C6899">
            <v>3006981</v>
          </cell>
          <cell r="D6899" t="str">
            <v>STC-MICRO-ROD-C/AR-TUR-EV/EX-INTRA</v>
          </cell>
          <cell r="E6899" t="str">
            <v>SV</v>
          </cell>
        </row>
        <row r="6900">
          <cell r="C6900">
            <v>3006982</v>
          </cell>
          <cell r="D6900" t="str">
            <v>SRV DE COBR,RECEB E PAG EM GERAL</v>
          </cell>
          <cell r="E6900" t="str">
            <v>SV</v>
          </cell>
        </row>
        <row r="6901">
          <cell r="C6901">
            <v>3006983</v>
          </cell>
          <cell r="D6901" t="str">
            <v>ENG,ARQUIT,URB,PAISAG,DECOR INTERIORES</v>
          </cell>
          <cell r="E6901" t="str">
            <v>SV</v>
          </cell>
        </row>
        <row r="6902">
          <cell r="C6902">
            <v>3006984</v>
          </cell>
          <cell r="D6902" t="str">
            <v>STC-MICRO-ROD-S/AR-OPE-HAB-INTRA</v>
          </cell>
          <cell r="E6902" t="str">
            <v>SV</v>
          </cell>
        </row>
        <row r="6903">
          <cell r="C6903">
            <v>3006985</v>
          </cell>
          <cell r="D6903" t="str">
            <v>MOV,CARGA,DESCARGA,ARRUM-S CESSAO MDO.</v>
          </cell>
          <cell r="E6903" t="str">
            <v>SV</v>
          </cell>
        </row>
        <row r="6904">
          <cell r="C6904">
            <v>3006986</v>
          </cell>
          <cell r="D6904" t="str">
            <v>STC-ON-MIS-C/AR-C/RET-OPE-HAB-INTRA</v>
          </cell>
          <cell r="E6904" t="str">
            <v>SV</v>
          </cell>
        </row>
        <row r="6905">
          <cell r="C6905">
            <v>3006987</v>
          </cell>
          <cell r="D6905" t="str">
            <v>CALDERARIA ACO CARBONO MEDIA</v>
          </cell>
          <cell r="E6905" t="str">
            <v>SV</v>
          </cell>
        </row>
        <row r="6906">
          <cell r="C6906">
            <v>3006988</v>
          </cell>
          <cell r="D6906" t="str">
            <v>CALDERARIA EM ACO CARBONO PESADA</v>
          </cell>
          <cell r="E6906" t="str">
            <v>SV</v>
          </cell>
        </row>
        <row r="6907">
          <cell r="C6907">
            <v>3006989</v>
          </cell>
          <cell r="D6907" t="str">
            <v>SRV AEROPORTUARIOS E CONG S CESSAO MDO</v>
          </cell>
          <cell r="E6907" t="str">
            <v>SV</v>
          </cell>
        </row>
        <row r="6908">
          <cell r="C6908">
            <v>3006990</v>
          </cell>
          <cell r="D6908" t="str">
            <v>REFOR D EDIFICIOS,ESTS,CONG S CESSAO MDO</v>
          </cell>
          <cell r="E6908" t="str">
            <v>SV</v>
          </cell>
        </row>
        <row r="6909">
          <cell r="C6909">
            <v>3006991</v>
          </cell>
          <cell r="D6909" t="str">
            <v>COLETA OU RECICLAGEM DE LIXO E SIMILARES</v>
          </cell>
          <cell r="E6909" t="str">
            <v>SV</v>
          </cell>
        </row>
        <row r="6910">
          <cell r="C6910">
            <v>3006992</v>
          </cell>
          <cell r="D6910" t="str">
            <v>ENG,ARQUIT,URB,PAISAG-S CESSAO MDO.</v>
          </cell>
          <cell r="E6910" t="str">
            <v>SV</v>
          </cell>
        </row>
        <row r="6911">
          <cell r="C6911">
            <v>3006993</v>
          </cell>
          <cell r="D6911" t="str">
            <v>STC-ON-OFF-C/AR-C/RET-ADM-HAB-KM-INTRA</v>
          </cell>
          <cell r="E6911" t="str">
            <v>SV</v>
          </cell>
        </row>
        <row r="6912">
          <cell r="C6912">
            <v>3006994</v>
          </cell>
          <cell r="D6912" t="str">
            <v>STC-ON-OFF-C/AR-S/RET-ADM-HAB-KM-INTRA</v>
          </cell>
          <cell r="E6912" t="str">
            <v>SV</v>
          </cell>
        </row>
        <row r="6913">
          <cell r="C6913">
            <v>3006995</v>
          </cell>
          <cell r="D6913" t="str">
            <v>STC-ON-OFF-C/AR-S/RET-OPE-EV/EX-KM-INTRA</v>
          </cell>
          <cell r="E6913" t="str">
            <v>SV</v>
          </cell>
        </row>
        <row r="6914">
          <cell r="C6914">
            <v>3006996</v>
          </cell>
          <cell r="D6914" t="str">
            <v>RESTAU,PINT,BENEF,TING,GALV-S CESSAO MDO</v>
          </cell>
          <cell r="E6914" t="str">
            <v>SV</v>
          </cell>
        </row>
        <row r="6915">
          <cell r="C6915">
            <v>3006997</v>
          </cell>
          <cell r="D6915" t="str">
            <v>DEV DE TITULOS E SRV A ELES RELACIONADOS</v>
          </cell>
          <cell r="E6915" t="str">
            <v>SV</v>
          </cell>
        </row>
        <row r="6916">
          <cell r="C6916">
            <v>3006998</v>
          </cell>
          <cell r="D6916" t="str">
            <v>STC-ON-OFF-S/AR-S/RET-OPE-HAB-KM-INTRA</v>
          </cell>
          <cell r="E6916" t="str">
            <v>SV</v>
          </cell>
        </row>
        <row r="6917">
          <cell r="C6917">
            <v>3006999</v>
          </cell>
          <cell r="D6917" t="str">
            <v>STC-ON-ROD-C/AR-C/RET-OPE-HAB-KM-INTRA</v>
          </cell>
          <cell r="E6917" t="str">
            <v>SV</v>
          </cell>
        </row>
        <row r="6918">
          <cell r="C6918">
            <v>3007000</v>
          </cell>
          <cell r="D6918" t="str">
            <v>PROPAGANDA E PUBLICIDADE - S CESSAO MDO</v>
          </cell>
          <cell r="E6918" t="str">
            <v>SV</v>
          </cell>
        </row>
        <row r="6919">
          <cell r="C6919">
            <v>3007001</v>
          </cell>
          <cell r="D6919" t="str">
            <v>CUSTODIA EM GERAL</v>
          </cell>
          <cell r="E6919" t="str">
            <v>SV</v>
          </cell>
        </row>
        <row r="6920">
          <cell r="C6920">
            <v>3007002</v>
          </cell>
          <cell r="D6920" t="str">
            <v>DESMONTAGEM DE TRANSFORMADORES</v>
          </cell>
          <cell r="E6920" t="str">
            <v>SV</v>
          </cell>
        </row>
        <row r="6921">
          <cell r="C6921">
            <v>3007003</v>
          </cell>
          <cell r="D6921" t="str">
            <v>STC-ON-ROD-C/AR-C/RET-TUR-EV/EX-INTRA</v>
          </cell>
          <cell r="E6921" t="str">
            <v>SV</v>
          </cell>
        </row>
        <row r="6922">
          <cell r="C6922">
            <v>3007004</v>
          </cell>
          <cell r="D6922" t="str">
            <v>EMISSAO,LIQUID,ALT,CANC,BAIXA ORDENS PAG</v>
          </cell>
          <cell r="E6922" t="str">
            <v>SV</v>
          </cell>
        </row>
        <row r="6923">
          <cell r="C6923">
            <v>3007005</v>
          </cell>
          <cell r="D6923" t="str">
            <v>EMISSAO,DEV,SUSTACAO D CHEQUES QUAISQUER</v>
          </cell>
          <cell r="E6923" t="str">
            <v>SV</v>
          </cell>
        </row>
        <row r="6924">
          <cell r="C6924">
            <v>3007006</v>
          </cell>
          <cell r="D6924" t="str">
            <v>STC-ON-ROD-S/AR-C/RET-ADM-HAB-KM-INTRA</v>
          </cell>
          <cell r="E6924" t="str">
            <v>SV</v>
          </cell>
        </row>
        <row r="6925">
          <cell r="C6925">
            <v>3007007</v>
          </cell>
          <cell r="D6925" t="str">
            <v>SRV DE EXPLORACAO DE RODOVIA</v>
          </cell>
          <cell r="E6925" t="str">
            <v>SV</v>
          </cell>
        </row>
        <row r="6926">
          <cell r="C6926">
            <v>3007008</v>
          </cell>
          <cell r="D6926" t="str">
            <v>INSTAL,MONT,MAQS,EQUIP-S CESSAO MDO</v>
          </cell>
          <cell r="E6926" t="str">
            <v>SV</v>
          </cell>
        </row>
        <row r="6927">
          <cell r="C6927">
            <v>3007009</v>
          </cell>
          <cell r="D6927" t="str">
            <v>STC-ON-ROD-S/AR-S/RET-ADM-HAB-KM-INTRA</v>
          </cell>
          <cell r="E6927" t="str">
            <v>SV</v>
          </cell>
        </row>
        <row r="6928">
          <cell r="C6928">
            <v>3007010</v>
          </cell>
          <cell r="D6928" t="str">
            <v>EMB,PREP PROD,MERC P TRANSP-S CESSAO MDO</v>
          </cell>
          <cell r="E6928" t="str">
            <v>SV</v>
          </cell>
        </row>
        <row r="6929">
          <cell r="C6929">
            <v>3007011</v>
          </cell>
          <cell r="D6929" t="str">
            <v>STC-ON-URB-C/AR-C/RET-OPE-EV/EX-KM-INTRA</v>
          </cell>
          <cell r="E6929" t="str">
            <v>SV</v>
          </cell>
        </row>
        <row r="6930">
          <cell r="C6930">
            <v>3007012</v>
          </cell>
          <cell r="D6930" t="str">
            <v>MANUT E INSTAL DE HARDWARE- S CESSAO MDO</v>
          </cell>
          <cell r="E6930" t="str">
            <v>SV</v>
          </cell>
        </row>
        <row r="6931">
          <cell r="C6931">
            <v>3007013</v>
          </cell>
          <cell r="D6931" t="str">
            <v>INSTALACAO E CONFIGURACAO DE SOFTWARE</v>
          </cell>
          <cell r="E6931" t="str">
            <v>SV</v>
          </cell>
        </row>
        <row r="6932">
          <cell r="C6932">
            <v>3007014</v>
          </cell>
          <cell r="D6932" t="str">
            <v>REFOR D EDIFICIOS,ESTS,CONG S CESSAO MDO</v>
          </cell>
          <cell r="E6932" t="str">
            <v>SV</v>
          </cell>
        </row>
        <row r="6933">
          <cell r="C6933">
            <v>3007015</v>
          </cell>
          <cell r="D6933" t="str">
            <v>SRV COPA,PREP,DISTRIBUICAO S CESSAO MDO</v>
          </cell>
          <cell r="E6933" t="str">
            <v>SV</v>
          </cell>
        </row>
        <row r="6934">
          <cell r="C6934">
            <v>3007016</v>
          </cell>
          <cell r="D6934" t="str">
            <v>MANUT CONSERV MAQS,APARELHO;S CESSAO MDO</v>
          </cell>
          <cell r="E6934" t="str">
            <v>SV</v>
          </cell>
        </row>
        <row r="6935">
          <cell r="C6935">
            <v>3007017</v>
          </cell>
          <cell r="D6935" t="str">
            <v>ENFERMAGEM,INCLUS SRV AUX S CESSAO MDO</v>
          </cell>
          <cell r="E6935" t="str">
            <v>SV</v>
          </cell>
        </row>
        <row r="6936">
          <cell r="C6936">
            <v>3007018</v>
          </cell>
          <cell r="D6936" t="str">
            <v>SW L&amp;S TECN TI PLATAF-INF APL MIDDLEWAR</v>
          </cell>
          <cell r="E6936" t="str">
            <v>SV</v>
          </cell>
        </row>
        <row r="6937">
          <cell r="C6937">
            <v>3007019</v>
          </cell>
          <cell r="D6937" t="str">
            <v>STC-ON-URB-C/AR-S/RET-ADM-HAB-KM-INTRA</v>
          </cell>
          <cell r="E6937" t="str">
            <v>SV</v>
          </cell>
        </row>
        <row r="6938">
          <cell r="C6938">
            <v>3007020</v>
          </cell>
          <cell r="D6938" t="str">
            <v>STC-ON-URB-C/AR-S/RET-TUR-HAB-INTRA</v>
          </cell>
          <cell r="E6938" t="str">
            <v>SV</v>
          </cell>
        </row>
        <row r="6939">
          <cell r="C6939">
            <v>3007021</v>
          </cell>
          <cell r="D6939" t="str">
            <v>STC-ON-URB-C/AR-S/RET-TUR-HAB-KM-INTRA</v>
          </cell>
          <cell r="E6939" t="str">
            <v>SV</v>
          </cell>
        </row>
        <row r="6940">
          <cell r="C6940">
            <v>3007022</v>
          </cell>
          <cell r="D6940" t="str">
            <v>STC-ON-URB-S/AR-C/RET-ADM-EV/EX-INTRA</v>
          </cell>
          <cell r="E6940" t="str">
            <v>SV</v>
          </cell>
        </row>
        <row r="6941">
          <cell r="C6941">
            <v>3007023</v>
          </cell>
          <cell r="D6941" t="str">
            <v>STC-ON-URB-S/AR-C/RET-TUR-EV/EX-KM-INTRA</v>
          </cell>
          <cell r="E6941" t="str">
            <v>SV</v>
          </cell>
        </row>
        <row r="6942">
          <cell r="C6942">
            <v>3007024</v>
          </cell>
          <cell r="D6942" t="str">
            <v>STC-ON-URB-S/AR-S/RET-TUR-HAB-INTRA</v>
          </cell>
          <cell r="E6942" t="str">
            <v>SV</v>
          </cell>
        </row>
        <row r="6943">
          <cell r="C6943">
            <v>3007025</v>
          </cell>
          <cell r="D6943" t="str">
            <v>GUARDA,TRAT,AMESTRAM,EMBELEZ,ALOJAMENTO</v>
          </cell>
          <cell r="E6943" t="str">
            <v>SV</v>
          </cell>
        </row>
        <row r="6944">
          <cell r="C6944">
            <v>3007026</v>
          </cell>
          <cell r="D6944" t="str">
            <v>STC-VAN-ADM-EV/EX-INTRA</v>
          </cell>
          <cell r="E6944" t="str">
            <v>SV</v>
          </cell>
        </row>
        <row r="6945">
          <cell r="C6945">
            <v>3007027</v>
          </cell>
          <cell r="D6945" t="str">
            <v>REFOR D EDIFICIOS,ESTS,CONG S CESSAO MDO</v>
          </cell>
          <cell r="E6945" t="str">
            <v>SV</v>
          </cell>
        </row>
        <row r="6946">
          <cell r="C6946">
            <v>3007028</v>
          </cell>
          <cell r="D6946" t="str">
            <v>MUDANCA</v>
          </cell>
          <cell r="E6946" t="str">
            <v>SV</v>
          </cell>
        </row>
        <row r="6947">
          <cell r="C6947">
            <v>3007029</v>
          </cell>
          <cell r="D6947" t="str">
            <v>LOC D VEICULOS,BENS MOVEIS S CESSAO MDO</v>
          </cell>
          <cell r="E6947" t="str">
            <v>SV</v>
          </cell>
        </row>
        <row r="6948">
          <cell r="C6948">
            <v>3007030</v>
          </cell>
          <cell r="D6948" t="str">
            <v>STC-ON-ROD-S/AR-C/RET-OPE-EV/EX-KM-INTRA</v>
          </cell>
          <cell r="E6948" t="str">
            <v>SV</v>
          </cell>
        </row>
        <row r="6949">
          <cell r="C6949">
            <v>3007031</v>
          </cell>
          <cell r="D6949" t="str">
            <v>SUP TECNICO EM INFORMATICA-S CESSAO MDO</v>
          </cell>
          <cell r="E6949" t="str">
            <v>SV</v>
          </cell>
        </row>
        <row r="6950">
          <cell r="C6950">
            <v>3007032</v>
          </cell>
          <cell r="D6950" t="str">
            <v>FORJ,FUND,SERRALH,VULC,USIN S CESSAO MDO</v>
          </cell>
          <cell r="E6950" t="str">
            <v>SV</v>
          </cell>
        </row>
        <row r="6951">
          <cell r="C6951">
            <v>3007033</v>
          </cell>
          <cell r="D6951" t="str">
            <v>MANUT CONSERV MAQS,APARELHO;S CESSAO MDO</v>
          </cell>
          <cell r="E6951" t="str">
            <v>SV</v>
          </cell>
        </row>
        <row r="6952">
          <cell r="C6952">
            <v>3007034</v>
          </cell>
          <cell r="D6952" t="str">
            <v>MANUT CONSERV MAQS,APARELHO;S CESSAO MDO</v>
          </cell>
          <cell r="E6952" t="str">
            <v>SV</v>
          </cell>
        </row>
        <row r="6953">
          <cell r="C6953">
            <v>3007035</v>
          </cell>
          <cell r="D6953" t="str">
            <v>SRV INST MONTAGEM MAQUINARIO INDUSTR</v>
          </cell>
          <cell r="E6953" t="str">
            <v>SV</v>
          </cell>
        </row>
        <row r="6954">
          <cell r="C6954">
            <v>3007036</v>
          </cell>
          <cell r="D6954" t="str">
            <v>LOCACAO EQUIP MOV INTERNA - FORA ESTRADA</v>
          </cell>
          <cell r="E6954" t="str">
            <v>SV</v>
          </cell>
        </row>
        <row r="6955">
          <cell r="C6955">
            <v>3007037</v>
          </cell>
          <cell r="D6955" t="str">
            <v>SW DESENVOLV E CUSTOMIZACAO - SHAREPOINT</v>
          </cell>
          <cell r="E6955" t="str">
            <v>SV</v>
          </cell>
        </row>
        <row r="6956">
          <cell r="C6956">
            <v>3007038</v>
          </cell>
          <cell r="D6956" t="str">
            <v>STC-ON-ROD-S/AR-C/RET-TUR-HAB-KM-INTRA</v>
          </cell>
          <cell r="E6956" t="str">
            <v>SV</v>
          </cell>
        </row>
        <row r="6957">
          <cell r="C6957">
            <v>3007039</v>
          </cell>
          <cell r="D6957" t="str">
            <v>STC-ON-ROD-S/AR-S/RET-ADM-EV/EX-KM-INTRA</v>
          </cell>
          <cell r="E6957" t="str">
            <v>SV</v>
          </cell>
        </row>
        <row r="6958">
          <cell r="C6958">
            <v>3007040</v>
          </cell>
          <cell r="D6958" t="str">
            <v>EMBALAGEM,PREP DE PROD,MERC P TRANSP</v>
          </cell>
          <cell r="E6958" t="str">
            <v>SV</v>
          </cell>
        </row>
        <row r="6959">
          <cell r="C6959">
            <v>3007041</v>
          </cell>
          <cell r="D6959" t="str">
            <v>RECOND E ENROLAMEN DE MOTOR S CESSAO MDO</v>
          </cell>
          <cell r="E6959" t="str">
            <v>SV</v>
          </cell>
        </row>
        <row r="6960">
          <cell r="C6960">
            <v>3007042</v>
          </cell>
          <cell r="D6960" t="str">
            <v>PLANEJ,MANUT D PAGINA ELETR S CESSAO MDO</v>
          </cell>
          <cell r="E6960" t="str">
            <v>SV</v>
          </cell>
        </row>
        <row r="6961">
          <cell r="C6961">
            <v>3007043</v>
          </cell>
          <cell r="D6961" t="str">
            <v>TI - GERENCIAMENTO OPERACAO - PORTOS</v>
          </cell>
          <cell r="E6961" t="str">
            <v>SV</v>
          </cell>
        </row>
        <row r="6962">
          <cell r="C6962">
            <v>3007044</v>
          </cell>
          <cell r="D6962" t="str">
            <v>TI - CAPEX - IMPLEMENTACAO PROJ CAPITAL</v>
          </cell>
          <cell r="E6962" t="str">
            <v>SV</v>
          </cell>
        </row>
        <row r="6963">
          <cell r="C6963">
            <v>3007045</v>
          </cell>
          <cell r="D6963" t="str">
            <v>ENG,ARQUIT,URB,PAISAG-S CESSAO MDO.</v>
          </cell>
          <cell r="E6963" t="str">
            <v>SV</v>
          </cell>
        </row>
        <row r="6964">
          <cell r="C6964">
            <v>3007046</v>
          </cell>
          <cell r="D6964" t="str">
            <v>LEITURA DE MEDIDORES S CESSAO MDO</v>
          </cell>
          <cell r="E6964" t="str">
            <v>SV</v>
          </cell>
        </row>
        <row r="6965">
          <cell r="C6965">
            <v>3007047</v>
          </cell>
          <cell r="D6965" t="str">
            <v>ENG,ARQUIT,URB,PAISAG-S CESSAO MDO.</v>
          </cell>
          <cell r="E6965" t="str">
            <v>SV</v>
          </cell>
        </row>
        <row r="6966">
          <cell r="C6966">
            <v>3007048</v>
          </cell>
          <cell r="D6966" t="str">
            <v>SRV DE ANDAIME,LOC COM SRV- S CESSAO MDO</v>
          </cell>
          <cell r="E6966" t="str">
            <v>SV</v>
          </cell>
        </row>
        <row r="6967">
          <cell r="C6967">
            <v>3007049</v>
          </cell>
          <cell r="D6967" t="str">
            <v>ENG,ARQUIT,URB,PAISAG-S CESSAO MDO.</v>
          </cell>
          <cell r="E6967" t="str">
            <v>SV</v>
          </cell>
        </row>
        <row r="6968">
          <cell r="C6968">
            <v>3007050</v>
          </cell>
          <cell r="D6968" t="str">
            <v>MANUT CONSERV MAQS,APARELHO;S CESSAO MDO</v>
          </cell>
          <cell r="E6968" t="str">
            <v>SV</v>
          </cell>
        </row>
        <row r="6969">
          <cell r="C6969">
            <v>3007051</v>
          </cell>
          <cell r="D6969" t="str">
            <v>SERVICO DE COLETA E GESTAO DE RESIDUOS</v>
          </cell>
          <cell r="E6969" t="str">
            <v>SV</v>
          </cell>
        </row>
        <row r="6970">
          <cell r="C6970">
            <v>3007052</v>
          </cell>
          <cell r="D6970" t="str">
            <v>CONSERT,REP,RESTAUR,REFOR;S CESSAO MDO</v>
          </cell>
          <cell r="E6970" t="str">
            <v>SV</v>
          </cell>
        </row>
        <row r="6971">
          <cell r="C6971">
            <v>3007053</v>
          </cell>
          <cell r="D6971" t="str">
            <v>INSTR,TREINAM,EDUCAC-S CESSÃO MDO</v>
          </cell>
          <cell r="E6971" t="str">
            <v>SV</v>
          </cell>
        </row>
        <row r="6972">
          <cell r="C6972">
            <v>3007054</v>
          </cell>
          <cell r="D6972" t="str">
            <v>ELAB D PROGRS D COMPUTADOR S CESSAO MDO</v>
          </cell>
          <cell r="E6972" t="str">
            <v>SV</v>
          </cell>
        </row>
        <row r="6973">
          <cell r="C6973">
            <v>3007055</v>
          </cell>
          <cell r="D6973" t="str">
            <v>INCINER,DESTIN FINAL D LIXO S CESSAO MDO</v>
          </cell>
          <cell r="E6973" t="str">
            <v>SV</v>
          </cell>
        </row>
        <row r="6974">
          <cell r="C6974">
            <v>3007056</v>
          </cell>
          <cell r="D6974" t="str">
            <v>ANALISES CLINICAS E CONG S CESSAO MDO</v>
          </cell>
          <cell r="E6974" t="str">
            <v>SV</v>
          </cell>
        </row>
        <row r="6975">
          <cell r="C6975">
            <v>3007057</v>
          </cell>
          <cell r="D6975" t="str">
            <v>MANUT CONSERV MAQS,APARELHO;S CESSAO MDO</v>
          </cell>
          <cell r="E6975" t="str">
            <v>SV</v>
          </cell>
        </row>
        <row r="6976">
          <cell r="C6976">
            <v>3007058</v>
          </cell>
          <cell r="D6976" t="str">
            <v>STC-ON-ROD-C/AR-C/RET-OPE-EV/EX-INTRA</v>
          </cell>
          <cell r="E6976" t="str">
            <v>SV</v>
          </cell>
        </row>
        <row r="6977">
          <cell r="C6977">
            <v>3007059</v>
          </cell>
          <cell r="D6977" t="str">
            <v>STC-ON-OFF-S/AR-S/RET-OPE-EV/EX-INTRA</v>
          </cell>
          <cell r="E6977" t="str">
            <v>SV</v>
          </cell>
        </row>
        <row r="6978">
          <cell r="C6978">
            <v>3007060</v>
          </cell>
          <cell r="D6978" t="str">
            <v>STC-ON-URB-C/AR-C/RET-ADM-EV/EX-INTRA</v>
          </cell>
          <cell r="E6978" t="str">
            <v>SV</v>
          </cell>
        </row>
        <row r="6979">
          <cell r="C6979">
            <v>3007061</v>
          </cell>
          <cell r="D6979" t="str">
            <v>STC-ON-URB-C/AR-C/RET-OPE-EV/EX-INTRA</v>
          </cell>
          <cell r="E6979" t="str">
            <v>SV</v>
          </cell>
        </row>
        <row r="6980">
          <cell r="C6980">
            <v>3007062</v>
          </cell>
          <cell r="D6980" t="str">
            <v>STC-ON-ROD-C/AR-S/RET-TUR-EV/EX-KM-INTRA</v>
          </cell>
          <cell r="E6980" t="str">
            <v>SV</v>
          </cell>
        </row>
        <row r="6981">
          <cell r="C6981">
            <v>3007063</v>
          </cell>
          <cell r="D6981" t="str">
            <v>STC-ON-OFF-C/AR-S/RET-TUR-HAB-INTRA</v>
          </cell>
          <cell r="E6981" t="str">
            <v>SV</v>
          </cell>
        </row>
        <row r="6982">
          <cell r="C6982">
            <v>3007064</v>
          </cell>
          <cell r="D6982" t="str">
            <v>STC-ON-OFF-C/AR-S/RET-TUR-HAB-KM-INTRA</v>
          </cell>
          <cell r="E6982" t="str">
            <v>SV</v>
          </cell>
        </row>
        <row r="6983">
          <cell r="C6983">
            <v>3007065</v>
          </cell>
          <cell r="D6983" t="str">
            <v>STC-ON-OFF-C/AR-S/RET-TUR-EV/EX-INTRA</v>
          </cell>
          <cell r="E6983" t="str">
            <v>SV</v>
          </cell>
        </row>
        <row r="6984">
          <cell r="C6984">
            <v>3007066</v>
          </cell>
          <cell r="D6984" t="str">
            <v>STC-ON-OFF-C/AR-S/RET-OPE-HAB-KM-INTRA</v>
          </cell>
          <cell r="E6984" t="str">
            <v>SV</v>
          </cell>
        </row>
        <row r="6985">
          <cell r="C6985">
            <v>3007067</v>
          </cell>
          <cell r="D6985" t="str">
            <v>PROPAGANDA E PUBLICIDADE - S CESSAO MDO</v>
          </cell>
          <cell r="E6985" t="str">
            <v>SV</v>
          </cell>
        </row>
        <row r="6986">
          <cell r="C6986">
            <v>3007068</v>
          </cell>
          <cell r="D6986" t="str">
            <v>SRV TECNICOS EM EDIFICACOES S CESSAO MDO</v>
          </cell>
          <cell r="E6986" t="str">
            <v>SV</v>
          </cell>
        </row>
        <row r="6987">
          <cell r="C6987">
            <v>3007069</v>
          </cell>
          <cell r="D6987" t="str">
            <v>FORJ,FUND,SERRALH,VULC,USIN S CESSAO MDO</v>
          </cell>
          <cell r="E6987" t="str">
            <v>SV</v>
          </cell>
        </row>
        <row r="6988">
          <cell r="C6988">
            <v>3007070</v>
          </cell>
          <cell r="D6988" t="str">
            <v>ALFAIATARIA E COSTURA EXCT AVIAMENTO</v>
          </cell>
          <cell r="E6988" t="str">
            <v>SV</v>
          </cell>
        </row>
        <row r="6989">
          <cell r="C6989">
            <v>3007071</v>
          </cell>
          <cell r="D6989" t="str">
            <v>UNID ATEND,ASSIST,TRAT MOV S CESSAO MDO</v>
          </cell>
          <cell r="E6989" t="str">
            <v>SV</v>
          </cell>
        </row>
        <row r="6990">
          <cell r="C6990">
            <v>3007072</v>
          </cell>
          <cell r="D6990" t="str">
            <v>ENS REG PRE,FUND,MEDIO,SUP S CESSAO MDO</v>
          </cell>
          <cell r="E6990" t="str">
            <v>SV</v>
          </cell>
        </row>
        <row r="6991">
          <cell r="C6991">
            <v>3007073</v>
          </cell>
          <cell r="D6991" t="str">
            <v>INSTRUCAO,TREINAM E EDUCAC-S CESSAO MDO</v>
          </cell>
          <cell r="E6991" t="str">
            <v>SV</v>
          </cell>
        </row>
        <row r="6992">
          <cell r="C6992">
            <v>3007074</v>
          </cell>
          <cell r="D6992" t="str">
            <v>TREINAMENTO HABILIDADES PESSOAIS SET ADM</v>
          </cell>
          <cell r="E6992" t="str">
            <v>SV</v>
          </cell>
        </row>
        <row r="6993">
          <cell r="C6993">
            <v>3007075</v>
          </cell>
          <cell r="D6993" t="str">
            <v>TRANSPORTE DE PASSAGEIROS S CESSAO MDO</v>
          </cell>
          <cell r="E6993" t="str">
            <v>SV</v>
          </cell>
        </row>
        <row r="6994">
          <cell r="C6994">
            <v>3007076</v>
          </cell>
          <cell r="D6994" t="str">
            <v>TRANSP FERROVIARIO CARGA_VAGAO FECHADO</v>
          </cell>
          <cell r="E6994" t="str">
            <v>SV</v>
          </cell>
        </row>
        <row r="6995">
          <cell r="C6995">
            <v>3007077</v>
          </cell>
          <cell r="D6995" t="str">
            <v>MANUT CAPOTARIA,ESTOF GERAL S CESSAO MDO</v>
          </cell>
          <cell r="E6995" t="str">
            <v>SV</v>
          </cell>
        </row>
        <row r="6996">
          <cell r="C6996">
            <v>3007078</v>
          </cell>
          <cell r="D6996" t="str">
            <v>MANUT BOMBAS CENTR HORIZ;VERT POLPA;AGUA</v>
          </cell>
          <cell r="E6996" t="str">
            <v>SV</v>
          </cell>
        </row>
        <row r="6997">
          <cell r="C6997">
            <v>3007079</v>
          </cell>
          <cell r="D6997" t="str">
            <v>MANUT E REPARO REDES;LINHAS - MEDIA;ALTA</v>
          </cell>
          <cell r="E6997" t="str">
            <v>SV</v>
          </cell>
        </row>
        <row r="6998">
          <cell r="C6998">
            <v>3007080</v>
          </cell>
          <cell r="D6998" t="str">
            <v>MANUT CONSERV MAQS,APARELHO;S CESSAO MDO</v>
          </cell>
          <cell r="E6998" t="str">
            <v>SV</v>
          </cell>
        </row>
        <row r="6999">
          <cell r="C6999">
            <v>3007081</v>
          </cell>
          <cell r="D6999" t="str">
            <v>MANUTENCAO DE INSTRUMENTO DE MEDICAO</v>
          </cell>
          <cell r="E6999" t="str">
            <v>SV</v>
          </cell>
        </row>
        <row r="7000">
          <cell r="C7000">
            <v>3007082</v>
          </cell>
          <cell r="D7000" t="str">
            <v>SRV MANUTENCAO DE CENTRO DISTRIB ENERGIA</v>
          </cell>
          <cell r="E7000" t="str">
            <v>SV</v>
          </cell>
        </row>
        <row r="7001">
          <cell r="C7001">
            <v>3007083</v>
          </cell>
          <cell r="D7001" t="str">
            <v>MANUT CONSERV MAQS,EQUIPS MOV,PC,MOTORES</v>
          </cell>
          <cell r="E7001" t="str">
            <v>SV</v>
          </cell>
        </row>
        <row r="7002">
          <cell r="C7002">
            <v>3007084</v>
          </cell>
          <cell r="D7002" t="str">
            <v>LOCACAO EQUIPAMENTO MOVIMENTACAO INTERNA</v>
          </cell>
          <cell r="E7002" t="str">
            <v>SV</v>
          </cell>
        </row>
        <row r="7003">
          <cell r="C7003">
            <v>3007085</v>
          </cell>
          <cell r="D7003" t="str">
            <v>REFOR D EDIFICIOS,ESTS,CONG S CESSAO MDO</v>
          </cell>
          <cell r="E7003" t="str">
            <v>SV</v>
          </cell>
        </row>
        <row r="7004">
          <cell r="C7004">
            <v>3007086</v>
          </cell>
          <cell r="D7004" t="str">
            <v>MANUT CONSERV MAQS,APARELHO;S CESSAO MDO</v>
          </cell>
          <cell r="E7004" t="str">
            <v>SV</v>
          </cell>
        </row>
        <row r="7005">
          <cell r="C7005">
            <v>3007087</v>
          </cell>
          <cell r="D7005" t="str">
            <v>SW L&amp;S BACK OFFICE CORPORAT - FOLHA PGTO</v>
          </cell>
          <cell r="E7005" t="str">
            <v>SV</v>
          </cell>
        </row>
        <row r="7006">
          <cell r="C7006">
            <v>3007088</v>
          </cell>
          <cell r="D7006" t="str">
            <v>SW L&amp;S BACK OFFICE E CORPORAT - FINANCAS</v>
          </cell>
          <cell r="E7006" t="str">
            <v>SV</v>
          </cell>
        </row>
        <row r="7007">
          <cell r="C7007">
            <v>3007089</v>
          </cell>
          <cell r="D7007" t="str">
            <v>SW L&amp;S TECN TI PLATAF- S O GER ARMAZENA</v>
          </cell>
          <cell r="E7007" t="str">
            <v>SV</v>
          </cell>
        </row>
        <row r="7008">
          <cell r="C7008">
            <v>3007090</v>
          </cell>
          <cell r="D7008" t="str">
            <v>SRV MONTAGEM ELETROMECANICA PEQ PORTE</v>
          </cell>
          <cell r="E7008" t="str">
            <v>SV</v>
          </cell>
        </row>
        <row r="7009">
          <cell r="C7009">
            <v>3007091</v>
          </cell>
          <cell r="D7009" t="str">
            <v>SRV TECNICOS EM EDIFICACOES S CESSAO MDO</v>
          </cell>
          <cell r="E7009" t="str">
            <v>SV</v>
          </cell>
        </row>
        <row r="7010">
          <cell r="C7010">
            <v>3007092</v>
          </cell>
          <cell r="D7010" t="str">
            <v>MONTAGEM DE CAMINHAO FORA DE ESTRADA</v>
          </cell>
          <cell r="E7010" t="str">
            <v>SV</v>
          </cell>
        </row>
        <row r="7011">
          <cell r="C7011">
            <v>3007093</v>
          </cell>
          <cell r="D7011" t="str">
            <v>MONTAGEM DE PAINEIS</v>
          </cell>
          <cell r="E7011" t="str">
            <v>SV</v>
          </cell>
        </row>
        <row r="7012">
          <cell r="C7012">
            <v>3007094</v>
          </cell>
          <cell r="D7012" t="str">
            <v>MONTAGEM DE VALVULAS DE INSTRUMENTO</v>
          </cell>
          <cell r="E7012" t="str">
            <v>SV</v>
          </cell>
        </row>
        <row r="7013">
          <cell r="C7013">
            <v>3007095</v>
          </cell>
          <cell r="D7013" t="str">
            <v>INSTAL,MONT,MAQS,EQUIP-S CESSAO MDO</v>
          </cell>
          <cell r="E7013" t="str">
            <v>SV</v>
          </cell>
        </row>
        <row r="7014">
          <cell r="C7014">
            <v>3007096</v>
          </cell>
          <cell r="D7014" t="str">
            <v>MONTAGEM DE MAQUINA DE PATIO</v>
          </cell>
          <cell r="E7014" t="str">
            <v>SV</v>
          </cell>
        </row>
        <row r="7015">
          <cell r="C7015">
            <v>3007097</v>
          </cell>
          <cell r="D7015" t="str">
            <v>SRV TECNICOS EM EDIFICACOES S CESSAO MDO</v>
          </cell>
          <cell r="E7015" t="str">
            <v>SV</v>
          </cell>
        </row>
        <row r="7016">
          <cell r="C7016">
            <v>3007098</v>
          </cell>
          <cell r="D7016" t="str">
            <v>MOV,CARGA,DESCARGA,ARRUM-S CESSAO MDO.</v>
          </cell>
          <cell r="E7016" t="str">
            <v>SV</v>
          </cell>
        </row>
        <row r="7017">
          <cell r="C7017">
            <v>3007099</v>
          </cell>
          <cell r="D7017" t="str">
            <v>SRV TECNICOS EM EDIFICACOES S CESSAO MDO</v>
          </cell>
          <cell r="E7017" t="str">
            <v>SV</v>
          </cell>
        </row>
        <row r="7018">
          <cell r="C7018">
            <v>3007100</v>
          </cell>
          <cell r="D7018" t="str">
            <v>PINTURA E CROMAGEM OBJ QLQ, INCLUS PC</v>
          </cell>
          <cell r="E7018" t="str">
            <v>SV</v>
          </cell>
        </row>
        <row r="7019">
          <cell r="C7019">
            <v>3007101</v>
          </cell>
          <cell r="D7019" t="str">
            <v>CONSULT PROCESSO - MEIO AMBIENTE E SUST</v>
          </cell>
          <cell r="E7019" t="str">
            <v>SV</v>
          </cell>
        </row>
        <row r="7020">
          <cell r="C7020">
            <v>3007102</v>
          </cell>
          <cell r="D7020" t="str">
            <v>REP D MAQ,PC,MOTORES E CONG S CESSAO MDO</v>
          </cell>
          <cell r="E7020" t="str">
            <v>SV</v>
          </cell>
        </row>
        <row r="7021">
          <cell r="C7021">
            <v>3007103</v>
          </cell>
          <cell r="D7021" t="str">
            <v>PEACAO DE CARGA</v>
          </cell>
          <cell r="E7021" t="str">
            <v>SV</v>
          </cell>
        </row>
        <row r="7022">
          <cell r="C7022">
            <v>3007104</v>
          </cell>
          <cell r="D7022" t="str">
            <v>PRODUCAO EVENTO;CONGRESSO SIMILARES</v>
          </cell>
          <cell r="E7022" t="str">
            <v>SV</v>
          </cell>
        </row>
        <row r="7023">
          <cell r="C7023">
            <v>3007105</v>
          </cell>
          <cell r="D7023" t="str">
            <v>PROTESES SOB ENCOMENDA- S CESSAO MDO</v>
          </cell>
          <cell r="E7023" t="str">
            <v>SV</v>
          </cell>
        </row>
        <row r="7024">
          <cell r="C7024">
            <v>3007106</v>
          </cell>
          <cell r="D7024" t="str">
            <v>ASSESSORIA E CONSULTORIA EM INFORMATICA</v>
          </cell>
          <cell r="E7024" t="str">
            <v>SV</v>
          </cell>
        </row>
        <row r="7025">
          <cell r="C7025">
            <v>3007107</v>
          </cell>
          <cell r="D7025" t="str">
            <v>PROVEDOR E HOSTING</v>
          </cell>
          <cell r="E7025" t="str">
            <v>SV</v>
          </cell>
        </row>
        <row r="7026">
          <cell r="C7026">
            <v>3007108</v>
          </cell>
          <cell r="D7026" t="str">
            <v>ANALISES CLINICAS E CONG S CESSAO MDO</v>
          </cell>
          <cell r="E7026" t="str">
            <v>SV</v>
          </cell>
        </row>
        <row r="7027">
          <cell r="C7027">
            <v>3007109</v>
          </cell>
          <cell r="D7027" t="str">
            <v>RESTAU,PINT,BENEF,TING,GALV-S CESSAO MDO</v>
          </cell>
          <cell r="E7027" t="str">
            <v>SV</v>
          </cell>
        </row>
        <row r="7028">
          <cell r="C7028">
            <v>3007110</v>
          </cell>
          <cell r="D7028" t="str">
            <v>INSTRUCAO,TREINAM E EDUCAC-S CESSAO MDO</v>
          </cell>
          <cell r="E7028" t="str">
            <v>SV</v>
          </cell>
        </row>
        <row r="7029">
          <cell r="C7029">
            <v>3007111</v>
          </cell>
          <cell r="D7029" t="str">
            <v>RESTAU,PINT,BENEF,TING,GALV-S CESSAO MDO</v>
          </cell>
          <cell r="E7029" t="str">
            <v>SV</v>
          </cell>
        </row>
        <row r="7030">
          <cell r="C7030">
            <v>3007112</v>
          </cell>
          <cell r="D7030" t="str">
            <v>CONSULTORIA DE PROCESSO - S&amp;S</v>
          </cell>
          <cell r="E7030" t="str">
            <v>SV</v>
          </cell>
        </row>
        <row r="7031">
          <cell r="C7031">
            <v>3007113</v>
          </cell>
          <cell r="D7031" t="str">
            <v>SRV AEROPORTUARIOS E CONG S CESSAO MDO</v>
          </cell>
          <cell r="E7031" t="str">
            <v>SV</v>
          </cell>
        </row>
        <row r="7032">
          <cell r="C7032">
            <v>3007114</v>
          </cell>
          <cell r="D7032" t="str">
            <v>MANUT D CAPOTARIA E ESTOFAMENTO EM GERAL</v>
          </cell>
          <cell r="E7032" t="str">
            <v>SV</v>
          </cell>
        </row>
        <row r="7033">
          <cell r="C7033">
            <v>3007115</v>
          </cell>
          <cell r="D7033" t="str">
            <v>LIMP MAQ,VEIC,EQUIP,MOTOR S CESSAO MDO</v>
          </cell>
          <cell r="E7033" t="str">
            <v>SV</v>
          </cell>
        </row>
        <row r="7034">
          <cell r="C7034">
            <v>3007116</v>
          </cell>
          <cell r="D7034" t="str">
            <v>MANUT CONSERV MAQS,APARELHO;S CESSAO MDO</v>
          </cell>
          <cell r="E7034" t="str">
            <v>SV</v>
          </cell>
        </row>
        <row r="7035">
          <cell r="C7035">
            <v>3007117</v>
          </cell>
          <cell r="D7035" t="str">
            <v>MANUT CONSERV MAQS,APARELHO;S CESSAO MDO</v>
          </cell>
          <cell r="E7035" t="str">
            <v>SV</v>
          </cell>
        </row>
        <row r="7036">
          <cell r="C7036">
            <v>3007118</v>
          </cell>
          <cell r="D7036" t="str">
            <v>VARRICAO</v>
          </cell>
          <cell r="E7036" t="str">
            <v>SV</v>
          </cell>
        </row>
        <row r="7037">
          <cell r="C7037">
            <v>3007119</v>
          </cell>
          <cell r="D7037" t="str">
            <v>MANUT CONSERV MAQS,APARELHO;S CESSAO MDO</v>
          </cell>
          <cell r="E7037" t="str">
            <v>SV</v>
          </cell>
        </row>
        <row r="7038">
          <cell r="C7038">
            <v>3007120</v>
          </cell>
          <cell r="D7038" t="str">
            <v>SERVICO MANUTENCAO DE MAQUINA DE SOLDA</v>
          </cell>
          <cell r="E7038" t="str">
            <v>SV</v>
          </cell>
        </row>
        <row r="7039">
          <cell r="C7039">
            <v>3007121</v>
          </cell>
          <cell r="D7039" t="str">
            <v>SERVICO MANUTENCAO DE MAQUINA OPERATRIZ</v>
          </cell>
          <cell r="E7039" t="str">
            <v>SV</v>
          </cell>
        </row>
        <row r="7040">
          <cell r="C7040">
            <v>3007122</v>
          </cell>
          <cell r="D7040" t="str">
            <v>MANUT CONSERV MAQS,APARELHO;S CESSAO MDO</v>
          </cell>
          <cell r="E7040" t="str">
            <v>SV</v>
          </cell>
        </row>
        <row r="7041">
          <cell r="C7041">
            <v>3007123</v>
          </cell>
          <cell r="D7041" t="str">
            <v>ENG,ARQUIT,URB,PAISAG-S CESSAO MDO.</v>
          </cell>
          <cell r="E7041" t="str">
            <v>SV</v>
          </cell>
        </row>
        <row r="7042">
          <cell r="C7042">
            <v>3007124</v>
          </cell>
          <cell r="D7042" t="str">
            <v>MANUT CONSERV MAQS,APARELHO;S CESSAO MDO</v>
          </cell>
          <cell r="E7042" t="str">
            <v>SV</v>
          </cell>
        </row>
        <row r="7043">
          <cell r="C7043">
            <v>3007125</v>
          </cell>
          <cell r="D7043" t="str">
            <v>SOFTWARE - LICENCA E SUPORTE - EIM - SAP</v>
          </cell>
          <cell r="E7043" t="str">
            <v>SV</v>
          </cell>
        </row>
        <row r="7044">
          <cell r="C7044">
            <v>3007126</v>
          </cell>
          <cell r="D7044" t="str">
            <v>SISTEMA AUTOMACAO, SIST DE INTEGR, ETC</v>
          </cell>
          <cell r="E7044" t="str">
            <v>SV</v>
          </cell>
        </row>
        <row r="7045">
          <cell r="C7045">
            <v>3007127</v>
          </cell>
          <cell r="D7045" t="str">
            <v>STC-ON-URB-S/AR-S/RET-OPE-EV/EX-KM-INTRA</v>
          </cell>
          <cell r="E7045" t="str">
            <v>SV</v>
          </cell>
        </row>
        <row r="7046">
          <cell r="C7046">
            <v>3007128</v>
          </cell>
          <cell r="D7046" t="str">
            <v>STC-ON-URB-S/AR-S/RET-TUR-HAB-KM-INTRA</v>
          </cell>
          <cell r="E7046" t="str">
            <v>SV</v>
          </cell>
        </row>
        <row r="7047">
          <cell r="C7047">
            <v>3007129</v>
          </cell>
          <cell r="D7047" t="str">
            <v>STC-ON-ROD-C/AR-C/RET-ADM-EV/EX-INTRA</v>
          </cell>
          <cell r="E7047" t="str">
            <v>SV</v>
          </cell>
        </row>
        <row r="7048">
          <cell r="C7048">
            <v>3007130</v>
          </cell>
          <cell r="D7048" t="str">
            <v>STC-ON-ROD-C/AR-C/RET-ADM-HAB-INTRA</v>
          </cell>
          <cell r="E7048" t="str">
            <v>SV</v>
          </cell>
        </row>
        <row r="7049">
          <cell r="C7049">
            <v>3007131</v>
          </cell>
          <cell r="D7049" t="str">
            <v>STC-ON-MIS-S/AR-S/RET-ADM-EV/EX-INTRA</v>
          </cell>
          <cell r="E7049" t="str">
            <v>SV</v>
          </cell>
        </row>
        <row r="7050">
          <cell r="C7050">
            <v>3007132</v>
          </cell>
          <cell r="D7050" t="str">
            <v>MANUT CONSERV MAQS,APARELHO;S CESSAO MDO</v>
          </cell>
          <cell r="E7050" t="str">
            <v>SV</v>
          </cell>
        </row>
        <row r="7051">
          <cell r="C7051">
            <v>3007133</v>
          </cell>
          <cell r="D7051" t="str">
            <v>SRV TECNICOS EM EDIFICACOES S CESSAO MDO</v>
          </cell>
          <cell r="E7051" t="str">
            <v>SV</v>
          </cell>
        </row>
        <row r="7052">
          <cell r="C7052">
            <v>3007134</v>
          </cell>
          <cell r="D7052" t="str">
            <v>MOV,CARGA,DESCARGA,ARRUM-S CESSAO MDO.</v>
          </cell>
          <cell r="E7052" t="str">
            <v>SV</v>
          </cell>
        </row>
        <row r="7053">
          <cell r="C7053">
            <v>3007135</v>
          </cell>
          <cell r="D7053" t="str">
            <v>SRV PORTUARIO,LOGIST CONG-S CESSAO MDO</v>
          </cell>
          <cell r="E7053" t="str">
            <v>SV</v>
          </cell>
        </row>
        <row r="7054">
          <cell r="C7054">
            <v>3007136</v>
          </cell>
          <cell r="D7054" t="str">
            <v>VEICULACAO MIDIA IMPRESSA E SIMILAR</v>
          </cell>
          <cell r="E7054" t="str">
            <v>SV</v>
          </cell>
        </row>
        <row r="7055">
          <cell r="C7055">
            <v>3007137</v>
          </cell>
          <cell r="D7055" t="str">
            <v>STC-ON-OFF-C/AR-S/RET-OPE-EV/EX-INTRA</v>
          </cell>
          <cell r="E7055" t="str">
            <v>SV</v>
          </cell>
        </row>
        <row r="7056">
          <cell r="C7056">
            <v>3007138</v>
          </cell>
          <cell r="D7056" t="str">
            <v>STC-ON-MIS-S/AR-S/RET-ADM-EV/EX-KM-INTRA</v>
          </cell>
          <cell r="E7056" t="str">
            <v>SV</v>
          </cell>
        </row>
        <row r="7057">
          <cell r="C7057">
            <v>3007139</v>
          </cell>
          <cell r="D7057" t="str">
            <v>STC-ON-MIS-S/AR-S/RET-ADM-HAB-KM-INTRA</v>
          </cell>
          <cell r="E7057" t="str">
            <v>SV</v>
          </cell>
        </row>
        <row r="7058">
          <cell r="C7058">
            <v>3007140</v>
          </cell>
          <cell r="D7058" t="str">
            <v>STC-MICRO-ROD-C/AR-TUR-HAB-INTRA</v>
          </cell>
          <cell r="E7058" t="str">
            <v>SV</v>
          </cell>
        </row>
        <row r="7059">
          <cell r="C7059">
            <v>3007141</v>
          </cell>
          <cell r="D7059" t="str">
            <v>STC-ON-MIS-S/AR-S/RET-ADM-HAB-INTRA</v>
          </cell>
          <cell r="E7059" t="str">
            <v>SV</v>
          </cell>
        </row>
        <row r="7060">
          <cell r="C7060">
            <v>3007142</v>
          </cell>
          <cell r="D7060" t="str">
            <v>STC-MICRO-ROD-S/AR-ADM-EV/EX-INTRA</v>
          </cell>
          <cell r="E7060" t="str">
            <v>SV</v>
          </cell>
        </row>
        <row r="7061">
          <cell r="C7061">
            <v>3007143</v>
          </cell>
          <cell r="D7061" t="str">
            <v>SRV TECNICOS EM EDIFICACOES S CESSAO MDO</v>
          </cell>
          <cell r="E7061" t="str">
            <v>SV</v>
          </cell>
        </row>
        <row r="7062">
          <cell r="C7062">
            <v>3007144</v>
          </cell>
          <cell r="D7062" t="str">
            <v>STC-MICRO-ROD-C/AR-OPE-HAB-INTRA</v>
          </cell>
          <cell r="E7062" t="str">
            <v>SV</v>
          </cell>
        </row>
        <row r="7063">
          <cell r="C7063">
            <v>3007145</v>
          </cell>
          <cell r="D7063" t="str">
            <v>STC-ON-MIS-C/AR-C/RET-TUR-HAB-INTRA</v>
          </cell>
          <cell r="E7063" t="str">
            <v>SV</v>
          </cell>
        </row>
        <row r="7064">
          <cell r="C7064">
            <v>3007146</v>
          </cell>
          <cell r="D7064" t="str">
            <v>SRV TECNICOS EM EDIFICACOES S CESSAO MDO</v>
          </cell>
          <cell r="E7064" t="str">
            <v>SV</v>
          </cell>
        </row>
        <row r="7065">
          <cell r="C7065">
            <v>3007147</v>
          </cell>
          <cell r="D7065" t="str">
            <v>STC-ON-MIS-C/AR-S/RET-ADM-HAB-INTRA</v>
          </cell>
          <cell r="E7065" t="str">
            <v>SV</v>
          </cell>
        </row>
        <row r="7066">
          <cell r="C7066">
            <v>3007148</v>
          </cell>
          <cell r="D7066" t="str">
            <v>STC-ON-MIS-C/AR-C/RET-ADM-HAB-KM-INTRA</v>
          </cell>
          <cell r="E7066" t="str">
            <v>SV</v>
          </cell>
        </row>
        <row r="7067">
          <cell r="C7067">
            <v>3007149</v>
          </cell>
          <cell r="D7067" t="str">
            <v>STC-ON-MIS-S/AR-S/RET-OPE-HAB-KM-INTRA</v>
          </cell>
          <cell r="E7067" t="str">
            <v>SV</v>
          </cell>
        </row>
        <row r="7068">
          <cell r="C7068">
            <v>3007150</v>
          </cell>
          <cell r="D7068" t="str">
            <v>STC-MICRO-ROD-S/AR-ADM-HAB-INTRA</v>
          </cell>
          <cell r="E7068" t="str">
            <v>SV</v>
          </cell>
        </row>
        <row r="7069">
          <cell r="C7069">
            <v>3007151</v>
          </cell>
          <cell r="D7069" t="str">
            <v>SRV AEROPORTUARIOS E CONG S CESSAO MDO</v>
          </cell>
          <cell r="E7069" t="str">
            <v>SV</v>
          </cell>
        </row>
        <row r="7070">
          <cell r="C7070">
            <v>3007152</v>
          </cell>
          <cell r="D7070" t="str">
            <v>ANALISE DE ORGANIZACAO E METODOS</v>
          </cell>
          <cell r="E7070" t="str">
            <v>SV</v>
          </cell>
        </row>
        <row r="7071">
          <cell r="C7071">
            <v>3007153</v>
          </cell>
          <cell r="D7071" t="str">
            <v>SRV MOVIMENTACAO MERCADORIA RODOVIARIO</v>
          </cell>
          <cell r="E7071" t="str">
            <v>SV</v>
          </cell>
        </row>
        <row r="7072">
          <cell r="C7072">
            <v>3007154</v>
          </cell>
          <cell r="D7072" t="str">
            <v>MANUT CONSERV MAQS,APARELHO;S CESSAO MDO</v>
          </cell>
          <cell r="E7072" t="str">
            <v>SV</v>
          </cell>
        </row>
        <row r="7073">
          <cell r="C7073">
            <v>3007155</v>
          </cell>
          <cell r="D7073" t="str">
            <v>ATUARIA,CALCULOS TECNICOS D QUALQUER NAT</v>
          </cell>
          <cell r="E7073" t="str">
            <v>SV</v>
          </cell>
        </row>
        <row r="7074">
          <cell r="C7074">
            <v>3007156</v>
          </cell>
          <cell r="D7074" t="str">
            <v>REFOR D EDIFICIOS,ESTS,CONG S CESSAO MDO</v>
          </cell>
          <cell r="E7074" t="str">
            <v>SV</v>
          </cell>
        </row>
        <row r="7075">
          <cell r="C7075">
            <v>3007157</v>
          </cell>
          <cell r="D7075" t="str">
            <v>MANUT CONSERV MAQS,APARELHO;S CESSAO MDO</v>
          </cell>
          <cell r="E7075" t="str">
            <v>SV</v>
          </cell>
        </row>
        <row r="7076">
          <cell r="C7076">
            <v>3007158</v>
          </cell>
          <cell r="D7076" t="str">
            <v>MANUT CONSERV MAQS,APARELHO;S CESSAO MDO</v>
          </cell>
          <cell r="E7076" t="str">
            <v>SV</v>
          </cell>
        </row>
        <row r="7077">
          <cell r="C7077">
            <v>3007159</v>
          </cell>
          <cell r="D7077" t="str">
            <v>MANUT CONSERV MAQS,APARELHO;S CESSAO MDO</v>
          </cell>
          <cell r="E7077" t="str">
            <v>SV</v>
          </cell>
        </row>
        <row r="7078">
          <cell r="C7078">
            <v>3007160</v>
          </cell>
          <cell r="D7078" t="str">
            <v>SRV MANUTENCAO DE BOMBA E BICO INJETOR</v>
          </cell>
          <cell r="E7078" t="str">
            <v>SV</v>
          </cell>
        </row>
        <row r="7079">
          <cell r="C7079">
            <v>3007161</v>
          </cell>
          <cell r="D7079" t="str">
            <v>ESTALEIROS NAV BRAS,CONSERV S CESSAO MDO</v>
          </cell>
          <cell r="E7079" t="str">
            <v>SV</v>
          </cell>
        </row>
        <row r="7080">
          <cell r="C7080">
            <v>3007162</v>
          </cell>
          <cell r="D7080" t="str">
            <v>DATILOGRAF,INFRA ADM E CONG S CESSAO MDO</v>
          </cell>
          <cell r="E7080" t="str">
            <v>SV</v>
          </cell>
        </row>
        <row r="7081">
          <cell r="C7081">
            <v>3007163</v>
          </cell>
          <cell r="D7081" t="str">
            <v>SRV CALIBRACAO EQUIPAMENTO TEMPERATURA</v>
          </cell>
          <cell r="E7081" t="str">
            <v>SV</v>
          </cell>
        </row>
        <row r="7082">
          <cell r="C7082">
            <v>3007164</v>
          </cell>
          <cell r="D7082" t="str">
            <v>SRV CARREGAMENTO CARGAS FERROVIA</v>
          </cell>
          <cell r="E7082" t="str">
            <v>SV</v>
          </cell>
        </row>
        <row r="7083">
          <cell r="C7083">
            <v>3007165</v>
          </cell>
          <cell r="D7083" t="str">
            <v>SRV CALIBRACAO EQUIPAMENTO DE RADIACAO</v>
          </cell>
          <cell r="E7083" t="str">
            <v>SV</v>
          </cell>
        </row>
        <row r="7084">
          <cell r="C7084">
            <v>3007166</v>
          </cell>
          <cell r="D7084" t="str">
            <v>ENG,ARQUIT,URB,PAISAG,DECOR INTERIORES</v>
          </cell>
          <cell r="E7084" t="str">
            <v>SV</v>
          </cell>
        </row>
        <row r="7085">
          <cell r="C7085">
            <v>3007167</v>
          </cell>
          <cell r="D7085" t="str">
            <v>SRV CALIBRACAO DE EQUIPAMENTO DE VAZAO</v>
          </cell>
          <cell r="E7085" t="str">
            <v>SV</v>
          </cell>
        </row>
        <row r="7086">
          <cell r="C7086">
            <v>3007168</v>
          </cell>
          <cell r="D7086" t="str">
            <v>SRV FARMACÊUTICOS- S CESSÃO MDO.</v>
          </cell>
          <cell r="E7086" t="str">
            <v>SV</v>
          </cell>
        </row>
        <row r="7087">
          <cell r="C7087">
            <v>3007169</v>
          </cell>
          <cell r="D7087" t="str">
            <v>RESTAU,PINT,BENEF,TING,GALV-S CESSAO MDO</v>
          </cell>
          <cell r="E7087" t="str">
            <v>SV</v>
          </cell>
        </row>
        <row r="7088">
          <cell r="C7088">
            <v>3007170</v>
          </cell>
          <cell r="D7088" t="str">
            <v>TAPCRIA E REFOR DE ESTOFAMENTOS EM GERAL</v>
          </cell>
          <cell r="E7088" t="str">
            <v>SV</v>
          </cell>
        </row>
        <row r="7089">
          <cell r="C7089">
            <v>3007171</v>
          </cell>
          <cell r="D7089" t="str">
            <v>ENG,ARQUIT,URB,PAISAG-S CESSAO MDO.</v>
          </cell>
          <cell r="E7089" t="str">
            <v>SV</v>
          </cell>
        </row>
        <row r="7090">
          <cell r="C7090">
            <v>3007172</v>
          </cell>
          <cell r="D7090" t="str">
            <v>RESGATE</v>
          </cell>
          <cell r="E7090" t="str">
            <v>SV</v>
          </cell>
        </row>
        <row r="7091">
          <cell r="C7091">
            <v>3007173</v>
          </cell>
          <cell r="D7091" t="str">
            <v>CONSERT,REP,RESTAUR,REFOR;S CESSAO MDO</v>
          </cell>
          <cell r="E7091" t="str">
            <v>SV</v>
          </cell>
        </row>
        <row r="7092">
          <cell r="C7092">
            <v>3007174</v>
          </cell>
          <cell r="D7092" t="str">
            <v>STC-ON-OFF-S/AR-C/RET-OPE-EV/EX-KM-INTRA</v>
          </cell>
          <cell r="E7092" t="str">
            <v>SV</v>
          </cell>
        </row>
        <row r="7093">
          <cell r="C7093">
            <v>3007175</v>
          </cell>
          <cell r="D7093" t="str">
            <v>ENGENHARIA CONCEITUAL</v>
          </cell>
          <cell r="E7093" t="str">
            <v>SV</v>
          </cell>
        </row>
        <row r="7094">
          <cell r="C7094">
            <v>3007176</v>
          </cell>
          <cell r="D7094" t="str">
            <v>TI - SOL BACKOFFICE CORP-FINANCA-IMPOST</v>
          </cell>
          <cell r="E7094" t="str">
            <v>SV</v>
          </cell>
        </row>
        <row r="7095">
          <cell r="C7095">
            <v>3007177</v>
          </cell>
          <cell r="D7095" t="str">
            <v>ENG,ARQUIT,URB,PAISAG-S CESSAO MDO.</v>
          </cell>
          <cell r="E7095" t="str">
            <v>SV</v>
          </cell>
        </row>
        <row r="7096">
          <cell r="C7096">
            <v>3007178</v>
          </cell>
          <cell r="D7096" t="str">
            <v>ENG,ARQUIT,URB,PAISAG-S CESSAO MDO.</v>
          </cell>
          <cell r="E7096" t="str">
            <v>SV</v>
          </cell>
        </row>
        <row r="7097">
          <cell r="C7097">
            <v>3007179</v>
          </cell>
          <cell r="D7097" t="str">
            <v>LICENCIAM USO PROGR COMPUT S CESSAO MDO</v>
          </cell>
          <cell r="E7097" t="str">
            <v>SV</v>
          </cell>
        </row>
        <row r="7098">
          <cell r="C7098">
            <v>3007180</v>
          </cell>
          <cell r="D7098" t="str">
            <v>SW LICENCA SUPORTE OPER- GER SUPRIMENTOS</v>
          </cell>
          <cell r="E7098" t="str">
            <v>SV</v>
          </cell>
        </row>
        <row r="7099">
          <cell r="C7099">
            <v>3007181</v>
          </cell>
          <cell r="D7099" t="str">
            <v>MANUT CONSERV MAQS,APARELHO;S CESSAO MDO</v>
          </cell>
          <cell r="E7099" t="str">
            <v>SV</v>
          </cell>
        </row>
        <row r="7100">
          <cell r="C7100">
            <v>3007182</v>
          </cell>
          <cell r="D7100" t="str">
            <v>MANUT CONSERV MAQS,APARELHO;S CESSAO MDO</v>
          </cell>
          <cell r="E7100" t="str">
            <v>SV</v>
          </cell>
        </row>
        <row r="7101">
          <cell r="C7101">
            <v>3007183</v>
          </cell>
          <cell r="D7101" t="str">
            <v>MANUT CONSERV MAQS,APARELHO;S CESSAO MDO</v>
          </cell>
          <cell r="E7101" t="str">
            <v>SV</v>
          </cell>
        </row>
        <row r="7102">
          <cell r="C7102">
            <v>3007184</v>
          </cell>
          <cell r="D7102" t="str">
            <v>MANUT CONSERV MAQS,APARELHO;S CESSAO MDO</v>
          </cell>
          <cell r="E7102" t="str">
            <v>SV</v>
          </cell>
        </row>
        <row r="7103">
          <cell r="C7103">
            <v>3007185</v>
          </cell>
          <cell r="D7103" t="str">
            <v>SERVICOS TRANSPORTE NATUREZA MUNICIPAL</v>
          </cell>
          <cell r="E7103" t="str">
            <v>SV</v>
          </cell>
        </row>
        <row r="7104">
          <cell r="C7104">
            <v>3007186</v>
          </cell>
          <cell r="D7104" t="str">
            <v>MANUT CONSERV MAQS,APARELHO;S CESSAO MDO</v>
          </cell>
          <cell r="E7104" t="str">
            <v>SV</v>
          </cell>
        </row>
        <row r="7105">
          <cell r="C7105">
            <v>3007187</v>
          </cell>
          <cell r="D7105" t="str">
            <v>AVALIACAO CONHECIMENTOS</v>
          </cell>
          <cell r="E7105" t="str">
            <v>SV</v>
          </cell>
        </row>
        <row r="7106">
          <cell r="C7106">
            <v>3007188</v>
          </cell>
          <cell r="D7106" t="str">
            <v>USINAGEM PECAS LEVE</v>
          </cell>
          <cell r="E7106" t="str">
            <v>SV</v>
          </cell>
        </row>
        <row r="7107">
          <cell r="C7107">
            <v>3007189</v>
          </cell>
          <cell r="D7107" t="str">
            <v>STC-ON-MIS-C/AR-C/RET-ADM-HAB-INTRA</v>
          </cell>
          <cell r="E7107" t="str">
            <v>SV</v>
          </cell>
        </row>
        <row r="7108">
          <cell r="C7108">
            <v>3007190</v>
          </cell>
          <cell r="D7108" t="str">
            <v>PERICIA;LAUDO;EXAMES;ANALISE TECNICA</v>
          </cell>
          <cell r="E7108" t="str">
            <v>SV</v>
          </cell>
        </row>
        <row r="7109">
          <cell r="C7109">
            <v>3007191</v>
          </cell>
          <cell r="D7109" t="str">
            <v>TERAP OCUP FISIOT FONOAUD S/CESSMAO OBRA</v>
          </cell>
          <cell r="E7109" t="str">
            <v>SV</v>
          </cell>
        </row>
        <row r="7110">
          <cell r="C7110">
            <v>3007192</v>
          </cell>
          <cell r="D7110" t="str">
            <v>TRAT E PURIFICACAO DE AGUA S CESSAO MDO</v>
          </cell>
          <cell r="E7110" t="str">
            <v>SV</v>
          </cell>
        </row>
        <row r="7111">
          <cell r="C7111">
            <v>3007193</v>
          </cell>
          <cell r="D7111" t="str">
            <v>STC-ON-MIS-C/AR-S/RET-OPE-EV/EX-KM-INTRA</v>
          </cell>
          <cell r="E7111" t="str">
            <v>SV</v>
          </cell>
        </row>
        <row r="7112">
          <cell r="C7112">
            <v>3007194</v>
          </cell>
          <cell r="D7112" t="str">
            <v>MANUT CONSERV MAQS,APARELHO;S CESSAO MDO</v>
          </cell>
          <cell r="E7112" t="str">
            <v>SV</v>
          </cell>
        </row>
        <row r="7113">
          <cell r="C7113">
            <v>3007195</v>
          </cell>
          <cell r="D7113" t="str">
            <v>STC-ON-MIS-S/AR-C/RET-ADM-EV/EX-INTRA</v>
          </cell>
          <cell r="E7113" t="str">
            <v>SV</v>
          </cell>
        </row>
        <row r="7114">
          <cell r="C7114">
            <v>3007196</v>
          </cell>
          <cell r="D7114" t="str">
            <v>CALAFETACAO S CESSAO MDO</v>
          </cell>
          <cell r="E7114" t="str">
            <v>SV</v>
          </cell>
        </row>
        <row r="7115">
          <cell r="C7115">
            <v>3007197</v>
          </cell>
          <cell r="D7115" t="str">
            <v>STC-ON-MIS-S/AR-C/RET-OPE-HAB-KM-INTRA</v>
          </cell>
          <cell r="E7115" t="str">
            <v>SV</v>
          </cell>
        </row>
        <row r="7116">
          <cell r="C7116">
            <v>3007198</v>
          </cell>
          <cell r="D7116" t="str">
            <v>STC-ON-MIS-S/AR-C/RET-TUR-EV/EX-KM-INTRA</v>
          </cell>
          <cell r="E7116" t="str">
            <v>SV</v>
          </cell>
        </row>
        <row r="7117">
          <cell r="C7117">
            <v>3007199</v>
          </cell>
          <cell r="D7117" t="str">
            <v>DISP ÁUDIO VÍDEO IMAGEM TEXTO P INTERNET</v>
          </cell>
          <cell r="E7117" t="str">
            <v>SV</v>
          </cell>
        </row>
        <row r="7118">
          <cell r="C7118">
            <v>3007200</v>
          </cell>
          <cell r="D7118" t="str">
            <v>STC-ON-MIS-S/AR-C/RET-TUR-HAB-KM-INTRA</v>
          </cell>
          <cell r="E7118" t="str">
            <v>SV</v>
          </cell>
        </row>
        <row r="7119">
          <cell r="C7119">
            <v>3007201</v>
          </cell>
          <cell r="D7119" t="str">
            <v>STC-ON-MIS-S/AR-S/RET-OPE-HAB-INTRA</v>
          </cell>
          <cell r="E7119" t="str">
            <v>SV</v>
          </cell>
        </row>
        <row r="7120">
          <cell r="C7120">
            <v>3007202</v>
          </cell>
          <cell r="D7120" t="str">
            <v>STC-ON-MIS-S/AR-S/RET-TUR-EV/EX-INTRA</v>
          </cell>
          <cell r="E7120" t="str">
            <v>SV</v>
          </cell>
        </row>
        <row r="7121">
          <cell r="C7121">
            <v>3007203</v>
          </cell>
          <cell r="D7121" t="str">
            <v>TRAT, SEPAR E TRANSFOR DE LIXO E SIMILAR</v>
          </cell>
          <cell r="E7121" t="str">
            <v>SV</v>
          </cell>
        </row>
        <row r="7122">
          <cell r="C7122">
            <v>3007204</v>
          </cell>
          <cell r="D7122" t="str">
            <v>REFOR D EDIFICIOS,ESTS,CONG S CESSAO MDO</v>
          </cell>
          <cell r="E7122" t="str">
            <v>SV</v>
          </cell>
        </row>
        <row r="7123">
          <cell r="C7123">
            <v>3007205</v>
          </cell>
          <cell r="D7123" t="str">
            <v>TRANSP RELAC A ENTREGA DOC S CESSAO MDO</v>
          </cell>
          <cell r="E7123" t="str">
            <v>SV</v>
          </cell>
        </row>
        <row r="7124">
          <cell r="C7124">
            <v>3007206</v>
          </cell>
          <cell r="D7124" t="str">
            <v>TRANSP FERROVIARIO DE CARGA_VAGAO ABERTO</v>
          </cell>
          <cell r="E7124" t="str">
            <v>SV</v>
          </cell>
        </row>
        <row r="7125">
          <cell r="C7125">
            <v>3007207</v>
          </cell>
          <cell r="D7125" t="str">
            <v>REFOR D EDIFICIOS,ESTS,CONG S CESSAO MDO</v>
          </cell>
          <cell r="E7125" t="str">
            <v>SV</v>
          </cell>
        </row>
        <row r="7126">
          <cell r="C7126">
            <v>3007208</v>
          </cell>
          <cell r="D7126" t="str">
            <v>STC-ON-OFF-C/AR-S/RET-ADM-EV/EX-KM-INTRA</v>
          </cell>
          <cell r="E7126" t="str">
            <v>SV</v>
          </cell>
        </row>
        <row r="7127">
          <cell r="C7127">
            <v>3007209</v>
          </cell>
          <cell r="D7127" t="str">
            <v>CONSULTORIA TECNICA INFORMATICA</v>
          </cell>
          <cell r="E7127" t="str">
            <v>SV</v>
          </cell>
        </row>
        <row r="7128">
          <cell r="C7128">
            <v>3007210</v>
          </cell>
          <cell r="D7128" t="str">
            <v>CONVERSAO MARITIMA DE NAVIOS</v>
          </cell>
          <cell r="E7128" t="str">
            <v>SV</v>
          </cell>
        </row>
        <row r="7129">
          <cell r="C7129">
            <v>3007211</v>
          </cell>
          <cell r="D7129" t="str">
            <v>STC-ON-OFF-S/AR-C/RET-ADM-EV/EX-KM-INTRA</v>
          </cell>
          <cell r="E7129" t="str">
            <v>SV</v>
          </cell>
        </row>
        <row r="7130">
          <cell r="C7130">
            <v>3007212</v>
          </cell>
          <cell r="D7130" t="str">
            <v>GUARDA VEIC TERRESTR AUTOMOT,AERO,EMBARC</v>
          </cell>
          <cell r="E7130" t="str">
            <v>SV</v>
          </cell>
        </row>
        <row r="7131">
          <cell r="C7131">
            <v>3007213</v>
          </cell>
          <cell r="D7131" t="str">
            <v>STC-ON-OFF-S/AR-C/RET-TUR-HAB-KM-INTRA</v>
          </cell>
          <cell r="E7131" t="str">
            <v>SV</v>
          </cell>
        </row>
        <row r="7132">
          <cell r="C7132">
            <v>3007214</v>
          </cell>
          <cell r="D7132" t="str">
            <v>CENTRAL DADOS - SISTEMA DE GERENCIAMENTO</v>
          </cell>
          <cell r="E7132" t="str">
            <v>SV</v>
          </cell>
        </row>
        <row r="7133">
          <cell r="C7133">
            <v>3007215</v>
          </cell>
          <cell r="D7133" t="str">
            <v>SW LICENCA SUPORTE OPERACOES - GED</v>
          </cell>
          <cell r="E7133" t="str">
            <v>SV</v>
          </cell>
        </row>
        <row r="7134">
          <cell r="C7134">
            <v>3007216</v>
          </cell>
          <cell r="D7134" t="str">
            <v>PREPARACAO DE DADOS PARA PROCESSAMENTO</v>
          </cell>
          <cell r="E7134" t="str">
            <v>SV</v>
          </cell>
        </row>
        <row r="7135">
          <cell r="C7135">
            <v>3007217</v>
          </cell>
          <cell r="D7135" t="str">
            <v>SW LICENCA SUP OPERACOES-TRANSPORTATION</v>
          </cell>
          <cell r="E7135" t="str">
            <v>SV</v>
          </cell>
        </row>
        <row r="7136">
          <cell r="C7136">
            <v>3007218</v>
          </cell>
          <cell r="D7136" t="str">
            <v>SERVICO DE OPERACAO DE SERVIDORES (DC)</v>
          </cell>
          <cell r="E7136" t="str">
            <v>SV</v>
          </cell>
        </row>
        <row r="7137">
          <cell r="C7137">
            <v>3007219</v>
          </cell>
          <cell r="D7137" t="str">
            <v>STC-ON-ROD-C/AR-C/RET-OPE-EV/EX-KM-INTRA</v>
          </cell>
          <cell r="E7137" t="str">
            <v>SV</v>
          </cell>
        </row>
        <row r="7138">
          <cell r="C7138">
            <v>3007220</v>
          </cell>
          <cell r="D7138" t="str">
            <v>STC-ON-ROD-C/AR-C/RET-ADM-HAB-KM-INTRA</v>
          </cell>
          <cell r="E7138" t="str">
            <v>SV</v>
          </cell>
        </row>
        <row r="7139">
          <cell r="C7139">
            <v>3007221</v>
          </cell>
          <cell r="D7139" t="str">
            <v>SW LICENCA SUPORTE OPERACOES - OUTROS</v>
          </cell>
          <cell r="E7139" t="str">
            <v>SV</v>
          </cell>
        </row>
        <row r="7140">
          <cell r="C7140">
            <v>3007222</v>
          </cell>
          <cell r="D7140" t="str">
            <v>STC-ON-ROD-C/AR-C/RET-TUR-HAB-INTRA</v>
          </cell>
          <cell r="E7140" t="str">
            <v>SV</v>
          </cell>
        </row>
        <row r="7141">
          <cell r="C7141">
            <v>3007223</v>
          </cell>
          <cell r="D7141" t="str">
            <v>STC-ON-ROD-C/AR-S/RET-OPE-HAB-INTRA</v>
          </cell>
          <cell r="E7141" t="str">
            <v>SV</v>
          </cell>
        </row>
        <row r="7142">
          <cell r="C7142">
            <v>3007224</v>
          </cell>
          <cell r="D7142" t="str">
            <v>STC-ON-ROD-C/AR-S/RET-ADM-HAB-KM-INTRA</v>
          </cell>
          <cell r="E7142" t="str">
            <v>SV</v>
          </cell>
        </row>
        <row r="7143">
          <cell r="C7143">
            <v>3007225</v>
          </cell>
          <cell r="D7143" t="str">
            <v>DESMONTAGEM DE MAQUINA DE PATIO</v>
          </cell>
          <cell r="E7143" t="str">
            <v>SV</v>
          </cell>
        </row>
        <row r="7144">
          <cell r="C7144">
            <v>3007226</v>
          </cell>
          <cell r="D7144" t="str">
            <v>DESMONTAGEM DE VALVULAS DE INSTRUMENTO</v>
          </cell>
          <cell r="E7144" t="str">
            <v>SV</v>
          </cell>
        </row>
        <row r="7145">
          <cell r="C7145">
            <v>3007227</v>
          </cell>
          <cell r="D7145" t="str">
            <v>STC-ON-ROD-S/AR-C/RET-ADM-EV/EX-KM-INTRA</v>
          </cell>
          <cell r="E7145" t="str">
            <v>SV</v>
          </cell>
        </row>
        <row r="7146">
          <cell r="C7146">
            <v>3007228</v>
          </cell>
          <cell r="D7146" t="str">
            <v>SW L&amp;S TECN TI PLATAF-GER OPERACOES TI</v>
          </cell>
          <cell r="E7146" t="str">
            <v>SV</v>
          </cell>
        </row>
        <row r="7147">
          <cell r="C7147">
            <v>3007229</v>
          </cell>
          <cell r="D7147" t="str">
            <v>DESMONTAGEM PROTECOES E REVESTIMENTO</v>
          </cell>
          <cell r="E7147" t="str">
            <v>SV</v>
          </cell>
        </row>
        <row r="7148">
          <cell r="C7148">
            <v>3007230</v>
          </cell>
          <cell r="D7148" t="str">
            <v>ENSINO REG PRE-ESCOLAR,FUND,MEDIO,SUP</v>
          </cell>
          <cell r="E7148" t="str">
            <v>SV</v>
          </cell>
        </row>
        <row r="7149">
          <cell r="C7149">
            <v>3007231</v>
          </cell>
          <cell r="D7149" t="str">
            <v>STC-ON-URB-S/AR-S/RET-OPE-HAB-INTRA</v>
          </cell>
          <cell r="E7149" t="str">
            <v>SV</v>
          </cell>
        </row>
        <row r="7150">
          <cell r="C7150">
            <v>3007232</v>
          </cell>
          <cell r="D7150" t="str">
            <v>SUPORTE PROJ ERP - OUTROS PROJETOS</v>
          </cell>
          <cell r="E7150" t="str">
            <v>SV</v>
          </cell>
        </row>
        <row r="7151">
          <cell r="C7151">
            <v>3007233</v>
          </cell>
          <cell r="D7151" t="str">
            <v>FORJARIA</v>
          </cell>
          <cell r="E7151" t="str">
            <v>SV</v>
          </cell>
        </row>
        <row r="7152">
          <cell r="C7152">
            <v>3007234</v>
          </cell>
          <cell r="D7152" t="str">
            <v>MANUT CONSERV MAQS,APARELHO;S CESSAO MDO</v>
          </cell>
          <cell r="E7152" t="str">
            <v>SV</v>
          </cell>
        </row>
        <row r="7153">
          <cell r="C7153">
            <v>3007235</v>
          </cell>
          <cell r="D7153" t="str">
            <v>MANUT CONSERV MAQS,APARELHO;S CESSAO MDO</v>
          </cell>
          <cell r="E7153" t="str">
            <v>SV</v>
          </cell>
        </row>
        <row r="7154">
          <cell r="C7154">
            <v>3007236</v>
          </cell>
          <cell r="D7154" t="str">
            <v>INSTAL,MONT,MAQS,EQUIP-S CESSAO MDO</v>
          </cell>
          <cell r="E7154" t="str">
            <v>SV</v>
          </cell>
        </row>
        <row r="7155">
          <cell r="C7155">
            <v>3007237</v>
          </cell>
          <cell r="D7155" t="str">
            <v>SW L&amp;S TECN TI PLATAF-GER DADOS INTEGR</v>
          </cell>
          <cell r="E7155" t="str">
            <v>SV</v>
          </cell>
        </row>
        <row r="7156">
          <cell r="C7156">
            <v>3007238</v>
          </cell>
          <cell r="D7156" t="str">
            <v>STC-ON-URB-C/AR-S/RET-OPE-EV/EX-KM-INTRA</v>
          </cell>
          <cell r="E7156" t="str">
            <v>SV</v>
          </cell>
        </row>
        <row r="7157">
          <cell r="C7157">
            <v>3007239</v>
          </cell>
          <cell r="D7157" t="str">
            <v>SW L&amp;S BACK OFFICE E CORPORATIVO - RH</v>
          </cell>
          <cell r="E7157" t="str">
            <v>SV</v>
          </cell>
        </row>
        <row r="7158">
          <cell r="C7158">
            <v>3007240</v>
          </cell>
          <cell r="D7158" t="str">
            <v>STC-ON-URB-C/AR-S/RET-TUR-EV/EX-KM-INTRA</v>
          </cell>
          <cell r="E7158" t="str">
            <v>SV</v>
          </cell>
        </row>
        <row r="7159">
          <cell r="C7159">
            <v>3007241</v>
          </cell>
          <cell r="D7159" t="str">
            <v>STC-ON-URB-S/AR-C/RET-ADM-EV/EX-KM-INTRA</v>
          </cell>
          <cell r="E7159" t="str">
            <v>SV</v>
          </cell>
        </row>
        <row r="7160">
          <cell r="C7160">
            <v>3007242</v>
          </cell>
          <cell r="D7160" t="str">
            <v>STC-ON-URB-S/AR-C/RET-TUR-EV/EX-INTRA</v>
          </cell>
          <cell r="E7160" t="str">
            <v>SV</v>
          </cell>
        </row>
        <row r="7161">
          <cell r="C7161">
            <v>3007243</v>
          </cell>
          <cell r="D7161" t="str">
            <v>STC-ON-URB-S/AR-S/RET-ADM-EV/EX-INTRA</v>
          </cell>
          <cell r="E7161" t="str">
            <v>SV</v>
          </cell>
        </row>
        <row r="7162">
          <cell r="C7162">
            <v>3007244</v>
          </cell>
          <cell r="D7162" t="str">
            <v>PRE-ESCOLAR</v>
          </cell>
          <cell r="E7162" t="str">
            <v>SV</v>
          </cell>
        </row>
        <row r="7163">
          <cell r="C7163">
            <v>3007245</v>
          </cell>
          <cell r="D7163" t="str">
            <v>STC-VAN-ADM-HAB-INTRA</v>
          </cell>
          <cell r="E7163" t="str">
            <v>SV</v>
          </cell>
        </row>
        <row r="7164">
          <cell r="C7164">
            <v>3007246</v>
          </cell>
          <cell r="D7164" t="str">
            <v>DISTRIB/ENTREGA D BENS TERC S CESSAO MDO</v>
          </cell>
          <cell r="E7164" t="str">
            <v>SV</v>
          </cell>
        </row>
        <row r="7165">
          <cell r="C7165">
            <v>3007247</v>
          </cell>
          <cell r="D7165" t="str">
            <v>GUINCHO INTRAMUNIC GUINDASTE E IÇAMENTO</v>
          </cell>
          <cell r="E7165" t="str">
            <v>SV</v>
          </cell>
        </row>
        <row r="7166">
          <cell r="C7166">
            <v>3007248</v>
          </cell>
          <cell r="D7166" t="str">
            <v>SOFTWARE - LICENCA E SUPORTE -ERP-ORACLE</v>
          </cell>
          <cell r="E7166" t="str">
            <v>SV</v>
          </cell>
        </row>
        <row r="7167">
          <cell r="C7167">
            <v>3007249</v>
          </cell>
          <cell r="D7167" t="str">
            <v>SW DESENVOLV E CUSTOMIZACAO - ETL</v>
          </cell>
          <cell r="E7167" t="str">
            <v>SV</v>
          </cell>
        </row>
        <row r="7168">
          <cell r="C7168">
            <v>3007250</v>
          </cell>
          <cell r="D7168" t="str">
            <v>SW DESENVOLV E CUSTOMIZACAO - JAVA</v>
          </cell>
          <cell r="E7168" t="str">
            <v>SV</v>
          </cell>
        </row>
        <row r="7169">
          <cell r="C7169">
            <v>3007251</v>
          </cell>
          <cell r="D7169" t="str">
            <v>SW DESENVOLV E CUSTOMIZAÇÃO - SAP</v>
          </cell>
          <cell r="E7169" t="str">
            <v>SV</v>
          </cell>
        </row>
        <row r="7170">
          <cell r="C7170">
            <v>3007252</v>
          </cell>
          <cell r="D7170" t="str">
            <v>SW DESENVOLV E CUSTOMIZACAO - MDM</v>
          </cell>
          <cell r="E7170" t="str">
            <v>SV</v>
          </cell>
        </row>
        <row r="7171">
          <cell r="C7171">
            <v>3007253</v>
          </cell>
          <cell r="D7171" t="str">
            <v>STC-ON-ROD-S/AR-S/RET-ADM-HAB-INTRA</v>
          </cell>
          <cell r="E7171" t="str">
            <v>SV</v>
          </cell>
        </row>
        <row r="7172">
          <cell r="C7172">
            <v>3007254</v>
          </cell>
          <cell r="D7172" t="str">
            <v>STC-ON-ROD-S/AR-S/RET-OPE-HAB-KM-INTRA</v>
          </cell>
          <cell r="E7172" t="str">
            <v>SV</v>
          </cell>
        </row>
        <row r="7173">
          <cell r="C7173">
            <v>3007255</v>
          </cell>
          <cell r="D7173" t="str">
            <v>PROPAGANDA E PUBLICIDADE - S CESSAO MDO</v>
          </cell>
          <cell r="E7173" t="str">
            <v>SV</v>
          </cell>
        </row>
        <row r="7174">
          <cell r="C7174">
            <v>3007256</v>
          </cell>
          <cell r="D7174" t="str">
            <v>INSTRUMENTACAO CIRURGICA- S CESSAO MDO</v>
          </cell>
          <cell r="E7174" t="str">
            <v>SV</v>
          </cell>
        </row>
        <row r="7175">
          <cell r="C7175">
            <v>3007257</v>
          </cell>
          <cell r="D7175" t="str">
            <v>REFOR D EDIFICIOS,ESTS,CONG S CESSAO MDO</v>
          </cell>
          <cell r="E7175" t="str">
            <v>SV</v>
          </cell>
        </row>
        <row r="7176">
          <cell r="C7176">
            <v>3007258</v>
          </cell>
          <cell r="D7176" t="str">
            <v>CERTIFICACAO,CERTIFIC TECNICA,D PROD,ETC</v>
          </cell>
          <cell r="E7176" t="str">
            <v>SV</v>
          </cell>
        </row>
        <row r="7177">
          <cell r="C7177">
            <v>3007259</v>
          </cell>
          <cell r="D7177" t="str">
            <v>TI - GERENCIAMENTO OPERACAO - MINERACAO</v>
          </cell>
          <cell r="E7177" t="str">
            <v>SV</v>
          </cell>
        </row>
        <row r="7178">
          <cell r="C7178">
            <v>3007260</v>
          </cell>
          <cell r="D7178" t="str">
            <v>TI - GERENCIAMENTO OPERACAO - FERROVIA</v>
          </cell>
          <cell r="E7178" t="str">
            <v>SV</v>
          </cell>
        </row>
        <row r="7179">
          <cell r="C7179">
            <v>3007261</v>
          </cell>
          <cell r="D7179" t="str">
            <v>SEGURANCA INFORMACAO - GESTAO SEGURANCA</v>
          </cell>
          <cell r="E7179" t="str">
            <v>SV</v>
          </cell>
        </row>
        <row r="7180">
          <cell r="C7180">
            <v>3007262</v>
          </cell>
          <cell r="D7180" t="str">
            <v>SRV DE BIOLOGIA, BIOTECNOLOGIA E QUIMICA</v>
          </cell>
          <cell r="E7180" t="str">
            <v>SV</v>
          </cell>
        </row>
        <row r="7181">
          <cell r="C7181">
            <v>3007263</v>
          </cell>
          <cell r="D7181" t="str">
            <v>TI - SOL BACK OFFICE CORP - JURIDICO</v>
          </cell>
          <cell r="E7181" t="str">
            <v>SV</v>
          </cell>
        </row>
        <row r="7182">
          <cell r="C7182">
            <v>3007264</v>
          </cell>
          <cell r="D7182" t="str">
            <v>RESTAU,PINT,BENEF,TING,GALV-S CESSAO MDO</v>
          </cell>
          <cell r="E7182" t="str">
            <v>SV</v>
          </cell>
        </row>
        <row r="7183">
          <cell r="C7183">
            <v>3007265</v>
          </cell>
          <cell r="D7183" t="str">
            <v>LAVAGEM - REPARO DE CONTEINER</v>
          </cell>
          <cell r="E7183" t="str">
            <v>SV</v>
          </cell>
        </row>
        <row r="7184">
          <cell r="C7184">
            <v>3007266</v>
          </cell>
          <cell r="D7184" t="str">
            <v>SRV DE ASSISTENCIA TECNICA EM MANUTENCAO</v>
          </cell>
          <cell r="E7184" t="str">
            <v>SV</v>
          </cell>
        </row>
        <row r="7185">
          <cell r="C7185">
            <v>3007267</v>
          </cell>
          <cell r="D7185" t="str">
            <v>AUTOMACAO- SEM CESSAO DE MAO DE OBRA</v>
          </cell>
          <cell r="E7185" t="str">
            <v>SV</v>
          </cell>
        </row>
        <row r="7186">
          <cell r="C7186">
            <v>3007268</v>
          </cell>
          <cell r="D7186" t="str">
            <v>MANUT CONSERV MAQS,EQUIPS MOV,PC,MOTORES</v>
          </cell>
          <cell r="E7186" t="str">
            <v>SV</v>
          </cell>
        </row>
        <row r="7187">
          <cell r="C7187">
            <v>3007269</v>
          </cell>
          <cell r="D7187" t="str">
            <v>MANUT CONSERV MAQS,APARELHO;S CESSAO MDO</v>
          </cell>
          <cell r="E7187" t="str">
            <v>SV</v>
          </cell>
        </row>
        <row r="7188">
          <cell r="C7188">
            <v>3007270</v>
          </cell>
          <cell r="D7188" t="str">
            <v>SRV DE MANUTENCAO REDUTOR DE VELOCIDADE</v>
          </cell>
          <cell r="E7188" t="str">
            <v>SV</v>
          </cell>
        </row>
        <row r="7189">
          <cell r="C7189">
            <v>3007271</v>
          </cell>
          <cell r="D7189" t="str">
            <v>SRV DE REPROCESSAMENTO PAPEL E PAPELAO</v>
          </cell>
          <cell r="E7189" t="str">
            <v>SV</v>
          </cell>
        </row>
        <row r="7190">
          <cell r="C7190">
            <v>3007272</v>
          </cell>
          <cell r="D7190" t="str">
            <v>SRV DRAGAGEM DE SUCCAO E RECALQUE GERAL</v>
          </cell>
          <cell r="E7190" t="str">
            <v>SV</v>
          </cell>
        </row>
        <row r="7191">
          <cell r="C7191">
            <v>3007273</v>
          </cell>
          <cell r="D7191" t="str">
            <v>LOC ANDAIME,PALCO,ESTRUT USO TEMPORARIO</v>
          </cell>
          <cell r="E7191" t="str">
            <v>SV</v>
          </cell>
        </row>
        <row r="7192">
          <cell r="C7192">
            <v>3007274</v>
          </cell>
          <cell r="D7192" t="str">
            <v>ENG,ARQUIT,URB,PAISAG-S CESSAO MDO.</v>
          </cell>
          <cell r="E7192" t="str">
            <v>SV</v>
          </cell>
        </row>
        <row r="7193">
          <cell r="C7193">
            <v>3007275</v>
          </cell>
          <cell r="D7193" t="str">
            <v>MANUT CONSERV MAQS,EQUIPS MOV,PC,MOTORES</v>
          </cell>
          <cell r="E7193" t="str">
            <v>SV</v>
          </cell>
        </row>
        <row r="7194">
          <cell r="C7194">
            <v>3007276</v>
          </cell>
          <cell r="D7194" t="str">
            <v>LICENCA DE USO DE SOFTWARE</v>
          </cell>
          <cell r="E7194" t="str">
            <v>SV</v>
          </cell>
        </row>
        <row r="7195">
          <cell r="C7195">
            <v>3007277</v>
          </cell>
          <cell r="D7195" t="str">
            <v>LOC D VEICULOS,BENS MOVEIS S CESSAO MDO</v>
          </cell>
          <cell r="E7195" t="str">
            <v>SV</v>
          </cell>
        </row>
        <row r="7196">
          <cell r="C7196">
            <v>3007278</v>
          </cell>
          <cell r="D7196" t="str">
            <v>MANUT CONSERV MAQS,APARELHO;S CESSAO MDO</v>
          </cell>
          <cell r="E7196" t="str">
            <v>SV</v>
          </cell>
        </row>
        <row r="7197">
          <cell r="C7197">
            <v>3007279</v>
          </cell>
          <cell r="D7197" t="str">
            <v>MANUT CONSERV MAQS,EQUIPS MOV,PC,MOTORES</v>
          </cell>
          <cell r="E7197" t="str">
            <v>SV</v>
          </cell>
        </row>
        <row r="7198">
          <cell r="C7198">
            <v>3007280</v>
          </cell>
          <cell r="D7198" t="str">
            <v>LUBRIF E LUSTR MAQ;EQUIP MOV E SIMILAR</v>
          </cell>
          <cell r="E7198" t="str">
            <v>SV</v>
          </cell>
        </row>
        <row r="7199">
          <cell r="C7199">
            <v>3007281</v>
          </cell>
          <cell r="D7199" t="str">
            <v>SUP TECNICO EM INFORMATICA-S CESSAO MDO</v>
          </cell>
          <cell r="E7199" t="str">
            <v>SV</v>
          </cell>
        </row>
        <row r="7200">
          <cell r="C7200">
            <v>3007282</v>
          </cell>
          <cell r="D7200" t="str">
            <v>REFOR D EDIFICIOS,ESTS,CONG S CESSAO MDO</v>
          </cell>
          <cell r="E7200" t="str">
            <v>SV</v>
          </cell>
        </row>
        <row r="7201">
          <cell r="C7201">
            <v>3007283</v>
          </cell>
          <cell r="D7201" t="str">
            <v>MANUT CONSERV MAQS,EQUIPS MOV,PC,MOTORES</v>
          </cell>
          <cell r="E7201" t="str">
            <v>SV</v>
          </cell>
        </row>
        <row r="7202">
          <cell r="C7202">
            <v>3007284</v>
          </cell>
          <cell r="D7202" t="str">
            <v>MANUT CONSERV MAQS,APARELHO;S CESSAO MDO</v>
          </cell>
          <cell r="E7202" t="str">
            <v>SV</v>
          </cell>
        </row>
        <row r="7203">
          <cell r="C7203">
            <v>3007285</v>
          </cell>
          <cell r="D7203" t="str">
            <v>MEDICINA E BIOMEDICINA S CESSAO MDO</v>
          </cell>
          <cell r="E7203" t="str">
            <v>SV</v>
          </cell>
        </row>
        <row r="7204">
          <cell r="C7204">
            <v>3007286</v>
          </cell>
          <cell r="D7204" t="str">
            <v>LOC,MANUT BENS,EQUIP GERAL S CESSAO MDO</v>
          </cell>
          <cell r="E7204" t="str">
            <v>SV</v>
          </cell>
        </row>
        <row r="7205">
          <cell r="C7205">
            <v>3007287</v>
          </cell>
          <cell r="D7205" t="str">
            <v>MONTAGEM DE ESTRUTURAS METALICAS</v>
          </cell>
          <cell r="E7205" t="str">
            <v>SV</v>
          </cell>
        </row>
        <row r="7206">
          <cell r="C7206">
            <v>3007288</v>
          </cell>
          <cell r="D7206" t="str">
            <v>LOC ANDAIME,PALCO,ESTRUT USO TEMPORARIO</v>
          </cell>
          <cell r="E7206" t="str">
            <v>SV</v>
          </cell>
        </row>
        <row r="7207">
          <cell r="C7207">
            <v>3007289</v>
          </cell>
          <cell r="D7207" t="str">
            <v>MONTAGEM DE TRANSFORMADORES</v>
          </cell>
          <cell r="E7207" t="str">
            <v>SV</v>
          </cell>
        </row>
        <row r="7208">
          <cell r="C7208">
            <v>3007290</v>
          </cell>
          <cell r="D7208" t="str">
            <v>MIDIA DIGITAL</v>
          </cell>
          <cell r="E7208" t="str">
            <v>SV</v>
          </cell>
        </row>
        <row r="7209">
          <cell r="C7209">
            <v>3007291</v>
          </cell>
          <cell r="D7209" t="str">
            <v>SRV TECNICOS EM EDIFICACOES S CESSAO MDO</v>
          </cell>
          <cell r="E7209" t="str">
            <v>SV</v>
          </cell>
        </row>
        <row r="7210">
          <cell r="C7210">
            <v>3007292</v>
          </cell>
          <cell r="D7210" t="str">
            <v>MONTAGEM DE ESCAVADEIRAS</v>
          </cell>
          <cell r="E7210" t="str">
            <v>SV</v>
          </cell>
        </row>
        <row r="7211">
          <cell r="C7211">
            <v>3007293</v>
          </cell>
          <cell r="D7211" t="str">
            <v>NUTRIÇÃO. SEM CESSÃO DE MÃO DE OBRA.</v>
          </cell>
          <cell r="E7211" t="str">
            <v>SV</v>
          </cell>
        </row>
        <row r="7212">
          <cell r="C7212">
            <v>3007294</v>
          </cell>
          <cell r="D7212" t="str">
            <v>OUTRAS DESPESAS PORTUARIAS</v>
          </cell>
          <cell r="E7212" t="str">
            <v>SV</v>
          </cell>
        </row>
        <row r="7213">
          <cell r="C7213">
            <v>3007295</v>
          </cell>
          <cell r="D7213" t="str">
            <v>DESEMB,DESPACH,EMISSAO VISTO PASSAPORTE</v>
          </cell>
          <cell r="E7213" t="str">
            <v>SV</v>
          </cell>
        </row>
        <row r="7214">
          <cell r="C7214">
            <v>3007296</v>
          </cell>
          <cell r="D7214" t="str">
            <v>DESEMB,DESPACH,EMISSAO VISTO PASSAPORTE</v>
          </cell>
          <cell r="E7214" t="str">
            <v>SV</v>
          </cell>
        </row>
        <row r="7215">
          <cell r="C7215">
            <v>3007297</v>
          </cell>
          <cell r="D7215" t="str">
            <v>MONTAGEM PROTECOES E REVESTIMENTO</v>
          </cell>
          <cell r="E7215" t="str">
            <v>SV</v>
          </cell>
        </row>
        <row r="7216">
          <cell r="C7216">
            <v>3007298</v>
          </cell>
          <cell r="D7216" t="str">
            <v>PROCESS DE DADOS E CONG - S CESSAO MDO</v>
          </cell>
          <cell r="E7216" t="str">
            <v>SV</v>
          </cell>
        </row>
        <row r="7217">
          <cell r="C7217">
            <v>3007299</v>
          </cell>
          <cell r="D7217" t="str">
            <v>SRV TECNICOS EM EDIFICACOES S CESSAO MDO</v>
          </cell>
          <cell r="E7217" t="str">
            <v>SV</v>
          </cell>
        </row>
        <row r="7218">
          <cell r="C7218">
            <v>3007300</v>
          </cell>
          <cell r="D7218" t="str">
            <v>REMOCAO OU INCIRENACAO DE LIXO E SIMILAR</v>
          </cell>
          <cell r="E7218" t="str">
            <v>SV</v>
          </cell>
        </row>
        <row r="7219">
          <cell r="C7219">
            <v>3007301</v>
          </cell>
          <cell r="D7219" t="str">
            <v>REFOR D EDIFICIOS,ESTS,CONG S CESSAO MDO</v>
          </cell>
          <cell r="E7219" t="str">
            <v>SV</v>
          </cell>
        </row>
        <row r="7220">
          <cell r="C7220">
            <v>3007302</v>
          </cell>
          <cell r="D7220" t="str">
            <v>REP D MAQ,PC,MOTORES E CONG S CESSAO MDO</v>
          </cell>
          <cell r="E7220" t="str">
            <v>SV</v>
          </cell>
        </row>
        <row r="7221">
          <cell r="C7221">
            <v>3007303</v>
          </cell>
          <cell r="D7221" t="str">
            <v>REVESTIMENTO DE PECAS EM POLIURETANO</v>
          </cell>
          <cell r="E7221" t="str">
            <v>SV</v>
          </cell>
        </row>
        <row r="7222">
          <cell r="C7222">
            <v>3007304</v>
          </cell>
          <cell r="D7222" t="str">
            <v>LOC E MANUT DE BENS E EQUIPS EM GERAL</v>
          </cell>
          <cell r="E7222" t="str">
            <v>SV</v>
          </cell>
        </row>
        <row r="7223">
          <cell r="C7223">
            <v>3007305</v>
          </cell>
          <cell r="D7223" t="str">
            <v>SANEAM AMB,PURIFICACAO,TRAT S CESSAO MDO</v>
          </cell>
          <cell r="E7223" t="str">
            <v>SV</v>
          </cell>
        </row>
        <row r="7224">
          <cell r="C7224">
            <v>3007306</v>
          </cell>
          <cell r="D7224" t="str">
            <v>DEMAIS SERVICOS DE CONSTRUCAO CIVIL</v>
          </cell>
          <cell r="E7224" t="str">
            <v>SV</v>
          </cell>
        </row>
        <row r="7225">
          <cell r="C7225">
            <v>3007307</v>
          </cell>
          <cell r="D7225" t="str">
            <v>PINTURA PREDIAL</v>
          </cell>
          <cell r="E7225" t="str">
            <v>SV</v>
          </cell>
        </row>
        <row r="7226">
          <cell r="C7226">
            <v>3007308</v>
          </cell>
          <cell r="D7226" t="str">
            <v>CONSULTORIA DE PROCESSO - SUPRIMENTOS</v>
          </cell>
          <cell r="E7226" t="str">
            <v>SV</v>
          </cell>
        </row>
        <row r="7227">
          <cell r="C7227">
            <v>3007309</v>
          </cell>
          <cell r="D7227" t="str">
            <v>CONSULTORIA DE PROCESSO - FINANCAS</v>
          </cell>
          <cell r="E7227" t="str">
            <v>SV</v>
          </cell>
        </row>
        <row r="7228">
          <cell r="C7228">
            <v>3007310</v>
          </cell>
          <cell r="D7228" t="str">
            <v>PUBLICIDADE</v>
          </cell>
          <cell r="E7228" t="str">
            <v>SV</v>
          </cell>
        </row>
        <row r="7229">
          <cell r="C7229">
            <v>3007311</v>
          </cell>
          <cell r="D7229" t="str">
            <v>SOFTWARE - LICENCA E SUPORTE -EIM-OUTROS</v>
          </cell>
          <cell r="E7229" t="str">
            <v>SV</v>
          </cell>
        </row>
        <row r="7230">
          <cell r="C7230">
            <v>3007312</v>
          </cell>
          <cell r="D7230" t="str">
            <v>SERVICO EXECUCAO DE PROJETO INDUSTRIAL</v>
          </cell>
          <cell r="E7230" t="str">
            <v>SV</v>
          </cell>
        </row>
        <row r="7231">
          <cell r="C7231">
            <v>3007313</v>
          </cell>
          <cell r="D7231" t="str">
            <v>MANUT CONSERV MAQS,APARELHO;S CESSAO MDO</v>
          </cell>
          <cell r="E7231" t="str">
            <v>SV</v>
          </cell>
        </row>
        <row r="7232">
          <cell r="C7232">
            <v>3007314</v>
          </cell>
          <cell r="D7232" t="str">
            <v>STC-ON-OFF-S/AR-S/RET-ADM-EV/EX-INTRA</v>
          </cell>
          <cell r="E7232" t="str">
            <v>SV</v>
          </cell>
        </row>
        <row r="7233">
          <cell r="C7233">
            <v>3007315</v>
          </cell>
          <cell r="D7233" t="str">
            <v>LOC D VEICULOS,BENS MOVEIS S CESSAO MDO</v>
          </cell>
          <cell r="E7233" t="str">
            <v>SV</v>
          </cell>
        </row>
        <row r="7234">
          <cell r="C7234">
            <v>3007316</v>
          </cell>
          <cell r="D7234" t="str">
            <v>MOV,CARGA,DESCARGA,ARRUM-S CESSAO MDO.</v>
          </cell>
          <cell r="E7234" t="str">
            <v>SV</v>
          </cell>
        </row>
        <row r="7235">
          <cell r="C7235">
            <v>3007317</v>
          </cell>
          <cell r="D7235" t="str">
            <v>REVESTIMENTO PECAS EM CARBETO</v>
          </cell>
          <cell r="E7235" t="str">
            <v>SV</v>
          </cell>
        </row>
        <row r="7236">
          <cell r="C7236">
            <v>3007318</v>
          </cell>
          <cell r="D7236" t="str">
            <v>MANUT CONSERV MAQS,APARELHO;S CESSAO MDO</v>
          </cell>
          <cell r="E7236" t="str">
            <v>SV</v>
          </cell>
        </row>
        <row r="7237">
          <cell r="C7237">
            <v>3007319</v>
          </cell>
          <cell r="D7237" t="str">
            <v>MANUT CONSERV MAQS,APARELHO;S CESSAO MDO</v>
          </cell>
          <cell r="E7237" t="str">
            <v>SV</v>
          </cell>
        </row>
        <row r="7238">
          <cell r="C7238">
            <v>3007320</v>
          </cell>
          <cell r="D7238" t="str">
            <v>MANUT CONSERV MAQS,APARELHO;S CESSAO MDO</v>
          </cell>
          <cell r="E7238" t="str">
            <v>SV</v>
          </cell>
        </row>
        <row r="7239">
          <cell r="C7239">
            <v>3007321</v>
          </cell>
          <cell r="D7239" t="str">
            <v>TRANSPORTE DE PASSAGEIROS S CESSAO MDO</v>
          </cell>
          <cell r="E7239" t="str">
            <v>SV</v>
          </cell>
        </row>
        <row r="7240">
          <cell r="C7240">
            <v>3007322</v>
          </cell>
          <cell r="D7240" t="str">
            <v>ORG D FESTAS,RECEPCOES BUFE S CESSAO MDO</v>
          </cell>
          <cell r="E7240" t="str">
            <v>SV</v>
          </cell>
        </row>
        <row r="7241">
          <cell r="C7241">
            <v>3007323</v>
          </cell>
          <cell r="D7241" t="str">
            <v>SERVICO DE REPROCESSAMENTO DE BORRACHA</v>
          </cell>
          <cell r="E7241" t="str">
            <v>SV</v>
          </cell>
        </row>
        <row r="7242">
          <cell r="C7242">
            <v>3007324</v>
          </cell>
          <cell r="D7242" t="str">
            <v>MANUT CONSERV MAQS,EQUIPS MOV,PC,MOTORES</v>
          </cell>
          <cell r="E7242" t="str">
            <v>SV</v>
          </cell>
        </row>
        <row r="7243">
          <cell r="C7243">
            <v>3007325</v>
          </cell>
          <cell r="D7243" t="str">
            <v>SERVICO LANTERNAGEM E PINTURA DE VEICULO</v>
          </cell>
          <cell r="E7243" t="str">
            <v>SV</v>
          </cell>
        </row>
        <row r="7244">
          <cell r="C7244">
            <v>3007326</v>
          </cell>
          <cell r="D7244" t="str">
            <v>MANUT CONSERV MAQS,EQUIPS MOV,PC,MOTORES</v>
          </cell>
          <cell r="E7244" t="str">
            <v>SV</v>
          </cell>
        </row>
        <row r="7245">
          <cell r="C7245">
            <v>3007327</v>
          </cell>
          <cell r="D7245" t="str">
            <v>SERVICO DE USINAGEM EM METAL - MEDIA</v>
          </cell>
          <cell r="E7245" t="str">
            <v>SV</v>
          </cell>
        </row>
        <row r="7246">
          <cell r="C7246">
            <v>3007328</v>
          </cell>
          <cell r="D7246" t="str">
            <v>SERVICO DE USINAGEM EM METAL - PESADA</v>
          </cell>
          <cell r="E7246" t="str">
            <v>SV</v>
          </cell>
        </row>
        <row r="7247">
          <cell r="C7247">
            <v>3007329</v>
          </cell>
          <cell r="D7247" t="str">
            <v>MANUT CONSERV MAQS,APARELHO;S CESSAO MDO</v>
          </cell>
          <cell r="E7247" t="str">
            <v>SV</v>
          </cell>
        </row>
        <row r="7248">
          <cell r="C7248">
            <v>3007330</v>
          </cell>
          <cell r="D7248" t="str">
            <v>MANUT CONSERV MAQS,APARELHO;S CESSAO MDO</v>
          </cell>
          <cell r="E7248" t="str">
            <v>SV</v>
          </cell>
        </row>
        <row r="7249">
          <cell r="C7249">
            <v>3007331</v>
          </cell>
          <cell r="D7249" t="str">
            <v>SUP TECNICO EM INFORMATICA-S CESSAO MDO</v>
          </cell>
          <cell r="E7249" t="str">
            <v>SV</v>
          </cell>
        </row>
        <row r="7250">
          <cell r="C7250">
            <v>3007332</v>
          </cell>
          <cell r="D7250" t="str">
            <v>STC-VAN-TUR-EV/EX-KM-INTRA</v>
          </cell>
          <cell r="E7250" t="str">
            <v>SV</v>
          </cell>
        </row>
        <row r="7251">
          <cell r="C7251">
            <v>3007333</v>
          </cell>
          <cell r="D7251" t="str">
            <v>SUPER ESTRUTURA VIA FERREA/VIA ROLAMENTO</v>
          </cell>
          <cell r="E7251" t="str">
            <v>SV</v>
          </cell>
        </row>
        <row r="7252">
          <cell r="C7252">
            <v>3007334</v>
          </cell>
          <cell r="D7252" t="str">
            <v>STC-ON-OFF-S/AR-C/RET-TUR-EV/EX-INTRA</v>
          </cell>
          <cell r="E7252" t="str">
            <v>SV</v>
          </cell>
        </row>
        <row r="7253">
          <cell r="C7253">
            <v>3007335</v>
          </cell>
          <cell r="D7253" t="str">
            <v>STC-ON-OFF-S/AR-S/RET-TUR-EV/EX-INTRA</v>
          </cell>
          <cell r="E7253" t="str">
            <v>SV</v>
          </cell>
        </row>
        <row r="7254">
          <cell r="C7254">
            <v>3007336</v>
          </cell>
          <cell r="D7254" t="str">
            <v>STC-ON-OFF-S/AR-S/RET-ADM-HAB-INTRA</v>
          </cell>
          <cell r="E7254" t="str">
            <v>SV</v>
          </cell>
        </row>
        <row r="7255">
          <cell r="C7255">
            <v>3007337</v>
          </cell>
          <cell r="D7255" t="str">
            <v>STC-ON-ROD-C/AR-C/RET-OPE-HAB-INTRA</v>
          </cell>
          <cell r="E7255" t="str">
            <v>SV</v>
          </cell>
        </row>
        <row r="7256">
          <cell r="C7256">
            <v>3007338</v>
          </cell>
          <cell r="D7256" t="str">
            <v>STC-ON-ROD-S/AR-C/RET-ADM-HAB-INTRA</v>
          </cell>
          <cell r="E7256" t="str">
            <v>SV</v>
          </cell>
        </row>
        <row r="7257">
          <cell r="C7257">
            <v>3007339</v>
          </cell>
          <cell r="D7257" t="str">
            <v>STC-ON-URB-C/AR-C/RET-TUR-HAB-KM-INTRA</v>
          </cell>
          <cell r="E7257" t="str">
            <v>SV</v>
          </cell>
        </row>
        <row r="7258">
          <cell r="C7258">
            <v>3007340</v>
          </cell>
          <cell r="D7258" t="str">
            <v>STC-ON-OFF-S/AR-C/RET-OPE-HAB-INTRA</v>
          </cell>
          <cell r="E7258" t="str">
            <v>SV</v>
          </cell>
        </row>
        <row r="7259">
          <cell r="C7259">
            <v>3007341</v>
          </cell>
          <cell r="D7259" t="str">
            <v>STC-ON-OFF-S/AR-C/RET-ADM-HAB-INTRA</v>
          </cell>
          <cell r="E7259" t="str">
            <v>SV</v>
          </cell>
        </row>
        <row r="7260">
          <cell r="C7260">
            <v>3007342</v>
          </cell>
          <cell r="D7260" t="str">
            <v>STC-ON-OFF-C/AR-S/RET-ADM-HAB-INTRA</v>
          </cell>
          <cell r="E7260" t="str">
            <v>SV</v>
          </cell>
        </row>
        <row r="7261">
          <cell r="C7261">
            <v>3007343</v>
          </cell>
          <cell r="D7261" t="str">
            <v>STC-ON-OFF-C/AR-C/RET-TUR-HAB-INTRA</v>
          </cell>
          <cell r="E7261" t="str">
            <v>SV</v>
          </cell>
        </row>
        <row r="7262">
          <cell r="C7262">
            <v>3007344</v>
          </cell>
          <cell r="D7262" t="str">
            <v>ENG,ARQUIT,URB,PAISAG,DECOR INTERIORES</v>
          </cell>
          <cell r="E7262" t="str">
            <v>SV</v>
          </cell>
        </row>
        <row r="7263">
          <cell r="C7263">
            <v>3007347</v>
          </cell>
          <cell r="D7263" t="str">
            <v>STC-ON-MIS-S/AR-C/RET-TUR-HAB-INTRA</v>
          </cell>
          <cell r="E7263" t="str">
            <v>SV</v>
          </cell>
        </row>
        <row r="7264">
          <cell r="C7264">
            <v>3007348</v>
          </cell>
          <cell r="D7264" t="str">
            <v>STC-ON-MIS-S/AR-C/RET-OPE-HAB-INTRA</v>
          </cell>
          <cell r="E7264" t="str">
            <v>SV</v>
          </cell>
        </row>
        <row r="7265">
          <cell r="C7265">
            <v>3007349</v>
          </cell>
          <cell r="D7265" t="str">
            <v>STC-ON-MIS-S/AR-C/RET-OPE-EV/EX-INTRA</v>
          </cell>
          <cell r="E7265" t="str">
            <v>SV</v>
          </cell>
        </row>
        <row r="7266">
          <cell r="C7266">
            <v>3007350</v>
          </cell>
          <cell r="D7266" t="str">
            <v>SRV TREINAMENTO DE CONDUTOR DE VEICULO</v>
          </cell>
          <cell r="E7266" t="str">
            <v>SV</v>
          </cell>
        </row>
        <row r="7267">
          <cell r="C7267">
            <v>3007351</v>
          </cell>
          <cell r="D7267" t="str">
            <v>STC-MICRO-ROD-C/AR-ADM-HAB-KM-INTRA</v>
          </cell>
          <cell r="E7267" t="str">
            <v>SV</v>
          </cell>
        </row>
        <row r="7268">
          <cell r="C7268">
            <v>3007352</v>
          </cell>
          <cell r="D7268" t="str">
            <v>STC-MICRO-ROD-C/AR-ADM-HAB-INTRA</v>
          </cell>
          <cell r="E7268" t="str">
            <v>SV</v>
          </cell>
        </row>
        <row r="7269">
          <cell r="C7269">
            <v>3007353</v>
          </cell>
          <cell r="D7269" t="str">
            <v>STC-MICRO-ROD-S/AR-ADM-HAB-KM-INTRA</v>
          </cell>
          <cell r="E7269" t="str">
            <v>SV</v>
          </cell>
        </row>
        <row r="7270">
          <cell r="C7270">
            <v>3007354</v>
          </cell>
          <cell r="D7270" t="str">
            <v>STC-ON-MIS-C/AR-C/RET-OPE-EV/EX-KM-INTRA</v>
          </cell>
          <cell r="E7270" t="str">
            <v>SV</v>
          </cell>
        </row>
        <row r="7271">
          <cell r="C7271">
            <v>3007355</v>
          </cell>
          <cell r="D7271" t="str">
            <v>STC-ON-MIS-C/AR-C/RET-TUR-EV/EX-INTRA</v>
          </cell>
          <cell r="E7271" t="str">
            <v>SV</v>
          </cell>
        </row>
        <row r="7272">
          <cell r="C7272">
            <v>3007356</v>
          </cell>
          <cell r="D7272" t="str">
            <v>MANUT CONSERV MAQS,APARELHO;S CESSAO MDO</v>
          </cell>
          <cell r="E7272" t="str">
            <v>SV</v>
          </cell>
        </row>
        <row r="7273">
          <cell r="C7273">
            <v>3007357</v>
          </cell>
          <cell r="D7273" t="str">
            <v>SRV MOV CARGA NA RETRO-AREA PORTOS PRIV</v>
          </cell>
          <cell r="E7273" t="str">
            <v>SV</v>
          </cell>
        </row>
        <row r="7274">
          <cell r="C7274">
            <v>3007358</v>
          </cell>
          <cell r="D7274" t="str">
            <v>SRV MOV CARGA NA RETRO-AREA PORTOS PUB</v>
          </cell>
          <cell r="E7274" t="str">
            <v>SV</v>
          </cell>
        </row>
        <row r="7275">
          <cell r="C7275">
            <v>3007359</v>
          </cell>
          <cell r="D7275" t="str">
            <v>MANUT CONSERV MAQS,APARELHO;S CESSAO MDO</v>
          </cell>
          <cell r="E7275" t="str">
            <v>SV</v>
          </cell>
        </row>
        <row r="7276">
          <cell r="C7276">
            <v>3007360</v>
          </cell>
          <cell r="D7276" t="str">
            <v>REFOR D EDIFICIOS,ESTS,CONG S CESSAO MDO</v>
          </cell>
          <cell r="E7276" t="str">
            <v>SV</v>
          </cell>
        </row>
        <row r="7277">
          <cell r="C7277">
            <v>3007361</v>
          </cell>
          <cell r="D7277" t="str">
            <v>MANUT CONSERV MAQS,EQUIPS MOV,PC,MOTORES</v>
          </cell>
          <cell r="E7277" t="str">
            <v>SV</v>
          </cell>
        </row>
        <row r="7278">
          <cell r="C7278">
            <v>3007362</v>
          </cell>
          <cell r="D7278" t="str">
            <v>SRV TECNICOS EM EDIFICACOES S CESSAO MDO</v>
          </cell>
          <cell r="E7278" t="str">
            <v>SV</v>
          </cell>
        </row>
        <row r="7279">
          <cell r="C7279">
            <v>3007363</v>
          </cell>
          <cell r="D7279" t="str">
            <v>SRV TECNICOS EM EDIFICACOES</v>
          </cell>
          <cell r="E7279" t="str">
            <v>SV</v>
          </cell>
        </row>
        <row r="7280">
          <cell r="C7280">
            <v>3007364</v>
          </cell>
          <cell r="D7280" t="str">
            <v>MANUT CONSERV MAQS,APARELHO;S CESSAO MDO</v>
          </cell>
          <cell r="E7280" t="str">
            <v>SV</v>
          </cell>
        </row>
        <row r="7281">
          <cell r="C7281">
            <v>3007365</v>
          </cell>
          <cell r="D7281" t="str">
            <v>TINGIMENTO OBJ QLQ, INCLUS PC</v>
          </cell>
          <cell r="E7281" t="str">
            <v>SV</v>
          </cell>
        </row>
        <row r="7282">
          <cell r="C7282">
            <v>3007366</v>
          </cell>
          <cell r="D7282" t="str">
            <v>INSTRUCAO,TREINAM E EDUCAC-S CESSAO MDO</v>
          </cell>
          <cell r="E7282" t="str">
            <v>SV</v>
          </cell>
        </row>
        <row r="7283">
          <cell r="C7283">
            <v>3007367</v>
          </cell>
          <cell r="D7283" t="str">
            <v>SRV CALIB E TESTE DE INSTRUMENTO ELETR</v>
          </cell>
          <cell r="E7283" t="str">
            <v>SV</v>
          </cell>
        </row>
        <row r="7284">
          <cell r="C7284">
            <v>3007368</v>
          </cell>
          <cell r="D7284" t="str">
            <v>SRV CALIBRACAO DE EQUIPAMENTO DE PESAGEM</v>
          </cell>
          <cell r="E7284" t="str">
            <v>SV</v>
          </cell>
        </row>
        <row r="7285">
          <cell r="C7285">
            <v>3007369</v>
          </cell>
          <cell r="D7285" t="str">
            <v>SRV CALIB;TESTE INSTRUMENTO AERONAUTICO</v>
          </cell>
          <cell r="E7285" t="str">
            <v>SV</v>
          </cell>
        </row>
        <row r="7286">
          <cell r="C7286">
            <v>3007370</v>
          </cell>
          <cell r="D7286" t="str">
            <v>SRV COLETA,REMESSA,ENTREGA S CESSAO MDO</v>
          </cell>
          <cell r="E7286" t="str">
            <v>SV</v>
          </cell>
        </row>
        <row r="7287">
          <cell r="C7287">
            <v>3007371</v>
          </cell>
          <cell r="D7287" t="str">
            <v>SRV CONSTR BARRAGEM E DIQUE MEDIO PORTE</v>
          </cell>
          <cell r="E7287" t="str">
            <v>SV</v>
          </cell>
        </row>
        <row r="7288">
          <cell r="C7288">
            <v>3007372</v>
          </cell>
          <cell r="D7288" t="str">
            <v>SRV CONSTR DE SPCI DE GRANDE PORTE</v>
          </cell>
          <cell r="E7288" t="str">
            <v>SV</v>
          </cell>
        </row>
        <row r="7289">
          <cell r="C7289">
            <v>3007373</v>
          </cell>
          <cell r="D7289" t="str">
            <v>ENG,ARQUIT,URB,PAISAG-S CESSAO MDO.</v>
          </cell>
          <cell r="E7289" t="str">
            <v>SV</v>
          </cell>
        </row>
        <row r="7290">
          <cell r="C7290">
            <v>3007374</v>
          </cell>
          <cell r="D7290" t="str">
            <v>AGENCIA,CORRETAG CAMBIO,SEGURO,CART CRED</v>
          </cell>
          <cell r="E7290" t="str">
            <v>SV</v>
          </cell>
        </row>
        <row r="7291">
          <cell r="C7291">
            <v>3007375</v>
          </cell>
          <cell r="D7291" t="str">
            <v>TI -SERVICOS VOZ - COMUNICACAO VIA RADIO</v>
          </cell>
          <cell r="E7291" t="str">
            <v>SV</v>
          </cell>
        </row>
        <row r="7292">
          <cell r="C7292">
            <v>3007376</v>
          </cell>
          <cell r="D7292" t="str">
            <v>USINAGEM</v>
          </cell>
          <cell r="E7292" t="str">
            <v>SV</v>
          </cell>
        </row>
        <row r="7293">
          <cell r="C7293">
            <v>3007377</v>
          </cell>
          <cell r="D7293" t="str">
            <v>TERCEIRIZACAO SRV DE MANUT EQUIP PESADOS</v>
          </cell>
          <cell r="E7293" t="str">
            <v>SV</v>
          </cell>
        </row>
        <row r="7294">
          <cell r="C7294">
            <v>3007378</v>
          </cell>
          <cell r="D7294" t="str">
            <v>DESMONTAGEM DE LANCAMENTO DE CABO</v>
          </cell>
          <cell r="E7294" t="str">
            <v>SV</v>
          </cell>
        </row>
        <row r="7295">
          <cell r="C7295">
            <v>3007379</v>
          </cell>
          <cell r="D7295" t="str">
            <v>CONSTRUCAO OBRA PLANTAS INDUSTR PORTE M</v>
          </cell>
          <cell r="E7295" t="str">
            <v>SV</v>
          </cell>
        </row>
        <row r="7296">
          <cell r="C7296">
            <v>3007380</v>
          </cell>
          <cell r="D7296" t="str">
            <v>STC-ON-URB-C/AR-S/RET-ADM-EV/EX-INTRA</v>
          </cell>
          <cell r="E7296" t="str">
            <v>SV</v>
          </cell>
        </row>
        <row r="7297">
          <cell r="C7297">
            <v>3007381</v>
          </cell>
          <cell r="D7297" t="str">
            <v>ENGENHARIA DETALHADA</v>
          </cell>
          <cell r="E7297" t="str">
            <v>SV</v>
          </cell>
        </row>
        <row r="7298">
          <cell r="C7298">
            <v>3007382</v>
          </cell>
          <cell r="D7298" t="str">
            <v>STC-MICRO-ROD-C/AR-OPE-EV/EX-KM-INTRA</v>
          </cell>
          <cell r="E7298" t="str">
            <v>SV</v>
          </cell>
        </row>
        <row r="7299">
          <cell r="C7299">
            <v>3007383</v>
          </cell>
          <cell r="D7299" t="str">
            <v>SEGURANCA INFO - CONFORMIDADE_REGULACAO</v>
          </cell>
          <cell r="E7299" t="str">
            <v>SV</v>
          </cell>
        </row>
        <row r="7300">
          <cell r="C7300">
            <v>3007384</v>
          </cell>
          <cell r="D7300" t="str">
            <v>SW L&amp;S TECN TI PLATAF-DES SIST OPER APL</v>
          </cell>
          <cell r="E7300" t="str">
            <v>SV</v>
          </cell>
        </row>
        <row r="7301">
          <cell r="C7301">
            <v>3007385</v>
          </cell>
          <cell r="D7301" t="str">
            <v>DEDETIZACAO,DESINFEC,CONG S CESSAO MDO</v>
          </cell>
          <cell r="E7301" t="str">
            <v>SV</v>
          </cell>
        </row>
        <row r="7302">
          <cell r="C7302">
            <v>3007386</v>
          </cell>
          <cell r="D7302" t="str">
            <v>INSTRUCAO,TREINAM E EDUCAC-S CESSAO MDO</v>
          </cell>
          <cell r="E7302" t="str">
            <v>SV</v>
          </cell>
        </row>
        <row r="7303">
          <cell r="C7303">
            <v>3007387</v>
          </cell>
          <cell r="D7303" t="str">
            <v>TREINAMENTO DE AREA OPERACIONAL</v>
          </cell>
          <cell r="E7303" t="str">
            <v>SV</v>
          </cell>
        </row>
        <row r="7304">
          <cell r="C7304">
            <v>3007388</v>
          </cell>
          <cell r="D7304" t="str">
            <v>TELEMARKETING- S CESSAO MDO</v>
          </cell>
          <cell r="E7304" t="str">
            <v>SV</v>
          </cell>
        </row>
        <row r="7305">
          <cell r="C7305">
            <v>3007389</v>
          </cell>
          <cell r="D7305" t="str">
            <v>SRV TECNICOS EM EDIFICACOES S CESSAO MDO</v>
          </cell>
          <cell r="E7305" t="str">
            <v>SV</v>
          </cell>
        </row>
        <row r="7306">
          <cell r="C7306">
            <v>3007390</v>
          </cell>
          <cell r="D7306" t="str">
            <v>SRV TECNICOS EM EDIFICACOES S CESSAO MDO</v>
          </cell>
          <cell r="E7306" t="str">
            <v>SV</v>
          </cell>
        </row>
        <row r="7307">
          <cell r="C7307">
            <v>3007391</v>
          </cell>
          <cell r="D7307" t="str">
            <v>TREINAMENTO HABILIDADES PESSOAIS SET OP</v>
          </cell>
          <cell r="E7307" t="str">
            <v>SV</v>
          </cell>
        </row>
        <row r="7308">
          <cell r="C7308">
            <v>3007392</v>
          </cell>
          <cell r="D7308" t="str">
            <v>TERAP QUALQ TRAT FIS ORG MENT-S/CESS MAO</v>
          </cell>
          <cell r="E7308" t="str">
            <v>SV</v>
          </cell>
        </row>
        <row r="7309">
          <cell r="C7309">
            <v>3007393</v>
          </cell>
          <cell r="D7309" t="str">
            <v>TARIFAS AEROPORTUARIAS</v>
          </cell>
          <cell r="E7309" t="str">
            <v>SV</v>
          </cell>
        </row>
        <row r="7310">
          <cell r="C7310">
            <v>3007394</v>
          </cell>
          <cell r="D7310" t="str">
            <v>OUTROS PLANOS SAUDE DE SRV DE TERCEIROS</v>
          </cell>
          <cell r="E7310" t="str">
            <v>SV</v>
          </cell>
        </row>
        <row r="7311">
          <cell r="C7311">
            <v>3007395</v>
          </cell>
          <cell r="D7311" t="str">
            <v>SERVICIO DE CAPACITACION</v>
          </cell>
          <cell r="E7311" t="str">
            <v>SV</v>
          </cell>
        </row>
        <row r="7312">
          <cell r="C7312">
            <v>3007396</v>
          </cell>
          <cell r="D7312" t="str">
            <v>CERTIFICACION DE EQUIPOS SOMETIDOS A PRE</v>
          </cell>
          <cell r="E7312" t="str">
            <v>SV</v>
          </cell>
        </row>
        <row r="7313">
          <cell r="C7313">
            <v>3007397</v>
          </cell>
          <cell r="D7313" t="str">
            <v>CERTIFICACION DE EQUIPOS DE MEDICION</v>
          </cell>
          <cell r="E7313" t="str">
            <v>SV</v>
          </cell>
        </row>
        <row r="7314">
          <cell r="C7314">
            <v>3007407</v>
          </cell>
          <cell r="D7314" t="str">
            <v>SUPORTE PROJ ERP - SUPORTE A PROJ</v>
          </cell>
          <cell r="E7314" t="str">
            <v>SV</v>
          </cell>
        </row>
        <row r="7315">
          <cell r="C7315">
            <v>3007408</v>
          </cell>
          <cell r="D7315" t="str">
            <v>STC-ON-URB-S/AR-C/RET-TUR-HAB-KM-INTRA</v>
          </cell>
          <cell r="E7315" t="str">
            <v>SV</v>
          </cell>
        </row>
        <row r="7316">
          <cell r="C7316">
            <v>3007409</v>
          </cell>
          <cell r="D7316" t="str">
            <v>SRV MANUT DE REDE ELETRICA ALTA TENSAO</v>
          </cell>
          <cell r="E7316" t="str">
            <v>SV</v>
          </cell>
        </row>
        <row r="7317">
          <cell r="C7317">
            <v>3007417</v>
          </cell>
          <cell r="D7317" t="str">
            <v>SEGURANCA INFORMACAO - GESTAO IDENTIDADE</v>
          </cell>
          <cell r="E7317" t="str">
            <v>SV</v>
          </cell>
        </row>
        <row r="7318">
          <cell r="C7318">
            <v>3007418</v>
          </cell>
          <cell r="D7318" t="str">
            <v>ESTATISTICA</v>
          </cell>
          <cell r="E7318" t="str">
            <v>SV</v>
          </cell>
        </row>
        <row r="7319">
          <cell r="C7319">
            <v>3007419</v>
          </cell>
          <cell r="D7319" t="str">
            <v>MANUT CONSERV MAQS,APARELHO;S CESSAO MDO</v>
          </cell>
          <cell r="E7319" t="str">
            <v>SV</v>
          </cell>
        </row>
        <row r="7320">
          <cell r="C7320">
            <v>3007420</v>
          </cell>
          <cell r="D7320" t="str">
            <v>MANUT CONSERV MAQS,APARELHO;S CESSAO MDO</v>
          </cell>
          <cell r="E7320" t="str">
            <v>SV</v>
          </cell>
        </row>
        <row r="7321">
          <cell r="C7321">
            <v>3007421</v>
          </cell>
          <cell r="D7321" t="str">
            <v>STC-MICRO-ROD-C/AR-ADM-EV/EX-INTRA</v>
          </cell>
          <cell r="E7321" t="str">
            <v>SV</v>
          </cell>
        </row>
        <row r="7322">
          <cell r="C7322">
            <v>3007422</v>
          </cell>
          <cell r="D7322" t="str">
            <v>STC-ON-MIS-S/AR-S/RET-TUR-HAB-KM-INTRA</v>
          </cell>
          <cell r="E7322" t="str">
            <v>SV</v>
          </cell>
        </row>
        <row r="7323">
          <cell r="C7323">
            <v>3007423</v>
          </cell>
          <cell r="D7323" t="str">
            <v>MANUT CONSERV MAQS,APARELHO;S CESSAO MDO</v>
          </cell>
          <cell r="E7323" t="str">
            <v>SV</v>
          </cell>
        </row>
        <row r="7324">
          <cell r="C7324">
            <v>3007424</v>
          </cell>
          <cell r="D7324" t="str">
            <v>SRV CO-PROCESSAMENTO RESIDUOS CLASSE II</v>
          </cell>
          <cell r="E7324" t="str">
            <v>SV</v>
          </cell>
        </row>
        <row r="7325">
          <cell r="C7325">
            <v>3007425</v>
          </cell>
          <cell r="D7325" t="str">
            <v>ANALISE E DESENV DE SISTS - S CESSAO MDO</v>
          </cell>
          <cell r="E7325" t="str">
            <v>SV</v>
          </cell>
        </row>
        <row r="7326">
          <cell r="C7326">
            <v>3007426</v>
          </cell>
          <cell r="D7326" t="str">
            <v>LIMP MAQ,VEIC,EQUIP,MOTOR S CESSAO MDO</v>
          </cell>
          <cell r="E7326" t="str">
            <v>SV</v>
          </cell>
        </row>
        <row r="7327">
          <cell r="C7327">
            <v>3007427</v>
          </cell>
          <cell r="D7327" t="str">
            <v>CONSULTORIA DE PROCESSO - BACKOFFICE</v>
          </cell>
          <cell r="E7327" t="str">
            <v>SV</v>
          </cell>
        </row>
        <row r="7328">
          <cell r="C7328">
            <v>3007428</v>
          </cell>
          <cell r="D7328" t="str">
            <v>SERVICOS DE PEACAO - DESAPEACAO EM VAGAO</v>
          </cell>
          <cell r="E7328" t="str">
            <v>SV</v>
          </cell>
        </row>
        <row r="7329">
          <cell r="C7329">
            <v>3007429</v>
          </cell>
          <cell r="D7329" t="str">
            <v>ELAB PLANOS DIRETORES,ESTUDOS OBRAS,ENG</v>
          </cell>
          <cell r="E7329" t="str">
            <v>SV</v>
          </cell>
        </row>
        <row r="7330">
          <cell r="C7330">
            <v>3007430</v>
          </cell>
          <cell r="D7330" t="str">
            <v>TI - GERENCIAMENTO OPERACAO -PELOTIZACAO</v>
          </cell>
          <cell r="E7330" t="str">
            <v>SV</v>
          </cell>
        </row>
        <row r="7331">
          <cell r="C7331">
            <v>3007431</v>
          </cell>
          <cell r="D7331" t="str">
            <v>OUTROS SRV TRANSP DE NATUREZA MUNICIPAL</v>
          </cell>
          <cell r="E7331" t="str">
            <v>SV</v>
          </cell>
        </row>
        <row r="7332">
          <cell r="C7332">
            <v>3007432</v>
          </cell>
          <cell r="D7332" t="str">
            <v>SRV MOV CARGA RETRO-AREA EADI E ARMAZENS</v>
          </cell>
          <cell r="E7332" t="str">
            <v>SV</v>
          </cell>
        </row>
        <row r="7333">
          <cell r="C7333">
            <v>3007437</v>
          </cell>
          <cell r="D7333" t="str">
            <v>SERVICOS DE MOVIMENTACAO INTERNA;MEDIDO</v>
          </cell>
          <cell r="E7333" t="str">
            <v>MES</v>
          </cell>
        </row>
        <row r="7334">
          <cell r="C7334">
            <v>3007447</v>
          </cell>
          <cell r="D7334" t="str">
            <v>SERVICIO DE CERTIFICACION DE GRUA</v>
          </cell>
          <cell r="E7334" t="str">
            <v>SV</v>
          </cell>
        </row>
        <row r="7335">
          <cell r="C7335">
            <v>3007457</v>
          </cell>
          <cell r="D7335" t="str">
            <v>TRANSPORTE INTERMUN-INTEREST S/TRIBUT</v>
          </cell>
          <cell r="E7335" t="str">
            <v>SV</v>
          </cell>
        </row>
        <row r="7336">
          <cell r="C7336">
            <v>3007458</v>
          </cell>
          <cell r="D7336" t="str">
            <v>MONTAG PROTEC REVESTIM</v>
          </cell>
          <cell r="E7336" t="str">
            <v>PC</v>
          </cell>
        </row>
        <row r="7337">
          <cell r="C7337">
            <v>3007459</v>
          </cell>
          <cell r="D7337" t="str">
            <v>SRV DE REPARO PONTE-MEDIO PORTE</v>
          </cell>
          <cell r="E7337" t="str">
            <v>TO</v>
          </cell>
        </row>
        <row r="7338">
          <cell r="C7338">
            <v>3007460</v>
          </cell>
          <cell r="D7338" t="str">
            <v>REFOR EDIFICIOS,ESTRADAS,PONTES,PORTOS</v>
          </cell>
          <cell r="E7338" t="str">
            <v>SV</v>
          </cell>
        </row>
        <row r="7339">
          <cell r="C7339">
            <v>3007467</v>
          </cell>
          <cell r="D7339" t="str">
            <v>MONTAG PROTEC REVESTIM</v>
          </cell>
          <cell r="E7339" t="str">
            <v>PC</v>
          </cell>
        </row>
        <row r="7340">
          <cell r="C7340">
            <v>3007468</v>
          </cell>
          <cell r="D7340" t="str">
            <v>SRV DE REPAR PONTE-MEDIO PORTE</v>
          </cell>
          <cell r="E7340" t="str">
            <v>L</v>
          </cell>
        </row>
        <row r="7341">
          <cell r="C7341">
            <v>3007477</v>
          </cell>
          <cell r="D7341" t="str">
            <v>MOV MAT,CARGA,DESCARGA,ARRUM,ARMAZENAM</v>
          </cell>
          <cell r="E7341" t="str">
            <v>SV</v>
          </cell>
        </row>
        <row r="7342">
          <cell r="C7342">
            <v>3007478</v>
          </cell>
          <cell r="D7342" t="str">
            <v>ARRENDAMENTO MERCANTIL (LEASING)</v>
          </cell>
          <cell r="E7342" t="str">
            <v>SV</v>
          </cell>
        </row>
        <row r="7343">
          <cell r="C7343">
            <v>3007487</v>
          </cell>
          <cell r="D7343" t="str">
            <v>ARRENDAMENTO MERCANTIL (LEASING)</v>
          </cell>
          <cell r="E7343" t="str">
            <v>SV</v>
          </cell>
        </row>
        <row r="7344">
          <cell r="C7344">
            <v>3007497</v>
          </cell>
          <cell r="D7344" t="str">
            <v>PAGAMENTO SERVIDAO PERMANENTE</v>
          </cell>
          <cell r="E7344" t="str">
            <v>SV</v>
          </cell>
        </row>
        <row r="7345">
          <cell r="C7345">
            <v>3007507</v>
          </cell>
          <cell r="D7345" t="str">
            <v>DESENV MANUT PORT ITENS</v>
          </cell>
          <cell r="E7345" t="str">
            <v>UN</v>
          </cell>
        </row>
        <row r="7346">
          <cell r="C7346">
            <v>3007517</v>
          </cell>
          <cell r="D7346" t="str">
            <v>LOCACAO EQUIPAM S/CESS MAO OBRA</v>
          </cell>
          <cell r="E7346" t="str">
            <v>UN</v>
          </cell>
        </row>
        <row r="7347">
          <cell r="C7347">
            <v>3007518</v>
          </cell>
          <cell r="D7347" t="str">
            <v>LOCACAO EQUIPAM S/CESS MAO OBRA</v>
          </cell>
          <cell r="E7347" t="str">
            <v>MES</v>
          </cell>
        </row>
        <row r="7348">
          <cell r="C7348">
            <v>3007527</v>
          </cell>
          <cell r="D7348" t="str">
            <v>MANUT CONSERV MAQS,EQUIPS MOV,PC,MOTORES</v>
          </cell>
          <cell r="E7348" t="str">
            <v>SV</v>
          </cell>
        </row>
        <row r="7349">
          <cell r="C7349">
            <v>3007528</v>
          </cell>
          <cell r="D7349" t="str">
            <v>INSTAL,MONT DE PROD,PC,EQUIPS DE OBRAS</v>
          </cell>
          <cell r="E7349" t="str">
            <v>SV</v>
          </cell>
        </row>
        <row r="7350">
          <cell r="C7350">
            <v>3007537</v>
          </cell>
          <cell r="D7350" t="str">
            <v>LOCACAO DE EQUIPAMENTOS</v>
          </cell>
          <cell r="E7350" t="str">
            <v>UN</v>
          </cell>
        </row>
        <row r="7351">
          <cell r="C7351">
            <v>3007547</v>
          </cell>
          <cell r="D7351" t="str">
            <v>LOC D VEICULOS,BENS MOVEIS S CESSAO MDO</v>
          </cell>
          <cell r="E7351" t="str">
            <v>SV</v>
          </cell>
        </row>
        <row r="7352">
          <cell r="C7352">
            <v>3007548</v>
          </cell>
          <cell r="D7352" t="str">
            <v>PLANO BES</v>
          </cell>
          <cell r="E7352" t="str">
            <v>UN</v>
          </cell>
        </row>
        <row r="7353">
          <cell r="C7353">
            <v>3007557</v>
          </cell>
          <cell r="D7353" t="str">
            <v>OP-ANALISE DESENVOLVIMENTO SISTEMAS</v>
          </cell>
          <cell r="E7353" t="str">
            <v>H</v>
          </cell>
        </row>
        <row r="7354">
          <cell r="C7354">
            <v>3007558</v>
          </cell>
          <cell r="D7354" t="str">
            <v>SUPORTE PROJ ERP-SUPORTE A PROJ</v>
          </cell>
          <cell r="E7354" t="str">
            <v>H</v>
          </cell>
        </row>
        <row r="7355">
          <cell r="C7355">
            <v>3007559</v>
          </cell>
          <cell r="D7355" t="str">
            <v>SUPORTE PROJETO ERP</v>
          </cell>
          <cell r="E7355" t="str">
            <v>H</v>
          </cell>
        </row>
        <row r="7356">
          <cell r="C7356">
            <v>3007567</v>
          </cell>
          <cell r="D7356" t="str">
            <v>SUPORTE PROJETO ERP</v>
          </cell>
          <cell r="E7356" t="str">
            <v>H</v>
          </cell>
        </row>
        <row r="7357">
          <cell r="C7357">
            <v>3007568</v>
          </cell>
          <cell r="D7357" t="str">
            <v>SUPORTE PROJETO ERP</v>
          </cell>
          <cell r="E7357" t="str">
            <v>H</v>
          </cell>
        </row>
        <row r="7358">
          <cell r="C7358">
            <v>3007577</v>
          </cell>
          <cell r="D7358" t="str">
            <v>OP-ANALISE DESENVOLVIMENTO SISTEMAS</v>
          </cell>
          <cell r="E7358" t="str">
            <v>H</v>
          </cell>
        </row>
        <row r="7359">
          <cell r="C7359">
            <v>3007587</v>
          </cell>
          <cell r="D7359" t="str">
            <v>SUPORTE PROJ ERP-SUPORTE A PROJ</v>
          </cell>
          <cell r="E7359" t="str">
            <v>H</v>
          </cell>
        </row>
        <row r="7360">
          <cell r="C7360">
            <v>3007588</v>
          </cell>
          <cell r="D7360" t="str">
            <v>SUPORTE PROJ ERP</v>
          </cell>
          <cell r="E7360" t="str">
            <v>H</v>
          </cell>
        </row>
        <row r="7361">
          <cell r="C7361">
            <v>3007589</v>
          </cell>
          <cell r="D7361" t="str">
            <v>SUPORTE PROJETO ERP</v>
          </cell>
          <cell r="E7361" t="str">
            <v>H</v>
          </cell>
        </row>
        <row r="7362">
          <cell r="C7362">
            <v>3007590</v>
          </cell>
          <cell r="D7362" t="str">
            <v>SUPORTE PROJETO ERP</v>
          </cell>
          <cell r="E7362" t="str">
            <v>H</v>
          </cell>
        </row>
        <row r="7363">
          <cell r="C7363">
            <v>3007597</v>
          </cell>
          <cell r="D7363" t="str">
            <v>MANUT CONSERV MAQS,EQUIPS MOV,PC,MOTORES</v>
          </cell>
          <cell r="E7363" t="str">
            <v>SV</v>
          </cell>
        </row>
        <row r="7364">
          <cell r="C7364">
            <v>3007607</v>
          </cell>
          <cell r="D7364" t="str">
            <v>MOV MAT,CARGA,DESCARGA,ARRUM,ARMAZENAM</v>
          </cell>
          <cell r="E7364" t="str">
            <v>SV</v>
          </cell>
        </row>
        <row r="7365">
          <cell r="C7365">
            <v>3007608</v>
          </cell>
          <cell r="D7365" t="str">
            <v>SERVICO DE ALUGUEL CARROS MOTORISTA</v>
          </cell>
          <cell r="E7365" t="str">
            <v>SV</v>
          </cell>
        </row>
        <row r="7366">
          <cell r="C7366">
            <v>3007617</v>
          </cell>
          <cell r="D7366" t="str">
            <v>PERICIA;LAUDO;EXAMES;ANALISE TECNICA</v>
          </cell>
          <cell r="E7366" t="str">
            <v>SV</v>
          </cell>
        </row>
        <row r="7367">
          <cell r="C7367">
            <v>3007618</v>
          </cell>
          <cell r="D7367" t="str">
            <v>AGENC,INTERMED ARREND MERCAN,FRANQ,FATUR</v>
          </cell>
          <cell r="E7367" t="str">
            <v>SV</v>
          </cell>
        </row>
        <row r="7368">
          <cell r="C7368">
            <v>3007619</v>
          </cell>
          <cell r="D7368" t="str">
            <v>ENG,ARQUIT,URB,PAISAG,DECOR INTERIORES</v>
          </cell>
          <cell r="E7368" t="str">
            <v>SV</v>
          </cell>
        </row>
        <row r="7369">
          <cell r="C7369">
            <v>3007620</v>
          </cell>
          <cell r="D7369" t="str">
            <v>INSERÇÃO TEXTOS DESENHOS E MAT PROP PUBL</v>
          </cell>
          <cell r="E7369" t="str">
            <v>SV</v>
          </cell>
        </row>
        <row r="7370">
          <cell r="C7370">
            <v>3007621</v>
          </cell>
          <cell r="D7370" t="str">
            <v>SRV COLETA,ENTREGA DOCUMENTO,OBJETO,BENS</v>
          </cell>
          <cell r="E7370" t="str">
            <v>SV</v>
          </cell>
        </row>
        <row r="7371">
          <cell r="C7371">
            <v>3007622</v>
          </cell>
          <cell r="D7371" t="str">
            <v>LOC EQUIPS COM CESSAO MDO</v>
          </cell>
          <cell r="E7371" t="str">
            <v>SV</v>
          </cell>
        </row>
        <row r="7372">
          <cell r="C7372">
            <v>3007627</v>
          </cell>
          <cell r="D7372" t="str">
            <v>CONTABILIDADE,INCLUS SRV TECNICOS E AUX</v>
          </cell>
          <cell r="E7372" t="str">
            <v>SV</v>
          </cell>
        </row>
        <row r="7373">
          <cell r="C7373">
            <v>3007628</v>
          </cell>
          <cell r="D7373" t="str">
            <v>LOC D VEICULOS,BENS MOVEIS S CESSAO MDO</v>
          </cell>
          <cell r="E7373" t="str">
            <v>SV</v>
          </cell>
        </row>
        <row r="7374">
          <cell r="C7374">
            <v>3007629</v>
          </cell>
          <cell r="D7374" t="str">
            <v>OUTROS SERV DE TEC. DA INFORMACAO (TI)</v>
          </cell>
          <cell r="E7374" t="str">
            <v>SV</v>
          </cell>
        </row>
        <row r="7375">
          <cell r="C7375">
            <v>3007630</v>
          </cell>
          <cell r="D7375" t="str">
            <v>SUPORTE TECNICO EM INFORMATICA</v>
          </cell>
          <cell r="E7375" t="str">
            <v>SV</v>
          </cell>
        </row>
        <row r="7376">
          <cell r="C7376">
            <v>3007631</v>
          </cell>
          <cell r="D7376" t="str">
            <v>OUTROS SERV NA INTERNET</v>
          </cell>
          <cell r="E7376" t="str">
            <v>SV</v>
          </cell>
        </row>
        <row r="7377">
          <cell r="C7377">
            <v>3007637</v>
          </cell>
          <cell r="D7377" t="str">
            <v>MERG,PESC,EXPLOR PETROL,GAS NAT,REC MIN</v>
          </cell>
          <cell r="E7377" t="str">
            <v>SV</v>
          </cell>
        </row>
        <row r="7378">
          <cell r="C7378">
            <v>3007638</v>
          </cell>
          <cell r="D7378" t="str">
            <v>EXTRACAO,LAVRA E REMOCAO DE MIN E METAIS</v>
          </cell>
          <cell r="E7378" t="str">
            <v>SV</v>
          </cell>
        </row>
        <row r="7379">
          <cell r="C7379">
            <v>3007639</v>
          </cell>
          <cell r="D7379" t="str">
            <v>ELAB PROGR COMPUTADOR,INCLUS JOGO ELETRS</v>
          </cell>
          <cell r="E7379" t="str">
            <v>SV</v>
          </cell>
        </row>
        <row r="7380">
          <cell r="C7380">
            <v>3007640</v>
          </cell>
          <cell r="D7380" t="str">
            <v>COBRANCA EM GERAL</v>
          </cell>
          <cell r="E7380" t="str">
            <v>SV</v>
          </cell>
        </row>
        <row r="7381">
          <cell r="C7381">
            <v>3007641</v>
          </cell>
          <cell r="D7381" t="str">
            <v>LOC D VEICULOS,BENS MOVEIS S CESSAO MDO</v>
          </cell>
          <cell r="E7381" t="str">
            <v>SV</v>
          </cell>
        </row>
        <row r="7382">
          <cell r="C7382">
            <v>3007642</v>
          </cell>
          <cell r="D7382" t="str">
            <v>ASSESSORIA OU CONSULTORIA DE QQ NATUREZA</v>
          </cell>
          <cell r="E7382" t="str">
            <v>SV</v>
          </cell>
        </row>
        <row r="7383">
          <cell r="C7383">
            <v>3007643</v>
          </cell>
          <cell r="D7383" t="str">
            <v>SRV PORTUARIO,UTILIZ D PORTO,LOGIST CONG</v>
          </cell>
          <cell r="E7383" t="str">
            <v>SV</v>
          </cell>
        </row>
        <row r="7384">
          <cell r="C7384">
            <v>3007644</v>
          </cell>
          <cell r="D7384" t="str">
            <v>PERICIA;LAUDO;EXAMES;ANALISE TECNICA</v>
          </cell>
          <cell r="E7384" t="str">
            <v>SV</v>
          </cell>
        </row>
        <row r="7385">
          <cell r="C7385">
            <v>3007645</v>
          </cell>
          <cell r="D7385" t="str">
            <v>REPRESENTACAO D QLQ NAT,INCLUS COMERCIAL</v>
          </cell>
          <cell r="E7385" t="str">
            <v>SV</v>
          </cell>
        </row>
        <row r="7386">
          <cell r="C7386">
            <v>3007646</v>
          </cell>
          <cell r="D7386" t="str">
            <v>OUTROS CONTRATOS TRANSF DE TECNOLOGIA</v>
          </cell>
          <cell r="E7386" t="str">
            <v>SV</v>
          </cell>
        </row>
        <row r="7387">
          <cell r="C7387">
            <v>3007647</v>
          </cell>
          <cell r="D7387" t="str">
            <v>SERV GEOQUIMICOS</v>
          </cell>
          <cell r="E7387" t="str">
            <v>SV</v>
          </cell>
        </row>
        <row r="7388">
          <cell r="C7388">
            <v>3007648</v>
          </cell>
          <cell r="D7388" t="str">
            <v>SERVICOS AEROPORTUARIOS E CONG</v>
          </cell>
          <cell r="E7388" t="str">
            <v>SV</v>
          </cell>
        </row>
        <row r="7389">
          <cell r="C7389">
            <v>3007649</v>
          </cell>
          <cell r="D7389" t="str">
            <v>AGENCIA,CORRETAG CAMBIO,SEGURO,CART CRED</v>
          </cell>
          <cell r="E7389" t="str">
            <v>SV</v>
          </cell>
        </row>
        <row r="7390">
          <cell r="C7390">
            <v>3007650</v>
          </cell>
          <cell r="D7390" t="str">
            <v>ASSIST TEC-CIENT COMB OU N QQ MOD TR TEC</v>
          </cell>
          <cell r="E7390" t="str">
            <v>SV</v>
          </cell>
        </row>
        <row r="7391">
          <cell r="C7391">
            <v>3007651</v>
          </cell>
          <cell r="D7391" t="str">
            <v>ASSESSORIA OU CONSULTORIA DE QQ NATUREZA</v>
          </cell>
          <cell r="E7391" t="str">
            <v>SV</v>
          </cell>
        </row>
        <row r="7392">
          <cell r="C7392">
            <v>3007652</v>
          </cell>
          <cell r="D7392" t="str">
            <v>LICENC DIR PROD-DISTRIB-COMERC PROG COMP</v>
          </cell>
          <cell r="E7392" t="str">
            <v>SV</v>
          </cell>
        </row>
        <row r="7393">
          <cell r="C7393">
            <v>3007653</v>
          </cell>
          <cell r="D7393" t="str">
            <v>LEITURA DE MEDIDORES</v>
          </cell>
          <cell r="E7393" t="str">
            <v>SV</v>
          </cell>
        </row>
        <row r="7394">
          <cell r="C7394">
            <v>3007654</v>
          </cell>
          <cell r="D7394" t="str">
            <v>UNIT-DESUNIT TRANSP MULTIM-INTERM CARGAS</v>
          </cell>
          <cell r="E7394" t="str">
            <v>SV</v>
          </cell>
        </row>
        <row r="7395">
          <cell r="C7395">
            <v>3007655</v>
          </cell>
          <cell r="D7395" t="str">
            <v>MANUT CONSERV MAQS,EQUIPS MOV,PC,MOTORES</v>
          </cell>
          <cell r="E7395" t="str">
            <v>SV</v>
          </cell>
        </row>
        <row r="7396">
          <cell r="C7396">
            <v>3007656</v>
          </cell>
          <cell r="D7396" t="str">
            <v>AGENCIA,CORRETAG CAMBIO,SEGURO,CART CRED</v>
          </cell>
          <cell r="E7396" t="str">
            <v>SV</v>
          </cell>
        </row>
        <row r="7397">
          <cell r="C7397">
            <v>3007657</v>
          </cell>
          <cell r="D7397" t="str">
            <v>ENG,ARQUIT,URB,PAISAG,DECOR INTERIORES</v>
          </cell>
          <cell r="E7397" t="str">
            <v>SV</v>
          </cell>
        </row>
        <row r="7398">
          <cell r="C7398">
            <v>3007658</v>
          </cell>
          <cell r="D7398" t="str">
            <v>AGENCIA,CORRETAG CAMBIO,SEGURO,CART CRED</v>
          </cell>
          <cell r="E7398" t="str">
            <v>SV</v>
          </cell>
        </row>
        <row r="7399">
          <cell r="C7399">
            <v>3007659</v>
          </cell>
          <cell r="D7399" t="str">
            <v>ADMINISTRACAO DE FUNDOS QUAISQUER</v>
          </cell>
          <cell r="E7399" t="str">
            <v>SV</v>
          </cell>
        </row>
        <row r="7400">
          <cell r="C7400">
            <v>3007667</v>
          </cell>
          <cell r="D7400" t="str">
            <v>AEROFOTOGR,IMAG VIA SAT S INTERPRETACAO</v>
          </cell>
          <cell r="E7400" t="str">
            <v>SV</v>
          </cell>
        </row>
        <row r="7401">
          <cell r="C7401">
            <v>3007668</v>
          </cell>
          <cell r="D7401" t="str">
            <v>GUIAS DE TURISMO</v>
          </cell>
          <cell r="E7401" t="str">
            <v>SV</v>
          </cell>
        </row>
        <row r="7402">
          <cell r="C7402">
            <v>3007669</v>
          </cell>
          <cell r="D7402" t="str">
            <v>AGENCIAMENTO DE NOTICIAS</v>
          </cell>
          <cell r="E7402" t="str">
            <v>SV</v>
          </cell>
        </row>
        <row r="7403">
          <cell r="C7403">
            <v>3007670</v>
          </cell>
          <cell r="D7403" t="str">
            <v>SUPORTE TECNICO EM INFORMATICA</v>
          </cell>
          <cell r="E7403" t="str">
            <v>SV</v>
          </cell>
        </row>
        <row r="7404">
          <cell r="C7404">
            <v>3007671</v>
          </cell>
          <cell r="D7404" t="str">
            <v>OUTROS SERV INFRAESTRUT HOSPEDAGEM EM TI</v>
          </cell>
          <cell r="E7404" t="str">
            <v>SV</v>
          </cell>
        </row>
        <row r="7405">
          <cell r="C7405">
            <v>3007672</v>
          </cell>
          <cell r="D7405" t="str">
            <v>OUTROS SERV DE MANUSEIO DE CARGA-BAGAGEM</v>
          </cell>
          <cell r="E7405" t="str">
            <v>SV</v>
          </cell>
        </row>
        <row r="7406">
          <cell r="C7406">
            <v>3007673</v>
          </cell>
          <cell r="D7406" t="str">
            <v>OUTROS SERV DE ARMAZENAGEM EM DEPOSITOS</v>
          </cell>
          <cell r="E7406" t="str">
            <v>SV</v>
          </cell>
        </row>
        <row r="7407">
          <cell r="C7407">
            <v>3007674</v>
          </cell>
          <cell r="D7407" t="str">
            <v>SERV DE SALVAMENTO DE EMBARCACOES</v>
          </cell>
          <cell r="E7407" t="str">
            <v>SV</v>
          </cell>
        </row>
        <row r="7408">
          <cell r="C7408">
            <v>3007675</v>
          </cell>
          <cell r="D7408" t="str">
            <v>OUTROS SERV DE APOIO AO TRANSPORTE AEREO</v>
          </cell>
          <cell r="E7408" t="str">
            <v>SV</v>
          </cell>
        </row>
        <row r="7409">
          <cell r="C7409">
            <v>3007676</v>
          </cell>
          <cell r="D7409" t="str">
            <v>SERV AG FRET TRANSP E OUTROS SERV FRET</v>
          </cell>
          <cell r="E7409" t="str">
            <v>SV</v>
          </cell>
        </row>
        <row r="7410">
          <cell r="C7410">
            <v>3007677</v>
          </cell>
          <cell r="D7410" t="str">
            <v>UNIT-DESUNIT TRANSP MULTIM-INTERM CARGAS</v>
          </cell>
          <cell r="E7410" t="str">
            <v>SV</v>
          </cell>
        </row>
        <row r="7411">
          <cell r="C7411">
            <v>3007678</v>
          </cell>
          <cell r="D7411" t="str">
            <v>COLET REM ENTREG DOCS PEQ OBJ EXC CARTAS</v>
          </cell>
          <cell r="E7411" t="str">
            <v>SV</v>
          </cell>
        </row>
        <row r="7412">
          <cell r="C7412">
            <v>3007679</v>
          </cell>
          <cell r="D7412" t="str">
            <v>ARREND MERCANTIL FINANCEIRO DE AERONAVES</v>
          </cell>
          <cell r="E7412" t="str">
            <v>SV</v>
          </cell>
        </row>
        <row r="7413">
          <cell r="C7413">
            <v>3007680</v>
          </cell>
          <cell r="D7413" t="str">
            <v>OUTROS SERV FINANCEIROS</v>
          </cell>
          <cell r="E7413" t="str">
            <v>SV</v>
          </cell>
        </row>
        <row r="7414">
          <cell r="C7414">
            <v>3007681</v>
          </cell>
          <cell r="D7414" t="str">
            <v>OUTROS SERV RELACIONADO BANCOS INVESTIM</v>
          </cell>
          <cell r="E7414" t="str">
            <v>SV</v>
          </cell>
        </row>
        <row r="7415">
          <cell r="C7415">
            <v>3007682</v>
          </cell>
          <cell r="D7415" t="str">
            <v>SERV DE SEGUROS SAUDE E DE ACIDENTES</v>
          </cell>
          <cell r="E7415" t="str">
            <v>SV</v>
          </cell>
        </row>
        <row r="7416">
          <cell r="C7416">
            <v>3007683</v>
          </cell>
          <cell r="D7416" t="str">
            <v>SERV SEGURO TRANSP FERROV, AQUAV, AEREO</v>
          </cell>
          <cell r="E7416" t="str">
            <v>SV</v>
          </cell>
        </row>
        <row r="7417">
          <cell r="C7417">
            <v>3007684</v>
          </cell>
          <cell r="D7417" t="str">
            <v>OUTROS SERV SEGURO</v>
          </cell>
          <cell r="E7417" t="str">
            <v>SV</v>
          </cell>
        </row>
        <row r="7418">
          <cell r="C7418">
            <v>3007685</v>
          </cell>
          <cell r="D7418" t="str">
            <v>SERV RELAC A ADMIN DE MERCADOS FINANC</v>
          </cell>
          <cell r="E7418" t="str">
            <v>SV</v>
          </cell>
        </row>
        <row r="7419">
          <cell r="C7419">
            <v>3007686</v>
          </cell>
          <cell r="D7419" t="str">
            <v>SERV DE CONSULTORIA FINANCEIRA</v>
          </cell>
          <cell r="E7419" t="str">
            <v>SV</v>
          </cell>
        </row>
        <row r="7420">
          <cell r="C7420">
            <v>3007687</v>
          </cell>
          <cell r="D7420" t="str">
            <v>SERV DE CLASSIFICACAO DE RISCO-RATING</v>
          </cell>
          <cell r="E7420" t="str">
            <v>SV</v>
          </cell>
        </row>
        <row r="7421">
          <cell r="C7421">
            <v>3007688</v>
          </cell>
          <cell r="D7421" t="str">
            <v>OUTROS SERV AUX SERV FINANC N CLASSIFIC</v>
          </cell>
          <cell r="E7421" t="str">
            <v>SV</v>
          </cell>
        </row>
        <row r="7422">
          <cell r="C7422">
            <v>3007689</v>
          </cell>
          <cell r="D7422" t="str">
            <v>SERV CORRET PLANO PRIV ASSISTENCIA SAUDE</v>
          </cell>
          <cell r="E7422" t="str">
            <v>SV</v>
          </cell>
        </row>
        <row r="7423">
          <cell r="C7423">
            <v>3007690</v>
          </cell>
          <cell r="D7423" t="str">
            <v>OUT SERV AUX ASSIST A SAUDE</v>
          </cell>
          <cell r="E7423" t="str">
            <v>SV</v>
          </cell>
        </row>
        <row r="7424">
          <cell r="C7424">
            <v>3007691</v>
          </cell>
          <cell r="D7424" t="str">
            <v>ARR MERC OP OU LOC AERONAV, SEM TRIPUL</v>
          </cell>
          <cell r="E7424" t="str">
            <v>SV</v>
          </cell>
        </row>
        <row r="7425">
          <cell r="C7425">
            <v>3007692</v>
          </cell>
          <cell r="D7425" t="str">
            <v>ARR MERC OP OU LOC DE CONTAINERES</v>
          </cell>
          <cell r="E7425" t="str">
            <v>SV</v>
          </cell>
        </row>
        <row r="7426">
          <cell r="C7426">
            <v>3007693</v>
          </cell>
          <cell r="D7426" t="str">
            <v>ARR MERC OP OU LOC COMPUTADORES, SEM OP</v>
          </cell>
          <cell r="E7426" t="str">
            <v>SV</v>
          </cell>
        </row>
        <row r="7427">
          <cell r="C7427">
            <v>3007694</v>
          </cell>
          <cell r="D7427" t="str">
            <v>ARR MERC OPER-LOCACAO MAQ EQUIP, N CLASS</v>
          </cell>
          <cell r="E7427" t="str">
            <v>SV</v>
          </cell>
        </row>
        <row r="7428">
          <cell r="C7428">
            <v>3007695</v>
          </cell>
          <cell r="D7428" t="str">
            <v>LICENC DIR PROD-DISTRIB-COMERC PROG COMP</v>
          </cell>
          <cell r="E7428" t="str">
            <v>SV</v>
          </cell>
        </row>
        <row r="7429">
          <cell r="C7429">
            <v>3007696</v>
          </cell>
          <cell r="D7429" t="str">
            <v>LICENC DIREITO USO PROGRAMA COMPUTADOR</v>
          </cell>
          <cell r="E7429" t="str">
            <v>SV</v>
          </cell>
        </row>
        <row r="7430">
          <cell r="C7430">
            <v>3007697</v>
          </cell>
          <cell r="D7430" t="str">
            <v>CESSAO TEMP DIREITOS SOB PROG COMPUT</v>
          </cell>
          <cell r="E7430" t="str">
            <v>SV</v>
          </cell>
        </row>
        <row r="7431">
          <cell r="C7431">
            <v>3007698</v>
          </cell>
          <cell r="D7431" t="str">
            <v>ASSIST TEC-CIENT COMB OU N QQ MOD TR TEC</v>
          </cell>
          <cell r="E7431" t="str">
            <v>SV</v>
          </cell>
        </row>
        <row r="7432">
          <cell r="C7432">
            <v>3007699</v>
          </cell>
          <cell r="D7432" t="str">
            <v>OUTROS CONTRATOS TRANSF DE TECNOLOGIA</v>
          </cell>
          <cell r="E7432" t="str">
            <v>SV</v>
          </cell>
        </row>
        <row r="7433">
          <cell r="C7433">
            <v>3007700</v>
          </cell>
          <cell r="D7433" t="str">
            <v>SERV PESQ-DESENV OUTRA CIENCIAS NAT-EXAT</v>
          </cell>
          <cell r="E7433" t="str">
            <v>SV</v>
          </cell>
        </row>
        <row r="7434">
          <cell r="C7434">
            <v>3007701</v>
          </cell>
          <cell r="D7434" t="str">
            <v>SERV DE PESQUIS-DESENVOLV BIOTECNOLOGIA</v>
          </cell>
          <cell r="E7434" t="str">
            <v>SV</v>
          </cell>
        </row>
        <row r="7435">
          <cell r="C7435">
            <v>3007702</v>
          </cell>
          <cell r="D7435" t="str">
            <v>SERV PESQ-DESENV TI E COMUNICACAO -TIC</v>
          </cell>
          <cell r="E7435" t="str">
            <v>SV</v>
          </cell>
        </row>
        <row r="7436">
          <cell r="C7436">
            <v>3007703</v>
          </cell>
          <cell r="D7436" t="str">
            <v>OUTROS SERV PESQ-DESENV RAMOS ENG-TEC</v>
          </cell>
          <cell r="E7436" t="str">
            <v>SV</v>
          </cell>
        </row>
        <row r="7437">
          <cell r="C7437">
            <v>3007704</v>
          </cell>
          <cell r="D7437" t="str">
            <v>OUTROS SERV PESQ-DESENV CIENC NAT-ENG</v>
          </cell>
          <cell r="E7437" t="str">
            <v>SV</v>
          </cell>
        </row>
        <row r="7438">
          <cell r="C7438">
            <v>3007705</v>
          </cell>
          <cell r="D7438" t="str">
            <v>SERV DE PESQ E DESENVOLV EM ECONOMIA</v>
          </cell>
          <cell r="E7438" t="str">
            <v>SV</v>
          </cell>
        </row>
        <row r="7439">
          <cell r="C7439">
            <v>3007706</v>
          </cell>
          <cell r="D7439" t="str">
            <v>SERV PESQ-DESENV OUTRAS CIENCIAS SOC</v>
          </cell>
          <cell r="E7439" t="str">
            <v>SV</v>
          </cell>
        </row>
        <row r="7440">
          <cell r="C7440">
            <v>3007707</v>
          </cell>
          <cell r="D7440" t="str">
            <v>SERV DE PESQ-DESENV INTERDISCIPLINAR</v>
          </cell>
          <cell r="E7440" t="str">
            <v>SV</v>
          </cell>
        </row>
        <row r="7441">
          <cell r="C7441">
            <v>3007708</v>
          </cell>
          <cell r="D7441" t="str">
            <v>SERV REPR-CONSULT JURÍD OUTRA ÁR DIREITO</v>
          </cell>
          <cell r="E7441" t="str">
            <v>SV</v>
          </cell>
        </row>
        <row r="7442">
          <cell r="C7442">
            <v>3007709</v>
          </cell>
          <cell r="D7442" t="str">
            <v>SERV DOC-CERTIF, SERV NOTARIAIS-REG</v>
          </cell>
          <cell r="E7442" t="str">
            <v>SV</v>
          </cell>
        </row>
        <row r="7443">
          <cell r="C7443">
            <v>3007710</v>
          </cell>
          <cell r="D7443" t="str">
            <v>OUTROS SERV JURID N CLASSIF OUTRA POSIC</v>
          </cell>
          <cell r="E7443" t="str">
            <v>SV</v>
          </cell>
        </row>
        <row r="7444">
          <cell r="C7444">
            <v>3007711</v>
          </cell>
          <cell r="D7444" t="str">
            <v>OUTROS SERV DE AUDITORIA</v>
          </cell>
          <cell r="E7444" t="str">
            <v>SV</v>
          </cell>
        </row>
        <row r="7445">
          <cell r="C7445">
            <v>3007712</v>
          </cell>
          <cell r="D7445" t="str">
            <v>SERV CONSULT TRIBUTÁRIA PESSOA JURIDICA</v>
          </cell>
          <cell r="E7445" t="str">
            <v>SV</v>
          </cell>
        </row>
        <row r="7446">
          <cell r="C7446">
            <v>3007713</v>
          </cell>
          <cell r="D7446" t="str">
            <v>SERV CONSULTORIA GERENCIAL ESTRATÉGICA</v>
          </cell>
          <cell r="E7446" t="str">
            <v>SV</v>
          </cell>
        </row>
        <row r="7447">
          <cell r="C7447">
            <v>3007714</v>
          </cell>
          <cell r="D7447" t="str">
            <v>SERV CONSULTORIA GERENCIAL FINANCEIRA</v>
          </cell>
          <cell r="E7447" t="str">
            <v>SV</v>
          </cell>
        </row>
        <row r="7448">
          <cell r="C7448">
            <v>3007715</v>
          </cell>
          <cell r="D7448" t="str">
            <v>SERV DE CONSULTORIA GERENCIAL EM RH</v>
          </cell>
          <cell r="E7448" t="str">
            <v>SV</v>
          </cell>
        </row>
        <row r="7449">
          <cell r="C7449">
            <v>3007716</v>
          </cell>
          <cell r="D7449" t="str">
            <v>SERV CONSULTORIA GERENCIAL OPERACIONAL</v>
          </cell>
          <cell r="E7449" t="str">
            <v>SV</v>
          </cell>
        </row>
        <row r="7450">
          <cell r="C7450">
            <v>3007717</v>
          </cell>
          <cell r="D7450" t="str">
            <v>SERV DE CONSULTORIA GERENCIAL EM ENERGIA</v>
          </cell>
          <cell r="E7450" t="str">
            <v>SV</v>
          </cell>
        </row>
        <row r="7451">
          <cell r="C7451">
            <v>3007718</v>
          </cell>
          <cell r="D7451" t="str">
            <v>SERV GERENCIAL EM PROCESSOS DE NEGÓCIOS</v>
          </cell>
          <cell r="E7451" t="str">
            <v>SV</v>
          </cell>
        </row>
        <row r="7452">
          <cell r="C7452">
            <v>3007719</v>
          </cell>
          <cell r="D7452" t="str">
            <v>OUTROS SERV GERENCIAIS-CONSULT GERENCIAL</v>
          </cell>
          <cell r="E7452" t="str">
            <v>SV</v>
          </cell>
        </row>
        <row r="7453">
          <cell r="C7453">
            <v>3007720</v>
          </cell>
          <cell r="D7453" t="str">
            <v>OUTROS SERV DE COMUNICACAO SOCIAL</v>
          </cell>
          <cell r="E7453" t="str">
            <v>SV</v>
          </cell>
        </row>
        <row r="7454">
          <cell r="C7454">
            <v>3007721</v>
          </cell>
          <cell r="D7454" t="str">
            <v>SERV DE CONSULTORIA DE ENGENHARIA</v>
          </cell>
          <cell r="E7454" t="str">
            <v>SV</v>
          </cell>
        </row>
        <row r="7455">
          <cell r="C7455">
            <v>3007722</v>
          </cell>
          <cell r="D7455" t="str">
            <v>SERV ENG PROJ IND-FAB P-PROJ ENERG</v>
          </cell>
          <cell r="E7455" t="str">
            <v>SV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composicao"/>
      <sheetName val="Indice Precos Mes"/>
      <sheetName val="MOB 2.11"/>
    </sheetNames>
    <sheetDataSet>
      <sheetData sheetId="0"/>
      <sheetData sheetId="1" refreshError="1">
        <row r="1">
          <cell r="B1" t="str">
            <v>Cod. Cliente</v>
          </cell>
          <cell r="C1" t="str">
            <v>Composicao</v>
          </cell>
        </row>
        <row r="3">
          <cell r="B3" t="str">
            <v>C0510005005</v>
          </cell>
          <cell r="C3" t="str">
            <v>CA0025</v>
          </cell>
        </row>
        <row r="4">
          <cell r="B4" t="str">
            <v>C0510005010</v>
          </cell>
          <cell r="C4" t="str">
            <v>CA0026</v>
          </cell>
        </row>
        <row r="5">
          <cell r="B5" t="str">
            <v>C0510005015</v>
          </cell>
          <cell r="C5" t="str">
            <v>CA0027</v>
          </cell>
        </row>
        <row r="6">
          <cell r="B6" t="str">
            <v>C0510005020</v>
          </cell>
          <cell r="C6" t="str">
            <v>CA0028</v>
          </cell>
        </row>
        <row r="7">
          <cell r="B7" t="str">
            <v>C0510005025</v>
          </cell>
          <cell r="C7" t="str">
            <v>CA0029</v>
          </cell>
        </row>
        <row r="8">
          <cell r="B8" t="str">
            <v>C0515005010</v>
          </cell>
          <cell r="C8" t="str">
            <v>CA0030</v>
          </cell>
        </row>
        <row r="9">
          <cell r="B9" t="str">
            <v>C0515005020</v>
          </cell>
          <cell r="C9" t="str">
            <v>CA0044</v>
          </cell>
        </row>
        <row r="10">
          <cell r="B10" t="str">
            <v>C0515005030</v>
          </cell>
          <cell r="C10" t="str">
            <v>CA0045</v>
          </cell>
        </row>
        <row r="11">
          <cell r="B11" t="str">
            <v>C0515005035</v>
          </cell>
          <cell r="C11" t="str">
            <v>CA0043</v>
          </cell>
        </row>
        <row r="12">
          <cell r="B12" t="str">
            <v>C1005010005</v>
          </cell>
          <cell r="C12" t="str">
            <v>CB0049</v>
          </cell>
        </row>
        <row r="13">
          <cell r="B13" t="str">
            <v>C1005010015</v>
          </cell>
          <cell r="C13" t="str">
            <v>CB0037</v>
          </cell>
        </row>
        <row r="14">
          <cell r="B14" t="str">
            <v>C1005010020</v>
          </cell>
          <cell r="C14" t="str">
            <v>CB0036</v>
          </cell>
        </row>
        <row r="15">
          <cell r="B15" t="str">
            <v>C1005010025</v>
          </cell>
          <cell r="C15" t="str">
            <v>CD0104</v>
          </cell>
        </row>
        <row r="16">
          <cell r="B16" t="str">
            <v>C1005020005</v>
          </cell>
          <cell r="C16" t="str">
            <v>CB0035</v>
          </cell>
        </row>
        <row r="17">
          <cell r="B17" t="str">
            <v>C1005020010</v>
          </cell>
          <cell r="C17" t="str">
            <v>CB0034</v>
          </cell>
        </row>
        <row r="18">
          <cell r="B18" t="str">
            <v>C1005020015</v>
          </cell>
          <cell r="C18" t="str">
            <v>CD0105</v>
          </cell>
        </row>
        <row r="19">
          <cell r="B19" t="str">
            <v>C1005030005</v>
          </cell>
          <cell r="C19" t="str">
            <v>CB0048</v>
          </cell>
        </row>
        <row r="20">
          <cell r="B20" t="str">
            <v>C1005035005</v>
          </cell>
          <cell r="C20" t="str">
            <v>CB4811</v>
          </cell>
        </row>
        <row r="21">
          <cell r="B21" t="str">
            <v>C1010010005</v>
          </cell>
          <cell r="C21" t="str">
            <v>CB0033</v>
          </cell>
        </row>
        <row r="22">
          <cell r="B22" t="str">
            <v>C1010015015</v>
          </cell>
          <cell r="C22" t="str">
            <v>CB4812</v>
          </cell>
        </row>
        <row r="23">
          <cell r="B23" t="str">
            <v>C1010015060</v>
          </cell>
          <cell r="C23" t="str">
            <v>CB4813</v>
          </cell>
        </row>
        <row r="24">
          <cell r="B24" t="str">
            <v>C1010020005</v>
          </cell>
          <cell r="C24" t="str">
            <v>CB4814</v>
          </cell>
        </row>
        <row r="25">
          <cell r="B25" t="str">
            <v>C1010025005</v>
          </cell>
          <cell r="C25" t="str">
            <v>CB4815</v>
          </cell>
        </row>
        <row r="26">
          <cell r="B26" t="str">
            <v>C1015000015</v>
          </cell>
          <cell r="C26" t="str">
            <v>CB0032</v>
          </cell>
        </row>
        <row r="27">
          <cell r="B27" t="str">
            <v>C1020015005</v>
          </cell>
          <cell r="C27" t="str">
            <v>CC0028</v>
          </cell>
        </row>
        <row r="28">
          <cell r="B28" t="str">
            <v>C1020070005</v>
          </cell>
          <cell r="C28" t="str">
            <v>CV0459</v>
          </cell>
        </row>
        <row r="29">
          <cell r="B29" t="str">
            <v>C1020070015</v>
          </cell>
          <cell r="C29" t="str">
            <v>CX0010</v>
          </cell>
        </row>
        <row r="30">
          <cell r="B30" t="str">
            <v>C1025005005</v>
          </cell>
          <cell r="C30" t="str">
            <v>CD0013</v>
          </cell>
        </row>
        <row r="31">
          <cell r="B31" t="str">
            <v>C1025010005</v>
          </cell>
          <cell r="C31" t="str">
            <v>CC0005</v>
          </cell>
        </row>
        <row r="32">
          <cell r="B32" t="str">
            <v>C1025015010</v>
          </cell>
          <cell r="C32" t="str">
            <v>CC0002</v>
          </cell>
        </row>
        <row r="33">
          <cell r="B33" t="str">
            <v>C1025015020</v>
          </cell>
          <cell r="C33" t="str">
            <v>CC0031</v>
          </cell>
        </row>
        <row r="34">
          <cell r="B34" t="str">
            <v>C1025015030</v>
          </cell>
          <cell r="C34" t="str">
            <v>CC0008</v>
          </cell>
        </row>
        <row r="35">
          <cell r="B35" t="str">
            <v>C1025015035</v>
          </cell>
          <cell r="C35" t="str">
            <v>CC0032</v>
          </cell>
        </row>
        <row r="36">
          <cell r="B36" t="str">
            <v>C1025015040</v>
          </cell>
          <cell r="C36" t="str">
            <v>CC0006</v>
          </cell>
        </row>
        <row r="37">
          <cell r="B37" t="str">
            <v>C1025015050</v>
          </cell>
          <cell r="C37" t="str">
            <v>CC0026</v>
          </cell>
        </row>
        <row r="38">
          <cell r="B38" t="str">
            <v>C1025090010</v>
          </cell>
          <cell r="C38" t="str">
            <v>CD0084</v>
          </cell>
        </row>
        <row r="39">
          <cell r="B39" t="str">
            <v>C1040005005</v>
          </cell>
          <cell r="C39" t="str">
            <v>CE0521</v>
          </cell>
        </row>
        <row r="40">
          <cell r="B40" t="str">
            <v>C1040005010</v>
          </cell>
          <cell r="C40" t="str">
            <v>CE0522</v>
          </cell>
        </row>
        <row r="41">
          <cell r="B41" t="str">
            <v>C1040005015</v>
          </cell>
          <cell r="C41" t="str">
            <v>CE0523</v>
          </cell>
        </row>
        <row r="42">
          <cell r="B42" t="str">
            <v>C1040010005</v>
          </cell>
          <cell r="C42" t="str">
            <v>CE0524</v>
          </cell>
        </row>
        <row r="43">
          <cell r="B43" t="str">
            <v>C1040010010</v>
          </cell>
          <cell r="C43" t="str">
            <v>CE0525</v>
          </cell>
        </row>
        <row r="44">
          <cell r="B44" t="str">
            <v>C1040010015</v>
          </cell>
          <cell r="C44" t="str">
            <v>CE0526</v>
          </cell>
        </row>
        <row r="45">
          <cell r="B45" t="str">
            <v>C1040015005</v>
          </cell>
          <cell r="C45" t="str">
            <v>CE0527</v>
          </cell>
        </row>
        <row r="46">
          <cell r="B46" t="str">
            <v>C1040015015</v>
          </cell>
          <cell r="C46" t="str">
            <v>CE0528</v>
          </cell>
        </row>
        <row r="47">
          <cell r="B47" t="str">
            <v>C1040015025</v>
          </cell>
          <cell r="C47" t="str">
            <v>CE0529</v>
          </cell>
        </row>
        <row r="48">
          <cell r="B48" t="str">
            <v>C1050000005</v>
          </cell>
          <cell r="C48" t="str">
            <v>CO0461</v>
          </cell>
        </row>
        <row r="49">
          <cell r="B49" t="str">
            <v>C1050000010</v>
          </cell>
          <cell r="C49" t="str">
            <v>CV0462</v>
          </cell>
        </row>
        <row r="50">
          <cell r="B50" t="str">
            <v>C2505005005</v>
          </cell>
          <cell r="C50" t="str">
            <v>CD0106</v>
          </cell>
        </row>
        <row r="51">
          <cell r="B51" t="str">
            <v>C2505005010</v>
          </cell>
          <cell r="C51" t="str">
            <v>CD0001</v>
          </cell>
        </row>
        <row r="52">
          <cell r="B52" t="str">
            <v>C2505005015</v>
          </cell>
          <cell r="C52" t="str">
            <v>CD0035</v>
          </cell>
        </row>
        <row r="53">
          <cell r="B53" t="str">
            <v>C2505005020</v>
          </cell>
          <cell r="C53" t="str">
            <v>CD0019</v>
          </cell>
        </row>
        <row r="54">
          <cell r="B54" t="str">
            <v>C2505005025</v>
          </cell>
          <cell r="C54" t="str">
            <v>CD0107</v>
          </cell>
        </row>
        <row r="55">
          <cell r="B55" t="str">
            <v>C2505010005</v>
          </cell>
          <cell r="C55" t="str">
            <v>CD0108</v>
          </cell>
        </row>
        <row r="56">
          <cell r="B56" t="str">
            <v>C2505010010</v>
          </cell>
          <cell r="C56" t="str">
            <v>CD0008</v>
          </cell>
        </row>
        <row r="57">
          <cell r="B57" t="str">
            <v>C2505010015</v>
          </cell>
          <cell r="C57" t="str">
            <v>CD0036</v>
          </cell>
        </row>
        <row r="58">
          <cell r="B58" t="str">
            <v>C2505010020</v>
          </cell>
          <cell r="C58" t="str">
            <v>CD0020</v>
          </cell>
        </row>
        <row r="59">
          <cell r="B59" t="str">
            <v>C2505010025</v>
          </cell>
          <cell r="C59" t="str">
            <v>CD0109</v>
          </cell>
        </row>
        <row r="60">
          <cell r="B60" t="str">
            <v>C2505015005</v>
          </cell>
          <cell r="C60" t="str">
            <v>CD0009</v>
          </cell>
        </row>
        <row r="61">
          <cell r="B61" t="str">
            <v>C2505015010</v>
          </cell>
          <cell r="C61" t="str">
            <v>CD0110</v>
          </cell>
        </row>
        <row r="62">
          <cell r="B62" t="str">
            <v>C2505015015</v>
          </cell>
          <cell r="C62" t="str">
            <v>CD0111</v>
          </cell>
        </row>
        <row r="63">
          <cell r="B63" t="str">
            <v>C2505020005</v>
          </cell>
          <cell r="C63" t="str">
            <v>CD0017</v>
          </cell>
        </row>
        <row r="64">
          <cell r="B64" t="str">
            <v>C2505020010</v>
          </cell>
          <cell r="C64" t="str">
            <v>CZ0013</v>
          </cell>
        </row>
        <row r="65">
          <cell r="B65" t="str">
            <v>C2505020015</v>
          </cell>
          <cell r="C65" t="str">
            <v>CZ0014</v>
          </cell>
        </row>
        <row r="66">
          <cell r="B66" t="str">
            <v>C2505020020</v>
          </cell>
          <cell r="C66" t="str">
            <v>CZ0015</v>
          </cell>
        </row>
        <row r="67">
          <cell r="B67" t="str">
            <v>C2505020025</v>
          </cell>
          <cell r="C67" t="str">
            <v>CD0112</v>
          </cell>
        </row>
        <row r="68">
          <cell r="B68" t="str">
            <v>C2505020030</v>
          </cell>
          <cell r="C68" t="str">
            <v>CD0113</v>
          </cell>
        </row>
        <row r="69">
          <cell r="B69" t="str">
            <v>C2505020035</v>
          </cell>
          <cell r="C69" t="str">
            <v>CD0016</v>
          </cell>
        </row>
        <row r="70">
          <cell r="B70" t="str">
            <v>C2505020040</v>
          </cell>
          <cell r="C70" t="str">
            <v>CD0114</v>
          </cell>
        </row>
        <row r="71">
          <cell r="B71" t="str">
            <v>C2505020045</v>
          </cell>
          <cell r="C71" t="str">
            <v>CD0115</v>
          </cell>
        </row>
        <row r="72">
          <cell r="B72" t="str">
            <v>C2505020050</v>
          </cell>
          <cell r="C72" t="str">
            <v>CZ0016</v>
          </cell>
        </row>
        <row r="73">
          <cell r="B73" t="str">
            <v>C2505020055</v>
          </cell>
          <cell r="C73" t="str">
            <v>CD0116</v>
          </cell>
        </row>
        <row r="74">
          <cell r="B74" t="str">
            <v>C2535000005</v>
          </cell>
          <cell r="C74" t="str">
            <v>CG0035</v>
          </cell>
        </row>
        <row r="75">
          <cell r="B75" t="str">
            <v>C2535000010</v>
          </cell>
          <cell r="C75" t="str">
            <v>CG0036</v>
          </cell>
        </row>
        <row r="76">
          <cell r="B76" t="str">
            <v>C2535000015</v>
          </cell>
          <cell r="C76" t="str">
            <v>CV0273</v>
          </cell>
        </row>
        <row r="77">
          <cell r="B77" t="str">
            <v>C2535000020</v>
          </cell>
          <cell r="C77" t="str">
            <v>CV0460</v>
          </cell>
        </row>
        <row r="78">
          <cell r="B78" t="str">
            <v>C2510000010</v>
          </cell>
          <cell r="C78" t="str">
            <v>CE0002</v>
          </cell>
        </row>
        <row r="79">
          <cell r="B79" t="str">
            <v>C2510000015</v>
          </cell>
          <cell r="C79" t="str">
            <v>CF0109</v>
          </cell>
        </row>
        <row r="80">
          <cell r="B80" t="str">
            <v>C2515000005</v>
          </cell>
          <cell r="C80" t="str">
            <v>CD0099</v>
          </cell>
        </row>
        <row r="81">
          <cell r="B81" t="str">
            <v>C2515000010</v>
          </cell>
          <cell r="C81" t="str">
            <v>CD0040</v>
          </cell>
        </row>
        <row r="82">
          <cell r="B82" t="str">
            <v>C2515000015</v>
          </cell>
          <cell r="C82" t="str">
            <v>CD0042</v>
          </cell>
        </row>
        <row r="83">
          <cell r="B83" t="str">
            <v>C2520000005</v>
          </cell>
          <cell r="C83" t="str">
            <v>CD0058</v>
          </cell>
        </row>
        <row r="84">
          <cell r="B84" t="str">
            <v>C2520000010</v>
          </cell>
          <cell r="C84" t="str">
            <v>CD0024</v>
          </cell>
        </row>
        <row r="85">
          <cell r="B85" t="str">
            <v>C2520000015</v>
          </cell>
          <cell r="C85" t="str">
            <v>CD0089</v>
          </cell>
        </row>
        <row r="86">
          <cell r="B86" t="str">
            <v>C2525000005</v>
          </cell>
          <cell r="C86" t="str">
            <v>CD0025</v>
          </cell>
        </row>
        <row r="87">
          <cell r="B87" t="str">
            <v>C2525000010</v>
          </cell>
          <cell r="C87" t="str">
            <v>CD0093</v>
          </cell>
        </row>
        <row r="88">
          <cell r="B88" t="str">
            <v>C2530000005</v>
          </cell>
          <cell r="C88" t="str">
            <v>CD0083</v>
          </cell>
        </row>
        <row r="89">
          <cell r="B89" t="str">
            <v>C2530000010</v>
          </cell>
          <cell r="C89" t="str">
            <v>CD0090</v>
          </cell>
        </row>
        <row r="90">
          <cell r="B90" t="str">
            <v>C2530000015</v>
          </cell>
          <cell r="C90" t="str">
            <v>CD0091</v>
          </cell>
        </row>
        <row r="91">
          <cell r="B91" t="str">
            <v>C2550005005</v>
          </cell>
          <cell r="C91" t="str">
            <v>CD0064</v>
          </cell>
        </row>
        <row r="92">
          <cell r="B92" t="str">
            <v>C2550010005</v>
          </cell>
          <cell r="C92" t="str">
            <v>CD0065</v>
          </cell>
        </row>
        <row r="93">
          <cell r="B93" t="str">
            <v>C2550015005</v>
          </cell>
          <cell r="C93" t="str">
            <v>CD0066</v>
          </cell>
        </row>
        <row r="94">
          <cell r="B94" t="str">
            <v>C2550020005</v>
          </cell>
          <cell r="C94" t="str">
            <v>CD0067</v>
          </cell>
        </row>
        <row r="95">
          <cell r="B95" t="str">
            <v>C2570000005</v>
          </cell>
          <cell r="C95" t="str">
            <v>CD0010</v>
          </cell>
        </row>
        <row r="96">
          <cell r="B96" t="str">
            <v>C2570000010</v>
          </cell>
          <cell r="C96" t="str">
            <v>CD0011</v>
          </cell>
        </row>
        <row r="97">
          <cell r="B97" t="str">
            <v>C2570000015</v>
          </cell>
          <cell r="C97" t="str">
            <v>CD0012</v>
          </cell>
        </row>
        <row r="98">
          <cell r="B98" t="str">
            <v>C2580000005</v>
          </cell>
          <cell r="C98" t="str">
            <v>CD0092</v>
          </cell>
        </row>
        <row r="99">
          <cell r="B99" t="str">
            <v>C2580000010</v>
          </cell>
          <cell r="C99" t="str">
            <v>CD0033</v>
          </cell>
        </row>
        <row r="100">
          <cell r="B100" t="str">
            <v>C2580000015</v>
          </cell>
          <cell r="C100" t="str">
            <v>CD0014</v>
          </cell>
        </row>
        <row r="101">
          <cell r="B101" t="str">
            <v>C3505000005</v>
          </cell>
          <cell r="C101" t="str">
            <v>CX0057</v>
          </cell>
        </row>
        <row r="102">
          <cell r="B102" t="str">
            <v>C3510000005</v>
          </cell>
          <cell r="C102" t="str">
            <v>CX0058</v>
          </cell>
        </row>
        <row r="103">
          <cell r="B103" t="str">
            <v>C3510000010</v>
          </cell>
          <cell r="C103" t="str">
            <v>CX0061</v>
          </cell>
        </row>
        <row r="104">
          <cell r="B104" t="str">
            <v>C3515000005</v>
          </cell>
          <cell r="C104" t="str">
            <v>CX0059</v>
          </cell>
        </row>
        <row r="105">
          <cell r="B105" t="str">
            <v>C3515000010</v>
          </cell>
          <cell r="C105" t="str">
            <v>CX0062</v>
          </cell>
        </row>
        <row r="106">
          <cell r="B106" t="str">
            <v>C3515000015</v>
          </cell>
          <cell r="C106" t="str">
            <v>CX0063</v>
          </cell>
        </row>
        <row r="107">
          <cell r="B107" t="str">
            <v>C3515000020</v>
          </cell>
          <cell r="C107" t="str">
            <v>CX0060</v>
          </cell>
        </row>
        <row r="108">
          <cell r="B108" t="str">
            <v>C3515000025</v>
          </cell>
          <cell r="C108" t="str">
            <v>CV0293</v>
          </cell>
        </row>
        <row r="109">
          <cell r="B109" t="str">
            <v>C3525000005</v>
          </cell>
          <cell r="C109" t="str">
            <v>CX0009</v>
          </cell>
        </row>
        <row r="110">
          <cell r="B110" t="str">
            <v>C3530000005</v>
          </cell>
          <cell r="C110" t="str">
            <v>CX0044</v>
          </cell>
        </row>
        <row r="111">
          <cell r="B111" t="str">
            <v>C3535000005</v>
          </cell>
          <cell r="C111" t="str">
            <v>CX0064</v>
          </cell>
        </row>
        <row r="112">
          <cell r="B112" t="str">
            <v>C3535000020</v>
          </cell>
          <cell r="C112" t="str">
            <v>CX0065</v>
          </cell>
        </row>
        <row r="113">
          <cell r="B113" t="str">
            <v>C3555000005</v>
          </cell>
          <cell r="C113" t="str">
            <v>CX0056</v>
          </cell>
        </row>
        <row r="114">
          <cell r="B114" t="str">
            <v>C3565000005</v>
          </cell>
          <cell r="C114" t="str">
            <v>CX0012</v>
          </cell>
        </row>
        <row r="115">
          <cell r="B115" t="str">
            <v>C3565000010</v>
          </cell>
          <cell r="C115" t="str">
            <v>CY0024</v>
          </cell>
        </row>
        <row r="116">
          <cell r="B116" t="str">
            <v>C3570000005</v>
          </cell>
          <cell r="C116" t="str">
            <v>CX0014</v>
          </cell>
        </row>
        <row r="117">
          <cell r="B117" t="str">
            <v>C3570000015</v>
          </cell>
          <cell r="C117" t="str">
            <v>CX0015</v>
          </cell>
        </row>
        <row r="118">
          <cell r="B118" t="str">
            <v>C3570000030</v>
          </cell>
          <cell r="C118" t="str">
            <v>CX0013</v>
          </cell>
        </row>
        <row r="119">
          <cell r="B119" t="str">
            <v>C3570000035</v>
          </cell>
          <cell r="C119" t="str">
            <v>CX0017</v>
          </cell>
        </row>
        <row r="120">
          <cell r="B120" t="str">
            <v>C4010010005</v>
          </cell>
          <cell r="C120" t="str">
            <v>CX0066</v>
          </cell>
        </row>
        <row r="121">
          <cell r="B121" t="str">
            <v>C4010010010</v>
          </cell>
          <cell r="C121" t="str">
            <v>CX0067</v>
          </cell>
        </row>
        <row r="122">
          <cell r="B122" t="str">
            <v>C4010010020</v>
          </cell>
          <cell r="C122" t="str">
            <v>CX0068</v>
          </cell>
        </row>
        <row r="123">
          <cell r="B123" t="str">
            <v>C4010010025</v>
          </cell>
          <cell r="C123" t="str">
            <v>CX0069</v>
          </cell>
        </row>
        <row r="124">
          <cell r="B124" t="str">
            <v>C4010010035</v>
          </cell>
          <cell r="C124" t="str">
            <v>CX0070</v>
          </cell>
        </row>
        <row r="125">
          <cell r="B125" t="str">
            <v>C4010010045</v>
          </cell>
          <cell r="C125" t="str">
            <v>CX0071</v>
          </cell>
        </row>
        <row r="126">
          <cell r="B126" t="str">
            <v>C4010010100</v>
          </cell>
          <cell r="C126" t="str">
            <v>CX0072</v>
          </cell>
        </row>
        <row r="127">
          <cell r="B127" t="str">
            <v>C4010010110</v>
          </cell>
          <cell r="C127" t="str">
            <v>CX0073</v>
          </cell>
        </row>
        <row r="128">
          <cell r="B128" t="str">
            <v>C4010010155</v>
          </cell>
          <cell r="C128" t="str">
            <v>CX0074</v>
          </cell>
        </row>
        <row r="129">
          <cell r="B129" t="str">
            <v>C4010010170</v>
          </cell>
          <cell r="C129" t="str">
            <v>CX0075</v>
          </cell>
        </row>
        <row r="130">
          <cell r="B130" t="str">
            <v>C4010010195</v>
          </cell>
          <cell r="C130" t="str">
            <v>CX0076</v>
          </cell>
        </row>
        <row r="131">
          <cell r="B131" t="str">
            <v>C4010010205</v>
          </cell>
          <cell r="C131" t="str">
            <v>CX0077</v>
          </cell>
        </row>
        <row r="132">
          <cell r="B132" t="str">
            <v>C4010010210</v>
          </cell>
          <cell r="C132" t="str">
            <v>CX0078</v>
          </cell>
        </row>
        <row r="133">
          <cell r="B133" t="str">
            <v>C4010010215</v>
          </cell>
          <cell r="C133" t="str">
            <v>CX0079</v>
          </cell>
        </row>
        <row r="134">
          <cell r="B134" t="str">
            <v>C4010010220</v>
          </cell>
          <cell r="C134" t="str">
            <v>CX0080</v>
          </cell>
        </row>
        <row r="135">
          <cell r="B135" t="str">
            <v>C4010020010</v>
          </cell>
          <cell r="C135" t="str">
            <v>CX0081</v>
          </cell>
        </row>
        <row r="136">
          <cell r="B136" t="str">
            <v>C4010020030</v>
          </cell>
          <cell r="C136" t="str">
            <v>CX0082</v>
          </cell>
        </row>
        <row r="137">
          <cell r="B137" t="str">
            <v>C4010020080</v>
          </cell>
          <cell r="C137" t="str">
            <v>CX0083</v>
          </cell>
        </row>
        <row r="138">
          <cell r="B138" t="str">
            <v>C4010020085</v>
          </cell>
          <cell r="C138" t="str">
            <v>CX0084</v>
          </cell>
        </row>
        <row r="139">
          <cell r="B139" t="str">
            <v>C4010050025</v>
          </cell>
          <cell r="C139" t="str">
            <v>CX0085</v>
          </cell>
        </row>
        <row r="140">
          <cell r="B140" t="str">
            <v>C4020010005</v>
          </cell>
          <cell r="C140" t="str">
            <v>CX0086</v>
          </cell>
        </row>
        <row r="141">
          <cell r="B141" t="str">
            <v>C4030010010</v>
          </cell>
          <cell r="C141" t="str">
            <v>CZ0006</v>
          </cell>
        </row>
        <row r="142">
          <cell r="B142" t="str">
            <v>C4030010015</v>
          </cell>
          <cell r="C142" t="str">
            <v>CZ0007</v>
          </cell>
        </row>
        <row r="143">
          <cell r="B143" t="str">
            <v>C4030030020</v>
          </cell>
          <cell r="C143" t="str">
            <v>CZ0018</v>
          </cell>
        </row>
        <row r="144">
          <cell r="B144" t="str">
            <v>C4504000004</v>
          </cell>
          <cell r="C144" t="str">
            <v>CV0420</v>
          </cell>
        </row>
        <row r="145">
          <cell r="B145" t="str">
            <v>C4504000008</v>
          </cell>
          <cell r="C145" t="str">
            <v>CB4403</v>
          </cell>
        </row>
        <row r="146">
          <cell r="B146" t="str">
            <v>C4504000010</v>
          </cell>
          <cell r="C146" t="str">
            <v>CB4406</v>
          </cell>
        </row>
        <row r="147">
          <cell r="B147" t="str">
            <v>C4504000012</v>
          </cell>
          <cell r="C147" t="str">
            <v>CV0458</v>
          </cell>
        </row>
        <row r="148">
          <cell r="B148" t="str">
            <v>C4508000002</v>
          </cell>
          <cell r="C148" t="str">
            <v>CB4458</v>
          </cell>
        </row>
        <row r="149">
          <cell r="B149" t="str">
            <v>C4508000010</v>
          </cell>
          <cell r="C149" t="str">
            <v>CV0364</v>
          </cell>
        </row>
        <row r="150">
          <cell r="B150" t="str">
            <v>C4508000018</v>
          </cell>
          <cell r="C150" t="str">
            <v>CB4468</v>
          </cell>
        </row>
        <row r="151">
          <cell r="B151" t="str">
            <v>C4508000028</v>
          </cell>
          <cell r="C151" t="str">
            <v>CV0355</v>
          </cell>
        </row>
        <row r="152">
          <cell r="B152" t="str">
            <v>C4508000102</v>
          </cell>
          <cell r="C152" t="str">
            <v>CB4466</v>
          </cell>
        </row>
        <row r="153">
          <cell r="B153" t="str">
            <v>C4508000202</v>
          </cell>
          <cell r="C153" t="str">
            <v>CB4810</v>
          </cell>
        </row>
        <row r="154">
          <cell r="B154" t="str">
            <v>C4512000002</v>
          </cell>
          <cell r="C154" t="str">
            <v>CB4498</v>
          </cell>
        </row>
        <row r="155">
          <cell r="B155" t="str">
            <v>C4512000010</v>
          </cell>
          <cell r="C155" t="str">
            <v>CX0042</v>
          </cell>
        </row>
        <row r="156">
          <cell r="B156" t="str">
            <v>C4512000016</v>
          </cell>
          <cell r="C156" t="str">
            <v>CB4505</v>
          </cell>
        </row>
        <row r="157">
          <cell r="B157" t="str">
            <v>C4516000002</v>
          </cell>
          <cell r="C157" t="str">
            <v>CB4646</v>
          </cell>
        </row>
        <row r="158">
          <cell r="B158" t="str">
            <v>C4520005006</v>
          </cell>
          <cell r="C158" t="str">
            <v>CV0212</v>
          </cell>
        </row>
        <row r="159">
          <cell r="B159" t="str">
            <v>C4520005008</v>
          </cell>
          <cell r="C159" t="str">
            <v>CB4597</v>
          </cell>
        </row>
        <row r="160">
          <cell r="B160" t="str">
            <v>C4520010108</v>
          </cell>
          <cell r="C160" t="str">
            <v>CV0421</v>
          </cell>
        </row>
        <row r="161">
          <cell r="B161" t="str">
            <v>C4520010112</v>
          </cell>
          <cell r="C161" t="str">
            <v>CB4607</v>
          </cell>
        </row>
        <row r="162">
          <cell r="B162" t="str">
            <v>C4520010116</v>
          </cell>
          <cell r="C162" t="str">
            <v>CV0423</v>
          </cell>
        </row>
        <row r="163">
          <cell r="B163" t="str">
            <v>C4520010120</v>
          </cell>
          <cell r="C163" t="str">
            <v>CV0424</v>
          </cell>
        </row>
        <row r="164">
          <cell r="B164" t="str">
            <v>C4520010128</v>
          </cell>
          <cell r="C164" t="str">
            <v>CB4615</v>
          </cell>
        </row>
        <row r="165">
          <cell r="B165" t="str">
            <v>C4520010134</v>
          </cell>
          <cell r="C165" t="str">
            <v>CB4618</v>
          </cell>
        </row>
        <row r="166">
          <cell r="B166" t="str">
            <v>C4520010136</v>
          </cell>
          <cell r="C166" t="str">
            <v>CB4619</v>
          </cell>
        </row>
        <row r="167">
          <cell r="B167" t="str">
            <v>C4520015208</v>
          </cell>
          <cell r="C167" t="str">
            <v>CB4623</v>
          </cell>
        </row>
        <row r="168">
          <cell r="B168" t="str">
            <v>C4524000006</v>
          </cell>
          <cell r="C168" t="str">
            <v>CV0425</v>
          </cell>
        </row>
        <row r="169">
          <cell r="B169" t="str">
            <v>C4524000008</v>
          </cell>
          <cell r="C169" t="str">
            <v>CV0426</v>
          </cell>
        </row>
        <row r="170">
          <cell r="B170" t="str">
            <v>C4524000014</v>
          </cell>
          <cell r="C170" t="str">
            <v>CV0500</v>
          </cell>
        </row>
        <row r="171">
          <cell r="B171" t="str">
            <v>C4524000016</v>
          </cell>
          <cell r="C171" t="str">
            <v>CB4657</v>
          </cell>
        </row>
        <row r="172">
          <cell r="B172" t="str">
            <v>C4524000018</v>
          </cell>
          <cell r="C172" t="str">
            <v>CV0502</v>
          </cell>
        </row>
        <row r="173">
          <cell r="B173" t="str">
            <v>C4524000020</v>
          </cell>
          <cell r="C173" t="str">
            <v>CB4659</v>
          </cell>
        </row>
        <row r="174">
          <cell r="B174" t="str">
            <v>C4524000022</v>
          </cell>
          <cell r="C174" t="str">
            <v>CV0503</v>
          </cell>
        </row>
        <row r="175">
          <cell r="B175" t="str">
            <v>C4524000034</v>
          </cell>
          <cell r="C175" t="str">
            <v>CB4666</v>
          </cell>
        </row>
        <row r="176">
          <cell r="B176" t="str">
            <v>C4528000002</v>
          </cell>
          <cell r="C176" t="str">
            <v>CB4514</v>
          </cell>
        </row>
        <row r="177">
          <cell r="B177" t="str">
            <v>C4528000006</v>
          </cell>
          <cell r="C177" t="str">
            <v>CB4516</v>
          </cell>
        </row>
        <row r="178">
          <cell r="B178" t="str">
            <v>C4528000014</v>
          </cell>
          <cell r="C178" t="str">
            <v>CB4520</v>
          </cell>
        </row>
        <row r="179">
          <cell r="B179" t="str">
            <v>C4528000018</v>
          </cell>
          <cell r="C179" t="str">
            <v>CB4522</v>
          </cell>
        </row>
        <row r="180">
          <cell r="B180" t="str">
            <v>C4528000024</v>
          </cell>
          <cell r="C180" t="str">
            <v>CB4525</v>
          </cell>
        </row>
        <row r="181">
          <cell r="B181" t="str">
            <v>C4528000028</v>
          </cell>
          <cell r="C181" t="str">
            <v>CB4527</v>
          </cell>
        </row>
        <row r="182">
          <cell r="B182" t="str">
            <v>C4528000030</v>
          </cell>
          <cell r="C182" t="str">
            <v>CB4528</v>
          </cell>
        </row>
        <row r="183">
          <cell r="B183" t="str">
            <v>C4528000034</v>
          </cell>
          <cell r="C183" t="str">
            <v>CB4530</v>
          </cell>
        </row>
        <row r="184">
          <cell r="B184" t="str">
            <v>C4528000040</v>
          </cell>
          <cell r="C184" t="str">
            <v>CB4533</v>
          </cell>
        </row>
        <row r="185">
          <cell r="B185" t="str">
            <v>C4532010002</v>
          </cell>
          <cell r="C185" t="str">
            <v>CB4414</v>
          </cell>
        </row>
        <row r="186">
          <cell r="B186" t="str">
            <v>C4532010008</v>
          </cell>
          <cell r="C186" t="str">
            <v>CB4417</v>
          </cell>
        </row>
        <row r="187">
          <cell r="B187" t="str">
            <v>C4532010010</v>
          </cell>
          <cell r="C187" t="str">
            <v>CB4418</v>
          </cell>
        </row>
        <row r="188">
          <cell r="B188" t="str">
            <v>C4532010012</v>
          </cell>
          <cell r="C188" t="str">
            <v>CB4419</v>
          </cell>
        </row>
        <row r="189">
          <cell r="B189" t="str">
            <v>C4532010016</v>
          </cell>
          <cell r="C189" t="str">
            <v>CB4421</v>
          </cell>
        </row>
        <row r="190">
          <cell r="B190" t="str">
            <v>C4532010018</v>
          </cell>
          <cell r="C190" t="str">
            <v>CB4430</v>
          </cell>
        </row>
        <row r="191">
          <cell r="B191" t="str">
            <v>C4532010022</v>
          </cell>
          <cell r="C191" t="str">
            <v>CB4432</v>
          </cell>
        </row>
        <row r="192">
          <cell r="B192" t="str">
            <v>C4532010026</v>
          </cell>
          <cell r="C192" t="str">
            <v>CB4434</v>
          </cell>
        </row>
        <row r="193">
          <cell r="B193" t="str">
            <v>C4532010202</v>
          </cell>
          <cell r="C193" t="str">
            <v>CB0057</v>
          </cell>
        </row>
        <row r="194">
          <cell r="B194" t="str">
            <v>C4532010302</v>
          </cell>
          <cell r="C194" t="str">
            <v>CB4444</v>
          </cell>
        </row>
        <row r="195">
          <cell r="B195" t="str">
            <v>C4532010306</v>
          </cell>
          <cell r="C195" t="str">
            <v>CV0427</v>
          </cell>
        </row>
        <row r="196">
          <cell r="B196" t="str">
            <v>C4532015310</v>
          </cell>
          <cell r="C196" t="str">
            <v>CB4454</v>
          </cell>
        </row>
        <row r="197">
          <cell r="B197" t="str">
            <v>C4532020005</v>
          </cell>
          <cell r="C197" t="str">
            <v>CV0428</v>
          </cell>
        </row>
        <row r="198">
          <cell r="B198" t="str">
            <v>C4532020010</v>
          </cell>
          <cell r="C198" t="str">
            <v>CV0429</v>
          </cell>
        </row>
        <row r="199">
          <cell r="B199" t="str">
            <v>C4532030005</v>
          </cell>
          <cell r="C199" t="str">
            <v>CB0055</v>
          </cell>
        </row>
        <row r="200">
          <cell r="B200" t="str">
            <v>C4532040005</v>
          </cell>
          <cell r="C200" t="str">
            <v>CV0541</v>
          </cell>
        </row>
        <row r="201">
          <cell r="B201" t="str">
            <v>C4532040015</v>
          </cell>
          <cell r="C201" t="str">
            <v>CZ0028</v>
          </cell>
        </row>
        <row r="202">
          <cell r="B202" t="str">
            <v>C4532040035</v>
          </cell>
          <cell r="C202" t="str">
            <v>CV0542</v>
          </cell>
        </row>
        <row r="203">
          <cell r="B203" t="str">
            <v>C4536000004</v>
          </cell>
          <cell r="C203" t="str">
            <v>CB4685</v>
          </cell>
        </row>
        <row r="204">
          <cell r="B204" t="str">
            <v>C4536000008</v>
          </cell>
          <cell r="C204" t="str">
            <v>CB4687</v>
          </cell>
        </row>
        <row r="205">
          <cell r="B205" t="str">
            <v>C4536000102</v>
          </cell>
          <cell r="C205" t="str">
            <v>CB4698</v>
          </cell>
        </row>
        <row r="206">
          <cell r="B206" t="str">
            <v>C4536000106</v>
          </cell>
          <cell r="C206" t="str">
            <v>CB4700</v>
          </cell>
        </row>
        <row r="207">
          <cell r="B207" t="str">
            <v>C4536000110</v>
          </cell>
          <cell r="C207" t="str">
            <v>CB4702</v>
          </cell>
        </row>
        <row r="208">
          <cell r="B208" t="str">
            <v>C4540000002</v>
          </cell>
          <cell r="C208" t="str">
            <v>CB4712</v>
          </cell>
        </row>
        <row r="209">
          <cell r="B209" t="str">
            <v>C4540000006</v>
          </cell>
          <cell r="C209" t="str">
            <v>CB4714</v>
          </cell>
        </row>
        <row r="210">
          <cell r="B210" t="str">
            <v>C4540000030</v>
          </cell>
          <cell r="C210" t="str">
            <v>CB4726</v>
          </cell>
        </row>
        <row r="211">
          <cell r="B211" t="str">
            <v>C4544000002</v>
          </cell>
          <cell r="C211" t="str">
            <v>CB4748</v>
          </cell>
        </row>
        <row r="212">
          <cell r="B212" t="str">
            <v>C4544000006</v>
          </cell>
          <cell r="C212" t="str">
            <v>CB4750</v>
          </cell>
        </row>
        <row r="213">
          <cell r="B213" t="str">
            <v>C4544000022</v>
          </cell>
          <cell r="C213" t="str">
            <v>CB4758</v>
          </cell>
        </row>
        <row r="214">
          <cell r="B214" t="str">
            <v>C4544000030</v>
          </cell>
          <cell r="C214" t="str">
            <v>CB4762</v>
          </cell>
        </row>
        <row r="215">
          <cell r="B215" t="str">
            <v>C4548000002</v>
          </cell>
          <cell r="C215" t="str">
            <v>CB4766</v>
          </cell>
        </row>
        <row r="216">
          <cell r="B216" t="str">
            <v>C4548000006</v>
          </cell>
          <cell r="C216" t="str">
            <v>CB4768</v>
          </cell>
        </row>
        <row r="217">
          <cell r="B217" t="str">
            <v>C4552000052</v>
          </cell>
          <cell r="C217" t="str">
            <v>CV0104</v>
          </cell>
        </row>
        <row r="218">
          <cell r="B218" t="str">
            <v>C4552000054</v>
          </cell>
          <cell r="C218" t="str">
            <v>CV0105</v>
          </cell>
        </row>
        <row r="219">
          <cell r="B219" t="str">
            <v>C4552000056</v>
          </cell>
          <cell r="C219" t="str">
            <v>CV0431</v>
          </cell>
        </row>
        <row r="220">
          <cell r="B220" t="str">
            <v>C4552000104</v>
          </cell>
          <cell r="C220" t="str">
            <v>CV0517</v>
          </cell>
        </row>
        <row r="221">
          <cell r="B221" t="str">
            <v>C4552000154</v>
          </cell>
          <cell r="C221" t="str">
            <v>CV0518</v>
          </cell>
        </row>
        <row r="222">
          <cell r="B222" t="str">
            <v>C4552000156</v>
          </cell>
          <cell r="C222" t="str">
            <v>CV0519</v>
          </cell>
        </row>
        <row r="223">
          <cell r="B223" t="str">
            <v>C4556000054</v>
          </cell>
          <cell r="C223" t="str">
            <v>CV0064</v>
          </cell>
        </row>
        <row r="224">
          <cell r="B224" t="str">
            <v>C4556000104</v>
          </cell>
          <cell r="C224" t="str">
            <v>CV0520</v>
          </cell>
        </row>
        <row r="225">
          <cell r="B225" t="str">
            <v>C4556000106</v>
          </cell>
          <cell r="C225" t="str">
            <v>CU0063</v>
          </cell>
        </row>
        <row r="226">
          <cell r="B226" t="str">
            <v>C4560000106</v>
          </cell>
          <cell r="C226" t="str">
            <v>CV0521</v>
          </cell>
        </row>
        <row r="227">
          <cell r="B227" t="str">
            <v>C4562000014</v>
          </cell>
          <cell r="C227" t="str">
            <v>CV0531</v>
          </cell>
        </row>
        <row r="228">
          <cell r="B228" t="str">
            <v>C4562000016</v>
          </cell>
          <cell r="C228" t="str">
            <v>CV0435</v>
          </cell>
        </row>
        <row r="229">
          <cell r="B229" t="str">
            <v>C4562000018</v>
          </cell>
          <cell r="C229" t="str">
            <v>CV0436</v>
          </cell>
        </row>
        <row r="230">
          <cell r="B230" t="str">
            <v>C4562000022</v>
          </cell>
          <cell r="C230" t="str">
            <v>CB0056</v>
          </cell>
        </row>
        <row r="231">
          <cell r="B231" t="str">
            <v>C4564000014</v>
          </cell>
          <cell r="C231" t="str">
            <v>CV0438</v>
          </cell>
        </row>
        <row r="232">
          <cell r="B232" t="str">
            <v>C4564000016</v>
          </cell>
          <cell r="C232" t="str">
            <v>CV0439</v>
          </cell>
        </row>
        <row r="233">
          <cell r="B233" t="str">
            <v>C4564000032</v>
          </cell>
          <cell r="C233" t="str">
            <v>CV0487</v>
          </cell>
        </row>
        <row r="234">
          <cell r="B234" t="str">
            <v>C4564000034</v>
          </cell>
          <cell r="C234" t="str">
            <v>CV0488</v>
          </cell>
        </row>
        <row r="235">
          <cell r="B235" t="str">
            <v>C4564000044</v>
          </cell>
          <cell r="C235" t="str">
            <v>CV0489</v>
          </cell>
        </row>
        <row r="236">
          <cell r="B236" t="str">
            <v>C4564000114</v>
          </cell>
          <cell r="C236" t="str">
            <v>CB4028</v>
          </cell>
        </row>
        <row r="237">
          <cell r="B237" t="str">
            <v>C4564000136</v>
          </cell>
          <cell r="C237" t="str">
            <v>CB4073</v>
          </cell>
        </row>
        <row r="238">
          <cell r="B238" t="str">
            <v>C4564000144</v>
          </cell>
          <cell r="C238" t="str">
            <v>CB4102</v>
          </cell>
        </row>
        <row r="239">
          <cell r="B239" t="str">
            <v>C4564000216</v>
          </cell>
          <cell r="C239" t="str">
            <v>CB4034</v>
          </cell>
        </row>
        <row r="240">
          <cell r="B240" t="str">
            <v>C4564000232</v>
          </cell>
          <cell r="C240" t="str">
            <v>CB4074</v>
          </cell>
        </row>
        <row r="241">
          <cell r="B241" t="str">
            <v>C4564000320</v>
          </cell>
          <cell r="C241" t="str">
            <v>CB4041</v>
          </cell>
        </row>
        <row r="242">
          <cell r="B242" t="str">
            <v>C4564000334</v>
          </cell>
          <cell r="C242" t="str">
            <v>CB4078</v>
          </cell>
        </row>
        <row r="243">
          <cell r="B243" t="str">
            <v>C4564000346</v>
          </cell>
          <cell r="C243" t="str">
            <v>CB4109</v>
          </cell>
        </row>
        <row r="244">
          <cell r="B244" t="str">
            <v>C4568000002</v>
          </cell>
          <cell r="C244" t="str">
            <v>CB4554</v>
          </cell>
        </row>
        <row r="245">
          <cell r="B245" t="str">
            <v>C4568000012</v>
          </cell>
          <cell r="C245" t="str">
            <v>CB4559</v>
          </cell>
        </row>
        <row r="246">
          <cell r="B246" t="str">
            <v>C4568000022</v>
          </cell>
          <cell r="C246" t="str">
            <v>CB4564</v>
          </cell>
        </row>
        <row r="247">
          <cell r="B247" t="str">
            <v>C4568000032</v>
          </cell>
          <cell r="C247" t="str">
            <v>CB4569</v>
          </cell>
        </row>
        <row r="248">
          <cell r="B248" t="str">
            <v>C4568000040</v>
          </cell>
          <cell r="C248" t="str">
            <v>CB4573</v>
          </cell>
        </row>
        <row r="249">
          <cell r="B249" t="str">
            <v>C4572005004</v>
          </cell>
          <cell r="C249" t="str">
            <v>CB4126</v>
          </cell>
        </row>
        <row r="250">
          <cell r="B250" t="str">
            <v>C4572005006</v>
          </cell>
          <cell r="C250" t="str">
            <v>CB4130</v>
          </cell>
        </row>
        <row r="251">
          <cell r="B251" t="str">
            <v>C4572005014</v>
          </cell>
          <cell r="C251" t="str">
            <v>CB4146</v>
          </cell>
        </row>
        <row r="252">
          <cell r="B252" t="str">
            <v>C4572005038</v>
          </cell>
          <cell r="C252" t="str">
            <v>CB4135</v>
          </cell>
        </row>
        <row r="253">
          <cell r="B253" t="str">
            <v>C4572005066</v>
          </cell>
          <cell r="C253" t="str">
            <v>CB4132</v>
          </cell>
        </row>
        <row r="254">
          <cell r="B254" t="str">
            <v>C4572005096</v>
          </cell>
          <cell r="C254" t="str">
            <v>CB4133</v>
          </cell>
        </row>
        <row r="255">
          <cell r="B255" t="str">
            <v>C4572010236</v>
          </cell>
          <cell r="C255" t="str">
            <v>CB4219</v>
          </cell>
        </row>
        <row r="256">
          <cell r="B256" t="str">
            <v>C4572010266</v>
          </cell>
          <cell r="C256" t="str">
            <v>CB4220</v>
          </cell>
        </row>
        <row r="257">
          <cell r="B257" t="str">
            <v>C4572010296</v>
          </cell>
          <cell r="C257" t="str">
            <v>CB4221</v>
          </cell>
        </row>
        <row r="258">
          <cell r="B258" t="str">
            <v>C4572015466</v>
          </cell>
          <cell r="C258" t="str">
            <v>CB4308</v>
          </cell>
        </row>
        <row r="259">
          <cell r="B259" t="str">
            <v>C4572015496</v>
          </cell>
          <cell r="C259" t="str">
            <v>CB4309</v>
          </cell>
        </row>
        <row r="260">
          <cell r="B260" t="str">
            <v>C4576000006</v>
          </cell>
          <cell r="C260" t="str">
            <v>CV0522</v>
          </cell>
        </row>
        <row r="261">
          <cell r="B261" t="str">
            <v>C4576000024</v>
          </cell>
          <cell r="C261" t="str">
            <v>CV0540</v>
          </cell>
        </row>
        <row r="262">
          <cell r="B262" t="str">
            <v>C4576000026</v>
          </cell>
          <cell r="C262" t="str">
            <v>CV0523</v>
          </cell>
        </row>
        <row r="263">
          <cell r="B263" t="str">
            <v>C4576000046</v>
          </cell>
          <cell r="C263" t="str">
            <v>CV0524</v>
          </cell>
        </row>
        <row r="264">
          <cell r="B264" t="str">
            <v>C4580010005</v>
          </cell>
          <cell r="C264" t="str">
            <v>CX0034</v>
          </cell>
        </row>
        <row r="265">
          <cell r="B265" t="str">
            <v>C4580010010</v>
          </cell>
          <cell r="C265" t="str">
            <v>CV0463</v>
          </cell>
        </row>
        <row r="266">
          <cell r="B266" t="str">
            <v>C4580010110</v>
          </cell>
          <cell r="C266" t="str">
            <v>CV0543</v>
          </cell>
        </row>
        <row r="267">
          <cell r="B267" t="str">
            <v>C4580010205</v>
          </cell>
          <cell r="C267" t="str">
            <v>CV0544</v>
          </cell>
        </row>
        <row r="268">
          <cell r="B268" t="str">
            <v>C4580060010</v>
          </cell>
          <cell r="C268" t="str">
            <v>CV0545</v>
          </cell>
        </row>
        <row r="269">
          <cell r="B269" t="str">
            <v>C4580060035</v>
          </cell>
          <cell r="C269" t="str">
            <v>CV0546</v>
          </cell>
        </row>
        <row r="270">
          <cell r="B270" t="str">
            <v>C4580060110</v>
          </cell>
          <cell r="C270" t="str">
            <v>CV0547</v>
          </cell>
        </row>
        <row r="271">
          <cell r="B271" t="str">
            <v>C4580120010</v>
          </cell>
          <cell r="C271" t="str">
            <v>CV0548</v>
          </cell>
        </row>
        <row r="272">
          <cell r="B272" t="str">
            <v>C4580160005</v>
          </cell>
          <cell r="C272" t="str">
            <v>CX0030</v>
          </cell>
        </row>
        <row r="273">
          <cell r="B273" t="str">
            <v>C5005000005</v>
          </cell>
          <cell r="C273" t="str">
            <v>CE0530</v>
          </cell>
        </row>
        <row r="274">
          <cell r="B274" t="str">
            <v>C5005000010</v>
          </cell>
          <cell r="C274" t="str">
            <v>CD0082</v>
          </cell>
        </row>
        <row r="275">
          <cell r="B275" t="str">
            <v>C5005000015</v>
          </cell>
          <cell r="C275" t="str">
            <v>CC0004</v>
          </cell>
        </row>
        <row r="276">
          <cell r="B276" t="str">
            <v>C5005000020</v>
          </cell>
          <cell r="C276" t="str">
            <v>CE0531</v>
          </cell>
        </row>
        <row r="277">
          <cell r="B277" t="str">
            <v>C5005000025</v>
          </cell>
          <cell r="C277" t="str">
            <v>CE0532</v>
          </cell>
        </row>
        <row r="278">
          <cell r="B278" t="str">
            <v>C5005000030</v>
          </cell>
          <cell r="C278" t="str">
            <v>CE0074</v>
          </cell>
        </row>
        <row r="279">
          <cell r="B279" t="str">
            <v>C5005000060</v>
          </cell>
          <cell r="C279" t="str">
            <v>CE0533</v>
          </cell>
        </row>
        <row r="280">
          <cell r="B280" t="str">
            <v>C5005000080</v>
          </cell>
          <cell r="C280" t="str">
            <v>CF0001</v>
          </cell>
        </row>
        <row r="281">
          <cell r="B281" t="str">
            <v>C5005000085</v>
          </cell>
          <cell r="C281" t="str">
            <v>CE0534</v>
          </cell>
        </row>
        <row r="282">
          <cell r="B282" t="str">
            <v>C5010000005</v>
          </cell>
          <cell r="C282" t="str">
            <v>CE0535</v>
          </cell>
        </row>
        <row r="283">
          <cell r="B283" t="str">
            <v>C5015010005</v>
          </cell>
          <cell r="C283" t="str">
            <v>CV0288</v>
          </cell>
        </row>
        <row r="284">
          <cell r="B284" t="str">
            <v>C5015010020</v>
          </cell>
          <cell r="C284" t="str">
            <v>CV0291</v>
          </cell>
        </row>
        <row r="285">
          <cell r="B285" t="str">
            <v>C5015015005</v>
          </cell>
          <cell r="C285" t="str">
            <v>CV0289</v>
          </cell>
        </row>
        <row r="286">
          <cell r="B286" t="str">
            <v>C5015020010</v>
          </cell>
          <cell r="C286" t="str">
            <v>CV0290</v>
          </cell>
        </row>
        <row r="287">
          <cell r="B287" t="str">
            <v>C5020000005</v>
          </cell>
          <cell r="C287" t="str">
            <v>CV0441</v>
          </cell>
        </row>
        <row r="288">
          <cell r="B288" t="str">
            <v>C5020000010</v>
          </cell>
          <cell r="C288" t="str">
            <v>CD0101</v>
          </cell>
        </row>
        <row r="289">
          <cell r="B289" t="str">
            <v>C5020000015</v>
          </cell>
          <cell r="C289" t="str">
            <v>CF0030</v>
          </cell>
        </row>
        <row r="290">
          <cell r="B290" t="str">
            <v>C5030000010</v>
          </cell>
          <cell r="C290" t="str">
            <v>CE0536</v>
          </cell>
        </row>
        <row r="291">
          <cell r="B291" t="str">
            <v>C5030000015</v>
          </cell>
          <cell r="C291" t="str">
            <v>CE0537</v>
          </cell>
        </row>
        <row r="292">
          <cell r="B292" t="str">
            <v>C6005010005</v>
          </cell>
          <cell r="C292" t="str">
            <v>CE0042</v>
          </cell>
        </row>
        <row r="293">
          <cell r="B293" t="str">
            <v>C6005010010</v>
          </cell>
          <cell r="C293" t="str">
            <v>CD0094</v>
          </cell>
        </row>
        <row r="294">
          <cell r="B294" t="str">
            <v>C6005010015</v>
          </cell>
          <cell r="C294" t="str">
            <v>CE0538</v>
          </cell>
        </row>
        <row r="295">
          <cell r="B295" t="str">
            <v>C6005010020</v>
          </cell>
          <cell r="C295" t="str">
            <v>CE0539</v>
          </cell>
        </row>
        <row r="296">
          <cell r="B296" t="str">
            <v>C6005010030</v>
          </cell>
          <cell r="C296" t="str">
            <v>CE0591</v>
          </cell>
        </row>
        <row r="297">
          <cell r="B297" t="str">
            <v>C6005010035</v>
          </cell>
          <cell r="C297" t="str">
            <v>CE0540</v>
          </cell>
        </row>
        <row r="298">
          <cell r="B298" t="str">
            <v>C6005010100</v>
          </cell>
          <cell r="C298" t="str">
            <v>CE0541</v>
          </cell>
        </row>
        <row r="299">
          <cell r="B299" t="str">
            <v>C6010015005</v>
          </cell>
          <cell r="C299" t="str">
            <v>CV0442</v>
          </cell>
        </row>
        <row r="300">
          <cell r="B300" t="str">
            <v>C6010015015</v>
          </cell>
          <cell r="C300" t="str">
            <v>CE0503</v>
          </cell>
        </row>
        <row r="301">
          <cell r="B301" t="str">
            <v>C6010015020</v>
          </cell>
          <cell r="C301" t="str">
            <v>CE0543</v>
          </cell>
        </row>
        <row r="302">
          <cell r="B302" t="str">
            <v>C6010015100</v>
          </cell>
          <cell r="C302" t="str">
            <v>CE0544</v>
          </cell>
        </row>
        <row r="303">
          <cell r="B303" t="str">
            <v>C6030010005</v>
          </cell>
          <cell r="C303" t="str">
            <v>CE0545</v>
          </cell>
        </row>
        <row r="304">
          <cell r="B304" t="str">
            <v>C6030010010</v>
          </cell>
          <cell r="C304" t="str">
            <v>CE0079</v>
          </cell>
        </row>
        <row r="305">
          <cell r="B305" t="str">
            <v>C6030010020</v>
          </cell>
          <cell r="C305" t="str">
            <v>CE0085</v>
          </cell>
        </row>
        <row r="306">
          <cell r="B306" t="str">
            <v>C6030010030</v>
          </cell>
          <cell r="C306" t="str">
            <v>CE0081</v>
          </cell>
        </row>
        <row r="307">
          <cell r="B307" t="str">
            <v>C6030020005</v>
          </cell>
          <cell r="C307" t="str">
            <v>CE0546</v>
          </cell>
        </row>
        <row r="308">
          <cell r="B308" t="str">
            <v>C6030020010</v>
          </cell>
          <cell r="C308" t="str">
            <v>CE0078</v>
          </cell>
        </row>
        <row r="309">
          <cell r="B309" t="str">
            <v>C6030020015</v>
          </cell>
          <cell r="C309" t="str">
            <v>CE0086</v>
          </cell>
        </row>
        <row r="310">
          <cell r="B310" t="str">
            <v>C6030020025</v>
          </cell>
          <cell r="C310" t="str">
            <v>CE0087</v>
          </cell>
        </row>
        <row r="311">
          <cell r="B311" t="str">
            <v>C6030025005</v>
          </cell>
          <cell r="C311" t="str">
            <v>CE0547</v>
          </cell>
        </row>
        <row r="312">
          <cell r="B312" t="str">
            <v>C6030025010</v>
          </cell>
          <cell r="C312" t="str">
            <v>CE0089</v>
          </cell>
        </row>
        <row r="313">
          <cell r="B313" t="str">
            <v>C6030025015</v>
          </cell>
          <cell r="C313" t="str">
            <v>CE0082</v>
          </cell>
        </row>
        <row r="314">
          <cell r="B314" t="str">
            <v>C6030030005</v>
          </cell>
          <cell r="C314" t="str">
            <v>CE0548</v>
          </cell>
        </row>
        <row r="315">
          <cell r="B315" t="str">
            <v>C6030030010</v>
          </cell>
          <cell r="C315" t="str">
            <v>CE0090</v>
          </cell>
        </row>
        <row r="316">
          <cell r="B316" t="str">
            <v>C6030030020</v>
          </cell>
          <cell r="C316" t="str">
            <v>CE0083</v>
          </cell>
        </row>
        <row r="317">
          <cell r="B317" t="str">
            <v>C6030035005</v>
          </cell>
          <cell r="C317" t="str">
            <v>CE0549</v>
          </cell>
        </row>
        <row r="318">
          <cell r="B318" t="str">
            <v>C6030035020</v>
          </cell>
          <cell r="C318" t="str">
            <v>CE0084</v>
          </cell>
        </row>
        <row r="319">
          <cell r="B319" t="str">
            <v>C6030035030</v>
          </cell>
          <cell r="C319" t="str">
            <v>CE0550</v>
          </cell>
        </row>
        <row r="320">
          <cell r="B320" t="str">
            <v>C6030035040</v>
          </cell>
          <cell r="C320" t="str">
            <v>CE0551</v>
          </cell>
        </row>
        <row r="321">
          <cell r="B321" t="str">
            <v>C6035005005</v>
          </cell>
          <cell r="C321" t="str">
            <v>CE0552</v>
          </cell>
        </row>
        <row r="322">
          <cell r="B322" t="str">
            <v>C6035005010</v>
          </cell>
          <cell r="C322" t="str">
            <v>CE0101</v>
          </cell>
        </row>
        <row r="323">
          <cell r="B323" t="str">
            <v>C6035005105</v>
          </cell>
          <cell r="C323" t="str">
            <v>CE0088</v>
          </cell>
        </row>
        <row r="324">
          <cell r="B324" t="str">
            <v>C6035010005</v>
          </cell>
          <cell r="C324" t="str">
            <v>CE0553</v>
          </cell>
        </row>
        <row r="325">
          <cell r="B325" t="str">
            <v>C6035010010</v>
          </cell>
          <cell r="C325" t="str">
            <v>CE0109</v>
          </cell>
        </row>
        <row r="326">
          <cell r="B326" t="str">
            <v>C6035010015</v>
          </cell>
          <cell r="C326" t="str">
            <v>CE0110</v>
          </cell>
        </row>
        <row r="327">
          <cell r="B327" t="str">
            <v>C6035010030</v>
          </cell>
          <cell r="C327" t="str">
            <v>CE0554</v>
          </cell>
        </row>
        <row r="328">
          <cell r="B328" t="str">
            <v>C6035010045</v>
          </cell>
          <cell r="C328" t="str">
            <v>CE0555</v>
          </cell>
        </row>
        <row r="329">
          <cell r="B329" t="str">
            <v>C6035015005</v>
          </cell>
          <cell r="C329" t="str">
            <v>CE0556</v>
          </cell>
        </row>
        <row r="330">
          <cell r="B330" t="str">
            <v>C6035015010</v>
          </cell>
          <cell r="C330" t="str">
            <v>CE0077</v>
          </cell>
        </row>
        <row r="331">
          <cell r="B331" t="str">
            <v>C6050010005</v>
          </cell>
          <cell r="C331" t="str">
            <v>CE0557</v>
          </cell>
        </row>
        <row r="332">
          <cell r="B332" t="str">
            <v>C6050010010</v>
          </cell>
          <cell r="C332" t="str">
            <v>CE0102</v>
          </cell>
        </row>
        <row r="333">
          <cell r="B333" t="str">
            <v>C6050010015</v>
          </cell>
          <cell r="C333" t="str">
            <v>CE0060</v>
          </cell>
        </row>
        <row r="334">
          <cell r="B334" t="str">
            <v>C6050010020</v>
          </cell>
          <cell r="C334" t="str">
            <v>CE0061</v>
          </cell>
        </row>
        <row r="335">
          <cell r="B335" t="str">
            <v>C6050020005</v>
          </cell>
          <cell r="C335" t="str">
            <v>CE0558</v>
          </cell>
        </row>
        <row r="336">
          <cell r="B336" t="str">
            <v>C6050020010</v>
          </cell>
          <cell r="C336" t="str">
            <v>CE0091</v>
          </cell>
        </row>
        <row r="337">
          <cell r="B337" t="str">
            <v>C6050020015</v>
          </cell>
          <cell r="C337" t="str">
            <v>CE0051</v>
          </cell>
        </row>
        <row r="338">
          <cell r="B338" t="str">
            <v>C6050030005</v>
          </cell>
          <cell r="C338" t="str">
            <v>CE0559</v>
          </cell>
        </row>
        <row r="339">
          <cell r="B339" t="str">
            <v>C6050030010</v>
          </cell>
          <cell r="C339" t="str">
            <v>CE0103</v>
          </cell>
        </row>
        <row r="340">
          <cell r="B340" t="str">
            <v>C6050030015</v>
          </cell>
          <cell r="C340" t="str">
            <v>CE0067</v>
          </cell>
        </row>
        <row r="341">
          <cell r="B341" t="str">
            <v>C6050030020</v>
          </cell>
          <cell r="C341" t="str">
            <v>CE0068</v>
          </cell>
        </row>
        <row r="342">
          <cell r="B342" t="str">
            <v>C6050030035</v>
          </cell>
          <cell r="C342" t="str">
            <v>CE0560</v>
          </cell>
        </row>
        <row r="343">
          <cell r="B343" t="str">
            <v>C6050030045</v>
          </cell>
          <cell r="C343" t="str">
            <v>CE0561</v>
          </cell>
        </row>
        <row r="344">
          <cell r="B344" t="str">
            <v>C6050030205</v>
          </cell>
          <cell r="C344" t="str">
            <v>CE0066</v>
          </cell>
        </row>
        <row r="345">
          <cell r="B345" t="str">
            <v>C6050030215</v>
          </cell>
          <cell r="C345" t="str">
            <v>CE0562</v>
          </cell>
        </row>
        <row r="346">
          <cell r="B346" t="str">
            <v>C6050030230</v>
          </cell>
          <cell r="C346" t="str">
            <v>CE0563</v>
          </cell>
        </row>
        <row r="347">
          <cell r="B347" t="str">
            <v>C6050030400</v>
          </cell>
          <cell r="C347" t="str">
            <v>CE0564</v>
          </cell>
        </row>
        <row r="348">
          <cell r="B348" t="str">
            <v>C6050040005</v>
          </cell>
          <cell r="C348" t="str">
            <v>CE0565</v>
          </cell>
        </row>
        <row r="349">
          <cell r="B349" t="str">
            <v>C6050040015</v>
          </cell>
          <cell r="C349" t="str">
            <v>CE0104</v>
          </cell>
        </row>
        <row r="350">
          <cell r="B350" t="str">
            <v>C6050040020</v>
          </cell>
          <cell r="C350" t="str">
            <v>CE0053</v>
          </cell>
        </row>
        <row r="351">
          <cell r="B351" t="str">
            <v>C6050040025</v>
          </cell>
          <cell r="C351" t="str">
            <v>CE0105</v>
          </cell>
        </row>
        <row r="352">
          <cell r="B352" t="str">
            <v>C6050040040</v>
          </cell>
          <cell r="C352" t="str">
            <v>CE0566</v>
          </cell>
        </row>
        <row r="353">
          <cell r="B353" t="str">
            <v>C6050040050</v>
          </cell>
          <cell r="C353" t="str">
            <v>CE0567</v>
          </cell>
        </row>
        <row r="354">
          <cell r="B354" t="str">
            <v>C6050040065</v>
          </cell>
          <cell r="C354" t="str">
            <v>CE0568</v>
          </cell>
        </row>
        <row r="355">
          <cell r="B355" t="str">
            <v>C6050040075</v>
          </cell>
          <cell r="C355" t="str">
            <v>CE0569</v>
          </cell>
        </row>
        <row r="356">
          <cell r="B356" t="str">
            <v>C6050050005</v>
          </cell>
          <cell r="C356" t="str">
            <v>CE0570</v>
          </cell>
        </row>
        <row r="357">
          <cell r="B357" t="str">
            <v>C6050050010</v>
          </cell>
          <cell r="C357" t="str">
            <v>CE0054</v>
          </cell>
        </row>
        <row r="358">
          <cell r="B358" t="str">
            <v>C6050050015</v>
          </cell>
          <cell r="C358" t="str">
            <v>CE0056</v>
          </cell>
        </row>
        <row r="359">
          <cell r="B359" t="str">
            <v>C6050050040</v>
          </cell>
          <cell r="C359" t="str">
            <v>CE0571</v>
          </cell>
        </row>
        <row r="360">
          <cell r="B360" t="str">
            <v>C6050050050</v>
          </cell>
          <cell r="C360" t="str">
            <v>CE0572</v>
          </cell>
        </row>
        <row r="361">
          <cell r="B361" t="str">
            <v>C6050060005</v>
          </cell>
          <cell r="C361" t="str">
            <v>CE0573</v>
          </cell>
        </row>
        <row r="362">
          <cell r="B362" t="str">
            <v>C6050060010</v>
          </cell>
          <cell r="C362" t="str">
            <v>CE0052</v>
          </cell>
        </row>
        <row r="363">
          <cell r="B363" t="str">
            <v>C6050060020</v>
          </cell>
          <cell r="C363" t="str">
            <v>CE0055</v>
          </cell>
        </row>
        <row r="364">
          <cell r="B364" t="str">
            <v>C6050060030</v>
          </cell>
          <cell r="C364" t="str">
            <v>CE0574</v>
          </cell>
        </row>
        <row r="365">
          <cell r="B365" t="str">
            <v>C6050060040</v>
          </cell>
          <cell r="C365" t="str">
            <v>CE0575</v>
          </cell>
        </row>
        <row r="366">
          <cell r="B366" t="str">
            <v>C6050070005</v>
          </cell>
          <cell r="C366" t="str">
            <v>CE0576</v>
          </cell>
        </row>
        <row r="367">
          <cell r="B367" t="str">
            <v>C6050070010</v>
          </cell>
          <cell r="C367" t="str">
            <v>CE0106</v>
          </cell>
        </row>
        <row r="368">
          <cell r="B368" t="str">
            <v>C6050070015</v>
          </cell>
          <cell r="C368" t="str">
            <v>CE0069</v>
          </cell>
        </row>
        <row r="369">
          <cell r="B369" t="str">
            <v>C6050070020</v>
          </cell>
          <cell r="C369" t="str">
            <v>CE0064</v>
          </cell>
        </row>
        <row r="370">
          <cell r="B370" t="str">
            <v>C6050080005</v>
          </cell>
          <cell r="C370" t="str">
            <v>CE0577</v>
          </cell>
        </row>
        <row r="371">
          <cell r="B371" t="str">
            <v>C6050080010</v>
          </cell>
          <cell r="C371" t="str">
            <v>CE0578</v>
          </cell>
        </row>
        <row r="372">
          <cell r="B372" t="str">
            <v>C6050080015</v>
          </cell>
          <cell r="C372" t="str">
            <v>CE0093</v>
          </cell>
        </row>
        <row r="373">
          <cell r="B373" t="str">
            <v>C6050080020</v>
          </cell>
          <cell r="C373" t="str">
            <v>CE0094</v>
          </cell>
        </row>
        <row r="374">
          <cell r="B374" t="str">
            <v>C6050080030</v>
          </cell>
          <cell r="C374" t="str">
            <v>CE0579</v>
          </cell>
        </row>
        <row r="375">
          <cell r="B375" t="str">
            <v>C6050080040</v>
          </cell>
          <cell r="C375" t="str">
            <v>CE0580</v>
          </cell>
        </row>
        <row r="376">
          <cell r="B376" t="str">
            <v>C6050090005</v>
          </cell>
          <cell r="C376" t="str">
            <v>CE0581</v>
          </cell>
        </row>
        <row r="377">
          <cell r="B377" t="str">
            <v>C6050090015</v>
          </cell>
          <cell r="C377" t="str">
            <v>CE0582</v>
          </cell>
        </row>
        <row r="378">
          <cell r="B378" t="str">
            <v>C6050090030</v>
          </cell>
          <cell r="C378" t="str">
            <v>CE0583</v>
          </cell>
        </row>
        <row r="379">
          <cell r="B379" t="str">
            <v>C6050090110</v>
          </cell>
          <cell r="C379" t="str">
            <v>CF0110</v>
          </cell>
        </row>
        <row r="380">
          <cell r="B380" t="str">
            <v>C6080010005</v>
          </cell>
          <cell r="C380" t="str">
            <v>CE0022</v>
          </cell>
        </row>
        <row r="381">
          <cell r="B381" t="str">
            <v>C6080010010</v>
          </cell>
          <cell r="C381" t="str">
            <v>CE0095</v>
          </cell>
        </row>
        <row r="382">
          <cell r="B382" t="str">
            <v>C6080010015</v>
          </cell>
          <cell r="C382" t="str">
            <v>CE0096</v>
          </cell>
        </row>
        <row r="383">
          <cell r="B383" t="str">
            <v>C6080020005</v>
          </cell>
          <cell r="C383" t="str">
            <v>CE0028</v>
          </cell>
        </row>
        <row r="384">
          <cell r="B384" t="str">
            <v>C6080020010</v>
          </cell>
          <cell r="C384" t="str">
            <v>CE0030</v>
          </cell>
        </row>
        <row r="385">
          <cell r="B385" t="str">
            <v>C6080020015</v>
          </cell>
          <cell r="C385" t="str">
            <v>CE0097</v>
          </cell>
        </row>
        <row r="386">
          <cell r="B386" t="str">
            <v>C6080020055</v>
          </cell>
          <cell r="C386" t="str">
            <v>CE0584</v>
          </cell>
        </row>
        <row r="387">
          <cell r="B387" t="str">
            <v>C6080020070</v>
          </cell>
          <cell r="C387" t="str">
            <v>CE0585</v>
          </cell>
        </row>
        <row r="388">
          <cell r="B388" t="str">
            <v>C6085000005</v>
          </cell>
          <cell r="C388" t="str">
            <v>CY0072</v>
          </cell>
        </row>
        <row r="389">
          <cell r="B389" t="str">
            <v>C6085000010</v>
          </cell>
          <cell r="C389" t="str">
            <v>CE0115</v>
          </cell>
        </row>
        <row r="390">
          <cell r="B390" t="str">
            <v>C6085000015</v>
          </cell>
          <cell r="C390" t="str">
            <v>CE0098</v>
          </cell>
        </row>
        <row r="391">
          <cell r="B391" t="str">
            <v>C6085000025</v>
          </cell>
          <cell r="C391" t="str">
            <v>CE0009</v>
          </cell>
        </row>
        <row r="392">
          <cell r="B392" t="str">
            <v>C6085000030</v>
          </cell>
          <cell r="C392" t="str">
            <v>CE0011</v>
          </cell>
        </row>
        <row r="393">
          <cell r="B393" t="str">
            <v>C6085000035</v>
          </cell>
          <cell r="C393" t="str">
            <v>CE0099</v>
          </cell>
        </row>
        <row r="394">
          <cell r="B394" t="str">
            <v>C6085000040</v>
          </cell>
          <cell r="C394" t="str">
            <v>CE0586</v>
          </cell>
        </row>
        <row r="395">
          <cell r="B395" t="str">
            <v>C6090000005</v>
          </cell>
          <cell r="C395" t="str">
            <v>CE0587</v>
          </cell>
        </row>
        <row r="396">
          <cell r="B396" t="str">
            <v>C6090000010</v>
          </cell>
          <cell r="C396" t="str">
            <v>CE0150</v>
          </cell>
        </row>
        <row r="397">
          <cell r="B397" t="str">
            <v>C6090000015</v>
          </cell>
          <cell r="C397" t="str">
            <v>CE0588</v>
          </cell>
        </row>
        <row r="398">
          <cell r="B398" t="str">
            <v>C6090000020</v>
          </cell>
          <cell r="C398" t="str">
            <v>CE0589</v>
          </cell>
        </row>
        <row r="399">
          <cell r="B399" t="str">
            <v>C6090000025</v>
          </cell>
          <cell r="C399" t="str">
            <v>CK0030</v>
          </cell>
        </row>
        <row r="400">
          <cell r="B400" t="str">
            <v>C6090000030</v>
          </cell>
          <cell r="C400" t="str">
            <v>CE0590</v>
          </cell>
        </row>
        <row r="401">
          <cell r="B401" t="str">
            <v>C6090000040</v>
          </cell>
          <cell r="C401" t="str">
            <v>CE0128</v>
          </cell>
        </row>
        <row r="402">
          <cell r="B402" t="str">
            <v>C6090000045</v>
          </cell>
          <cell r="C402" t="str">
            <v>CE0129</v>
          </cell>
        </row>
        <row r="403">
          <cell r="B403" t="str">
            <v>C6090000050</v>
          </cell>
          <cell r="C403" t="str">
            <v>CE0100</v>
          </cell>
        </row>
        <row r="404">
          <cell r="B404" t="str">
            <v>C6505005005</v>
          </cell>
          <cell r="C404" t="str">
            <v>CG0008</v>
          </cell>
        </row>
        <row r="405">
          <cell r="B405" t="str">
            <v>C6505005015</v>
          </cell>
          <cell r="C405" t="str">
            <v>CG0050</v>
          </cell>
        </row>
        <row r="406">
          <cell r="B406" t="str">
            <v>C6505005020</v>
          </cell>
          <cell r="C406" t="str">
            <v>CG0028</v>
          </cell>
        </row>
        <row r="407">
          <cell r="B407" t="str">
            <v>C6505005025</v>
          </cell>
          <cell r="C407" t="str">
            <v>CG0040</v>
          </cell>
        </row>
        <row r="408">
          <cell r="B408" t="str">
            <v>C6505005030</v>
          </cell>
          <cell r="C408" t="str">
            <v>CG0003</v>
          </cell>
        </row>
        <row r="409">
          <cell r="B409" t="str">
            <v>C6505005035</v>
          </cell>
          <cell r="C409" t="str">
            <v>CG0022</v>
          </cell>
        </row>
        <row r="410">
          <cell r="B410" t="str">
            <v>C6505020010</v>
          </cell>
          <cell r="C410" t="str">
            <v>CG0010</v>
          </cell>
        </row>
        <row r="411">
          <cell r="B411" t="str">
            <v>C6505020020</v>
          </cell>
          <cell r="C411" t="str">
            <v>CG0053</v>
          </cell>
        </row>
        <row r="412">
          <cell r="B412" t="str">
            <v>C6505025005</v>
          </cell>
          <cell r="C412" t="str">
            <v>CG0054</v>
          </cell>
        </row>
        <row r="413">
          <cell r="B413" t="str">
            <v>C6505025010</v>
          </cell>
          <cell r="C413" t="str">
            <v>CG0032</v>
          </cell>
        </row>
        <row r="414">
          <cell r="B414" t="str">
            <v>C6505030010</v>
          </cell>
          <cell r="C414" t="str">
            <v>CG0039</v>
          </cell>
        </row>
        <row r="415">
          <cell r="B415" t="str">
            <v>C6510010005</v>
          </cell>
          <cell r="C415" t="str">
            <v>CH0010</v>
          </cell>
        </row>
        <row r="416">
          <cell r="B416" t="str">
            <v>C6510010100</v>
          </cell>
          <cell r="C416" t="str">
            <v>CH0011</v>
          </cell>
        </row>
        <row r="417">
          <cell r="B417" t="str">
            <v>C6510010110</v>
          </cell>
          <cell r="C417" t="str">
            <v>CH0002</v>
          </cell>
        </row>
        <row r="418">
          <cell r="B418" t="str">
            <v>C6510010205</v>
          </cell>
          <cell r="C418" t="str">
            <v>CH0007</v>
          </cell>
        </row>
        <row r="419">
          <cell r="B419" t="str">
            <v>C6510020010</v>
          </cell>
          <cell r="C419" t="str">
            <v>CH0013</v>
          </cell>
        </row>
        <row r="420">
          <cell r="B420" t="str">
            <v>C6515010005</v>
          </cell>
          <cell r="C420" t="str">
            <v>CF0111</v>
          </cell>
        </row>
        <row r="421">
          <cell r="B421" t="str">
            <v>C6515010010</v>
          </cell>
          <cell r="C421" t="str">
            <v>CF0035</v>
          </cell>
        </row>
        <row r="422">
          <cell r="B422" t="str">
            <v>C6515010020</v>
          </cell>
          <cell r="C422" t="str">
            <v>CF0044</v>
          </cell>
        </row>
        <row r="423">
          <cell r="B423" t="str">
            <v>C6515010040</v>
          </cell>
          <cell r="C423" t="str">
            <v>CF0066</v>
          </cell>
        </row>
        <row r="424">
          <cell r="B424" t="str">
            <v>C6515010050</v>
          </cell>
          <cell r="C424" t="str">
            <v>CF0074</v>
          </cell>
        </row>
        <row r="425">
          <cell r="B425" t="str">
            <v>C6515010150</v>
          </cell>
          <cell r="C425" t="str">
            <v>CF0050</v>
          </cell>
        </row>
        <row r="426">
          <cell r="B426" t="str">
            <v>C6515010160</v>
          </cell>
          <cell r="C426" t="str">
            <v>CF0112</v>
          </cell>
        </row>
        <row r="427">
          <cell r="B427" t="str">
            <v>C6515010170</v>
          </cell>
          <cell r="C427" t="str">
            <v>CF0071</v>
          </cell>
        </row>
        <row r="428">
          <cell r="B428" t="str">
            <v>C6515010180</v>
          </cell>
          <cell r="C428" t="str">
            <v>CF0075</v>
          </cell>
        </row>
        <row r="429">
          <cell r="B429" t="str">
            <v>C6515010190</v>
          </cell>
          <cell r="C429" t="str">
            <v>CF0113</v>
          </cell>
        </row>
        <row r="430">
          <cell r="B430" t="str">
            <v>C6515010200</v>
          </cell>
          <cell r="C430" t="str">
            <v>CF0114</v>
          </cell>
        </row>
        <row r="431">
          <cell r="B431" t="str">
            <v>C6515010210</v>
          </cell>
          <cell r="C431" t="str">
            <v>CF0052</v>
          </cell>
        </row>
        <row r="432">
          <cell r="B432" t="str">
            <v>C6515010230</v>
          </cell>
          <cell r="C432" t="str">
            <v>CF0064</v>
          </cell>
        </row>
        <row r="433">
          <cell r="B433" t="str">
            <v>C6515010240</v>
          </cell>
          <cell r="C433" t="str">
            <v>CF0078</v>
          </cell>
        </row>
        <row r="434">
          <cell r="B434" t="str">
            <v>C6515010330</v>
          </cell>
          <cell r="C434" t="str">
            <v>CF0053</v>
          </cell>
        </row>
        <row r="435">
          <cell r="B435" t="str">
            <v>C6515010340</v>
          </cell>
          <cell r="C435" t="str">
            <v>CF0115</v>
          </cell>
        </row>
        <row r="436">
          <cell r="B436" t="str">
            <v>C6515010350</v>
          </cell>
          <cell r="C436" t="str">
            <v>CF0070</v>
          </cell>
        </row>
        <row r="437">
          <cell r="B437" t="str">
            <v>C6515010360</v>
          </cell>
          <cell r="C437" t="str">
            <v>CF0079</v>
          </cell>
        </row>
        <row r="438">
          <cell r="B438" t="str">
            <v>C6515010370</v>
          </cell>
          <cell r="C438" t="str">
            <v>CF0116</v>
          </cell>
        </row>
        <row r="439">
          <cell r="B439" t="str">
            <v>C6515010380</v>
          </cell>
          <cell r="C439" t="str">
            <v>CF0117</v>
          </cell>
        </row>
        <row r="440">
          <cell r="B440" t="str">
            <v>C6515010500</v>
          </cell>
          <cell r="C440" t="str">
            <v>CF0118</v>
          </cell>
        </row>
        <row r="441">
          <cell r="B441" t="str">
            <v>C6515015010</v>
          </cell>
          <cell r="C441" t="str">
            <v>CF0119</v>
          </cell>
        </row>
        <row r="442">
          <cell r="B442" t="str">
            <v>C6515015020</v>
          </cell>
          <cell r="C442" t="str">
            <v>CF0120</v>
          </cell>
        </row>
        <row r="443">
          <cell r="B443" t="str">
            <v>C6515015030</v>
          </cell>
          <cell r="C443" t="str">
            <v>CF0121</v>
          </cell>
        </row>
        <row r="444">
          <cell r="B444" t="str">
            <v>C6515015040</v>
          </cell>
          <cell r="C444" t="str">
            <v>CF0122</v>
          </cell>
        </row>
        <row r="445">
          <cell r="B445" t="str">
            <v>C6520005005</v>
          </cell>
          <cell r="C445" t="str">
            <v>CI0007</v>
          </cell>
        </row>
        <row r="446">
          <cell r="B446" t="str">
            <v>C6525005005</v>
          </cell>
          <cell r="C446" t="str">
            <v>CH0017</v>
          </cell>
        </row>
        <row r="447">
          <cell r="B447" t="str">
            <v>C6525010005</v>
          </cell>
          <cell r="C447" t="str">
            <v>CH0019</v>
          </cell>
        </row>
        <row r="448">
          <cell r="B448" t="str">
            <v>C6525010030</v>
          </cell>
          <cell r="C448" t="str">
            <v>CE0499</v>
          </cell>
        </row>
        <row r="449">
          <cell r="B449" t="str">
            <v>C6525020005</v>
          </cell>
          <cell r="C449" t="str">
            <v>CH0020</v>
          </cell>
        </row>
        <row r="450">
          <cell r="B450" t="str">
            <v>C6535005005</v>
          </cell>
          <cell r="C450" t="str">
            <v>CJ0034</v>
          </cell>
        </row>
        <row r="451">
          <cell r="B451" t="str">
            <v>C6535005010</v>
          </cell>
          <cell r="C451" t="str">
            <v>CJ0007</v>
          </cell>
        </row>
        <row r="452">
          <cell r="B452" t="str">
            <v>C6535005020</v>
          </cell>
          <cell r="C452" t="str">
            <v>CJ0035</v>
          </cell>
        </row>
        <row r="453">
          <cell r="B453" t="str">
            <v>C6535005100</v>
          </cell>
          <cell r="C453" t="str">
            <v>CJ0036</v>
          </cell>
        </row>
        <row r="454">
          <cell r="B454" t="str">
            <v>C6535005105</v>
          </cell>
          <cell r="C454" t="str">
            <v>CJ0037</v>
          </cell>
        </row>
        <row r="455">
          <cell r="B455" t="str">
            <v>C6535005120</v>
          </cell>
          <cell r="C455" t="str">
            <v>CJ0038</v>
          </cell>
        </row>
        <row r="456">
          <cell r="B456" t="str">
            <v>C6535010010</v>
          </cell>
          <cell r="C456" t="str">
            <v>CJ0039</v>
          </cell>
        </row>
        <row r="457">
          <cell r="B457" t="str">
            <v>C6535010020</v>
          </cell>
          <cell r="C457" t="str">
            <v>CJ0006</v>
          </cell>
        </row>
        <row r="458">
          <cell r="B458" t="str">
            <v>C6535010025</v>
          </cell>
          <cell r="C458" t="str">
            <v>CJ0040</v>
          </cell>
        </row>
        <row r="459">
          <cell r="B459" t="str">
            <v>C6535015005</v>
          </cell>
          <cell r="C459" t="str">
            <v>CJ0004</v>
          </cell>
        </row>
        <row r="460">
          <cell r="B460" t="str">
            <v>C6540005005</v>
          </cell>
          <cell r="C460" t="str">
            <v>CJ0005</v>
          </cell>
        </row>
        <row r="461">
          <cell r="B461" t="str">
            <v>C6540010005</v>
          </cell>
          <cell r="C461" t="str">
            <v>CJ0003</v>
          </cell>
        </row>
        <row r="462">
          <cell r="B462" t="str">
            <v>C6540010010</v>
          </cell>
          <cell r="C462" t="str">
            <v>CJ0008</v>
          </cell>
        </row>
        <row r="463">
          <cell r="B463" t="str">
            <v>C6540010025</v>
          </cell>
          <cell r="C463" t="str">
            <v>CJ0041</v>
          </cell>
        </row>
        <row r="464">
          <cell r="B464" t="str">
            <v>C6540010045</v>
          </cell>
          <cell r="C464" t="str">
            <v>CJ0042</v>
          </cell>
        </row>
        <row r="465">
          <cell r="B465" t="str">
            <v>C6540010060</v>
          </cell>
          <cell r="C465" t="str">
            <v>CJ0043</v>
          </cell>
        </row>
        <row r="466">
          <cell r="B466" t="str">
            <v>C6540010110</v>
          </cell>
          <cell r="C466" t="str">
            <v>CJ0044</v>
          </cell>
        </row>
        <row r="467">
          <cell r="B467" t="str">
            <v>C6540010125</v>
          </cell>
          <cell r="C467" t="str">
            <v>CJ0045</v>
          </cell>
        </row>
        <row r="468">
          <cell r="B468" t="str">
            <v>C6540010150</v>
          </cell>
          <cell r="C468" t="str">
            <v>CJ0046</v>
          </cell>
        </row>
        <row r="469">
          <cell r="B469" t="str">
            <v>C6540010180</v>
          </cell>
          <cell r="C469" t="str">
            <v>CJ0047</v>
          </cell>
        </row>
        <row r="470">
          <cell r="B470" t="str">
            <v>C6540015005</v>
          </cell>
          <cell r="C470" t="str">
            <v>CJ0009</v>
          </cell>
        </row>
        <row r="471">
          <cell r="B471" t="str">
            <v>C6540015010</v>
          </cell>
          <cell r="C471" t="str">
            <v>CJ0010</v>
          </cell>
        </row>
        <row r="472">
          <cell r="B472" t="str">
            <v>C6545015005</v>
          </cell>
          <cell r="C472" t="str">
            <v>CF0009</v>
          </cell>
        </row>
        <row r="473">
          <cell r="B473" t="str">
            <v>C6545015010</v>
          </cell>
          <cell r="C473" t="str">
            <v>CF0123</v>
          </cell>
        </row>
        <row r="474">
          <cell r="B474" t="str">
            <v>C6555015005</v>
          </cell>
          <cell r="C474" t="str">
            <v>CJ0011</v>
          </cell>
        </row>
        <row r="475">
          <cell r="B475" t="str">
            <v>C6555015030</v>
          </cell>
          <cell r="C475" t="str">
            <v>CJ0048</v>
          </cell>
        </row>
        <row r="476">
          <cell r="B476" t="str">
            <v>C7504005006</v>
          </cell>
          <cell r="C476" t="str">
            <v>CK0024</v>
          </cell>
        </row>
        <row r="477">
          <cell r="B477" t="str">
            <v>C7504005026</v>
          </cell>
          <cell r="C477" t="str">
            <v>CK0020</v>
          </cell>
        </row>
        <row r="478">
          <cell r="B478" t="str">
            <v>C7504005028</v>
          </cell>
          <cell r="C478" t="str">
            <v>CK0021</v>
          </cell>
        </row>
        <row r="479">
          <cell r="B479" t="str">
            <v>C7504005044</v>
          </cell>
          <cell r="C479" t="str">
            <v>CK0022</v>
          </cell>
        </row>
        <row r="480">
          <cell r="B480" t="str">
            <v>C7504010006</v>
          </cell>
          <cell r="C480" t="str">
            <v>CK0027</v>
          </cell>
        </row>
        <row r="481">
          <cell r="B481" t="str">
            <v>C7504010008</v>
          </cell>
          <cell r="C481" t="str">
            <v>CK0028</v>
          </cell>
        </row>
        <row r="482">
          <cell r="B482" t="str">
            <v>C7504010030</v>
          </cell>
          <cell r="C482" t="str">
            <v>CK0031</v>
          </cell>
        </row>
        <row r="483">
          <cell r="B483" t="str">
            <v>C7504015006</v>
          </cell>
          <cell r="C483" t="str">
            <v>CK0005</v>
          </cell>
        </row>
        <row r="484">
          <cell r="B484" t="str">
            <v>C7504015008</v>
          </cell>
          <cell r="C484" t="str">
            <v>CK0006</v>
          </cell>
        </row>
        <row r="485">
          <cell r="B485" t="str">
            <v>C7504020005</v>
          </cell>
          <cell r="C485" t="str">
            <v>CK0032</v>
          </cell>
        </row>
        <row r="486">
          <cell r="B486" t="str">
            <v>C7508010002</v>
          </cell>
          <cell r="C486" t="str">
            <v>CN0007</v>
          </cell>
        </row>
        <row r="487">
          <cell r="B487" t="str">
            <v>C7508010042</v>
          </cell>
          <cell r="C487" t="str">
            <v>CN0008</v>
          </cell>
        </row>
        <row r="488">
          <cell r="B488" t="str">
            <v>C7508010082</v>
          </cell>
          <cell r="C488" t="str">
            <v>CN0027</v>
          </cell>
        </row>
        <row r="489">
          <cell r="B489" t="str">
            <v>C7508015005</v>
          </cell>
          <cell r="C489" t="str">
            <v>CN0005</v>
          </cell>
        </row>
        <row r="490">
          <cell r="B490" t="str">
            <v>C7512001005</v>
          </cell>
          <cell r="C490" t="str">
            <v>CN0024</v>
          </cell>
        </row>
        <row r="491">
          <cell r="B491" t="str">
            <v>C7512001020</v>
          </cell>
          <cell r="C491" t="str">
            <v>CV0443</v>
          </cell>
        </row>
        <row r="492">
          <cell r="B492" t="str">
            <v>C7512001025</v>
          </cell>
          <cell r="C492" t="str">
            <v>CN0015</v>
          </cell>
        </row>
        <row r="493">
          <cell r="B493" t="str">
            <v>C7512001030</v>
          </cell>
          <cell r="C493" t="str">
            <v>CN0021</v>
          </cell>
        </row>
        <row r="494">
          <cell r="B494" t="str">
            <v>C7512010010</v>
          </cell>
          <cell r="C494" t="str">
            <v>CN0023</v>
          </cell>
        </row>
        <row r="495">
          <cell r="B495" t="str">
            <v>C7512020020</v>
          </cell>
          <cell r="C495" t="str">
            <v>CF0085</v>
          </cell>
        </row>
        <row r="496">
          <cell r="B496" t="str">
            <v>C7512020030</v>
          </cell>
          <cell r="C496" t="str">
            <v>CF0086</v>
          </cell>
        </row>
        <row r="497">
          <cell r="B497" t="str">
            <v>C7512020060</v>
          </cell>
          <cell r="C497" t="str">
            <v>CF0124</v>
          </cell>
        </row>
        <row r="498">
          <cell r="B498" t="str">
            <v>C7512040020</v>
          </cell>
          <cell r="C498" t="str">
            <v>CN0043</v>
          </cell>
        </row>
        <row r="499">
          <cell r="B499" t="str">
            <v>C7512045005</v>
          </cell>
          <cell r="C499" t="str">
            <v>CN0044</v>
          </cell>
        </row>
        <row r="500">
          <cell r="B500" t="str">
            <v>C7512055005</v>
          </cell>
          <cell r="C500" t="str">
            <v>CN0016</v>
          </cell>
        </row>
        <row r="501">
          <cell r="B501" t="str">
            <v>C7516002005</v>
          </cell>
          <cell r="C501" t="str">
            <v>CR0001</v>
          </cell>
        </row>
        <row r="502">
          <cell r="B502" t="str">
            <v>C7516002010</v>
          </cell>
          <cell r="C502" t="str">
            <v>CR0002</v>
          </cell>
        </row>
        <row r="503">
          <cell r="B503" t="str">
            <v>C7516002050</v>
          </cell>
          <cell r="C503" t="str">
            <v>CR0091</v>
          </cell>
        </row>
        <row r="504">
          <cell r="B504" t="str">
            <v>C7516002060</v>
          </cell>
          <cell r="C504" t="str">
            <v>CR0092</v>
          </cell>
        </row>
        <row r="505">
          <cell r="B505" t="str">
            <v>C7516005005</v>
          </cell>
          <cell r="C505" t="str">
            <v>CR0072</v>
          </cell>
        </row>
        <row r="506">
          <cell r="B506" t="str">
            <v>C7516005010</v>
          </cell>
          <cell r="C506" t="str">
            <v>CR0093</v>
          </cell>
        </row>
        <row r="507">
          <cell r="B507" t="str">
            <v>C7516005047</v>
          </cell>
          <cell r="C507" t="str">
            <v>CR0003</v>
          </cell>
        </row>
        <row r="508">
          <cell r="B508" t="str">
            <v>C7516005080</v>
          </cell>
          <cell r="C508" t="str">
            <v>CR0029</v>
          </cell>
        </row>
        <row r="509">
          <cell r="B509" t="str">
            <v>C7516005100</v>
          </cell>
          <cell r="C509" t="str">
            <v>CR0030</v>
          </cell>
        </row>
        <row r="510">
          <cell r="B510" t="str">
            <v>C7516005125</v>
          </cell>
          <cell r="C510" t="str">
            <v>CR0025</v>
          </cell>
        </row>
        <row r="511">
          <cell r="B511" t="str">
            <v>C7516005205</v>
          </cell>
          <cell r="C511" t="str">
            <v>CR0094</v>
          </cell>
        </row>
        <row r="512">
          <cell r="B512" t="str">
            <v>C7516010005</v>
          </cell>
          <cell r="C512" t="str">
            <v>CR0053</v>
          </cell>
        </row>
        <row r="513">
          <cell r="B513" t="str">
            <v>C7516205010</v>
          </cell>
          <cell r="C513" t="str">
            <v>CS0001</v>
          </cell>
        </row>
        <row r="514">
          <cell r="B514" t="str">
            <v>C7516205015</v>
          </cell>
          <cell r="C514" t="str">
            <v>CS0003</v>
          </cell>
        </row>
        <row r="515">
          <cell r="B515" t="str">
            <v>C7516205025</v>
          </cell>
          <cell r="C515" t="str">
            <v>CS0012</v>
          </cell>
        </row>
        <row r="516">
          <cell r="B516" t="str">
            <v>C7516205035</v>
          </cell>
          <cell r="C516" t="str">
            <v>CS0004</v>
          </cell>
        </row>
        <row r="517">
          <cell r="B517" t="str">
            <v>C7516205050</v>
          </cell>
          <cell r="C517" t="str">
            <v>CS0013</v>
          </cell>
        </row>
        <row r="518">
          <cell r="B518" t="str">
            <v>C7518010020</v>
          </cell>
          <cell r="C518" t="str">
            <v>CR0004</v>
          </cell>
        </row>
        <row r="519">
          <cell r="B519" t="str">
            <v>C7518010050</v>
          </cell>
          <cell r="C519" t="str">
            <v>CO0015</v>
          </cell>
        </row>
        <row r="520">
          <cell r="B520" t="str">
            <v>C7518010060</v>
          </cell>
          <cell r="C520" t="str">
            <v>CO0018</v>
          </cell>
        </row>
        <row r="521">
          <cell r="B521" t="str">
            <v>C7518020025</v>
          </cell>
          <cell r="C521" t="str">
            <v>CO0041</v>
          </cell>
        </row>
        <row r="522">
          <cell r="B522" t="str">
            <v>C7518030010</v>
          </cell>
          <cell r="C522" t="str">
            <v>CO0030</v>
          </cell>
        </row>
        <row r="523">
          <cell r="B523" t="str">
            <v>C7520010015</v>
          </cell>
          <cell r="C523" t="str">
            <v>CP0002</v>
          </cell>
        </row>
        <row r="524">
          <cell r="B524" t="str">
            <v>C7520015005</v>
          </cell>
          <cell r="C524" t="str">
            <v>CV0457</v>
          </cell>
        </row>
        <row r="525">
          <cell r="B525" t="str">
            <v>C7524005005</v>
          </cell>
          <cell r="C525" t="str">
            <v>CI0006</v>
          </cell>
        </row>
        <row r="526">
          <cell r="B526" t="str">
            <v>C7524020005</v>
          </cell>
          <cell r="C526" t="str">
            <v>CI0008</v>
          </cell>
        </row>
        <row r="527">
          <cell r="B527" t="str">
            <v>C7528010005</v>
          </cell>
          <cell r="C527" t="str">
            <v>CL0025</v>
          </cell>
        </row>
        <row r="528">
          <cell r="B528" t="str">
            <v>C7528010015</v>
          </cell>
          <cell r="C528" t="str">
            <v>CL0006</v>
          </cell>
        </row>
        <row r="529">
          <cell r="B529" t="str">
            <v>C7528015015</v>
          </cell>
          <cell r="C529" t="str">
            <v>CL0008</v>
          </cell>
        </row>
        <row r="530">
          <cell r="B530" t="str">
            <v>C7528020010</v>
          </cell>
          <cell r="C530" t="str">
            <v>CL0005</v>
          </cell>
        </row>
        <row r="531">
          <cell r="B531" t="str">
            <v>C7528020020</v>
          </cell>
          <cell r="C531" t="str">
            <v>CL0023</v>
          </cell>
        </row>
        <row r="532">
          <cell r="B532" t="str">
            <v>C7528020030</v>
          </cell>
          <cell r="C532" t="str">
            <v>CL0011</v>
          </cell>
        </row>
        <row r="533">
          <cell r="B533" t="str">
            <v>C7528020080</v>
          </cell>
          <cell r="C533" t="str">
            <v>CL0024</v>
          </cell>
        </row>
        <row r="534">
          <cell r="B534" t="str">
            <v>C7532001020</v>
          </cell>
          <cell r="C534" t="str">
            <v>CO0008</v>
          </cell>
        </row>
        <row r="535">
          <cell r="B535" t="str">
            <v>C7532001050</v>
          </cell>
          <cell r="C535" t="str">
            <v>CO0010</v>
          </cell>
        </row>
        <row r="536">
          <cell r="B536" t="str">
            <v>C7536010005</v>
          </cell>
          <cell r="C536" t="str">
            <v>CO0001</v>
          </cell>
        </row>
        <row r="537">
          <cell r="B537" t="str">
            <v>C7536010015</v>
          </cell>
          <cell r="C537" t="str">
            <v>CO0003</v>
          </cell>
        </row>
        <row r="538">
          <cell r="B538" t="str">
            <v>C7536010080</v>
          </cell>
          <cell r="C538" t="str">
            <v>CT0012</v>
          </cell>
        </row>
        <row r="539">
          <cell r="B539" t="str">
            <v>C7536010110</v>
          </cell>
          <cell r="C539" t="str">
            <v>CT0013</v>
          </cell>
        </row>
        <row r="540">
          <cell r="B540" t="str">
            <v>C7536010160</v>
          </cell>
          <cell r="C540" t="str">
            <v>CT0031</v>
          </cell>
        </row>
        <row r="541">
          <cell r="B541" t="str">
            <v>C7536010180</v>
          </cell>
          <cell r="C541" t="str">
            <v>CT0030</v>
          </cell>
        </row>
        <row r="542">
          <cell r="B542" t="str">
            <v>C7536010205</v>
          </cell>
          <cell r="C542" t="str">
            <v>CT0033</v>
          </cell>
        </row>
        <row r="543">
          <cell r="B543" t="str">
            <v>C7536010210</v>
          </cell>
          <cell r="C543" t="str">
            <v>CT0037</v>
          </cell>
        </row>
        <row r="544">
          <cell r="B544" t="str">
            <v>C7536010275</v>
          </cell>
          <cell r="C544" t="str">
            <v>CT0050</v>
          </cell>
        </row>
        <row r="545">
          <cell r="B545" t="str">
            <v>C7536010305</v>
          </cell>
          <cell r="C545" t="str">
            <v>CT0008</v>
          </cell>
        </row>
        <row r="546">
          <cell r="B546" t="str">
            <v>C7536010310</v>
          </cell>
          <cell r="C546" t="str">
            <v>CT0006</v>
          </cell>
        </row>
        <row r="547">
          <cell r="B547" t="str">
            <v>C7536010405</v>
          </cell>
          <cell r="C547" t="str">
            <v>CT0014</v>
          </cell>
        </row>
        <row r="548">
          <cell r="B548" t="str">
            <v>C7536010455</v>
          </cell>
          <cell r="C548" t="str">
            <v>CT0039</v>
          </cell>
        </row>
        <row r="549">
          <cell r="B549" t="str">
            <v>C7536010480</v>
          </cell>
          <cell r="C549" t="str">
            <v>CR0095</v>
          </cell>
        </row>
        <row r="550">
          <cell r="B550" t="str">
            <v>C7536010487</v>
          </cell>
          <cell r="C550" t="str">
            <v>CT0051</v>
          </cell>
        </row>
        <row r="551">
          <cell r="B551" t="str">
            <v>C7536010505</v>
          </cell>
          <cell r="C551" t="str">
            <v>CT0045</v>
          </cell>
        </row>
        <row r="552">
          <cell r="B552" t="str">
            <v>C7536010515</v>
          </cell>
          <cell r="C552" t="str">
            <v>CT0044</v>
          </cell>
        </row>
        <row r="553">
          <cell r="B553" t="str">
            <v>C7536020005</v>
          </cell>
          <cell r="C553" t="str">
            <v>CU0048</v>
          </cell>
        </row>
        <row r="554">
          <cell r="B554" t="str">
            <v>C7536020020</v>
          </cell>
          <cell r="C554" t="str">
            <v>CT0028</v>
          </cell>
        </row>
        <row r="555">
          <cell r="B555" t="str">
            <v>C7536020115</v>
          </cell>
          <cell r="C555" t="str">
            <v>CU0323</v>
          </cell>
        </row>
        <row r="556">
          <cell r="B556" t="str">
            <v>C7536020315</v>
          </cell>
          <cell r="C556" t="str">
            <v>CU0324</v>
          </cell>
        </row>
        <row r="557">
          <cell r="B557" t="str">
            <v>C7536020330</v>
          </cell>
          <cell r="C557" t="str">
            <v>CU0325</v>
          </cell>
        </row>
        <row r="558">
          <cell r="B558" t="str">
            <v>C7536030015</v>
          </cell>
          <cell r="C558" t="str">
            <v>CV0446</v>
          </cell>
        </row>
        <row r="559">
          <cell r="B559" t="str">
            <v>C7536030030</v>
          </cell>
          <cell r="C559" t="str">
            <v>CV0445</v>
          </cell>
        </row>
        <row r="560">
          <cell r="B560" t="str">
            <v>C7536030045</v>
          </cell>
          <cell r="C560" t="str">
            <v>CU0326</v>
          </cell>
        </row>
        <row r="561">
          <cell r="B561" t="str">
            <v>C7536035015</v>
          </cell>
          <cell r="C561" t="str">
            <v>CY0435</v>
          </cell>
        </row>
        <row r="562">
          <cell r="B562" t="str">
            <v>C7536035030</v>
          </cell>
          <cell r="C562" t="str">
            <v>CY0436</v>
          </cell>
        </row>
        <row r="563">
          <cell r="B563" t="str">
            <v>C7536035040</v>
          </cell>
          <cell r="C563" t="str">
            <v>CU0327</v>
          </cell>
        </row>
        <row r="564">
          <cell r="B564" t="str">
            <v>C7536040010</v>
          </cell>
          <cell r="C564" t="str">
            <v>CU0328</v>
          </cell>
        </row>
        <row r="565">
          <cell r="B565" t="str">
            <v>C7536045010</v>
          </cell>
          <cell r="C565" t="str">
            <v>CY0437</v>
          </cell>
        </row>
        <row r="566">
          <cell r="B566" t="str">
            <v>C7536045025</v>
          </cell>
          <cell r="C566" t="str">
            <v>CY0438</v>
          </cell>
        </row>
        <row r="567">
          <cell r="B567" t="str">
            <v>C7536050010</v>
          </cell>
          <cell r="C567" t="str">
            <v>CU0329</v>
          </cell>
        </row>
        <row r="568">
          <cell r="B568" t="str">
            <v>C7536050020</v>
          </cell>
          <cell r="C568" t="str">
            <v>CU0330</v>
          </cell>
        </row>
        <row r="569">
          <cell r="B569" t="str">
            <v>C7536055010</v>
          </cell>
          <cell r="C569" t="str">
            <v>CU0331</v>
          </cell>
        </row>
        <row r="570">
          <cell r="B570" t="str">
            <v>C7536055020</v>
          </cell>
          <cell r="C570" t="str">
            <v>CU0332</v>
          </cell>
        </row>
        <row r="571">
          <cell r="B571" t="str">
            <v>C7536060010</v>
          </cell>
          <cell r="C571" t="str">
            <v>CU0333</v>
          </cell>
        </row>
        <row r="572">
          <cell r="B572" t="str">
            <v>C7536060020</v>
          </cell>
          <cell r="C572" t="str">
            <v>CU0334</v>
          </cell>
        </row>
        <row r="573">
          <cell r="B573" t="str">
            <v>C7536060030</v>
          </cell>
          <cell r="C573" t="str">
            <v>CV0464</v>
          </cell>
        </row>
        <row r="574">
          <cell r="B574" t="str">
            <v>C7536060040</v>
          </cell>
          <cell r="C574" t="str">
            <v>CV0447</v>
          </cell>
        </row>
        <row r="575">
          <cell r="B575" t="str">
            <v>C7536070010</v>
          </cell>
          <cell r="C575" t="str">
            <v>CU0335</v>
          </cell>
        </row>
        <row r="576">
          <cell r="B576" t="str">
            <v>C7536070015</v>
          </cell>
          <cell r="C576" t="str">
            <v>CU0336</v>
          </cell>
        </row>
        <row r="577">
          <cell r="B577" t="str">
            <v>C7536100025</v>
          </cell>
          <cell r="C577" t="str">
            <v>CV0448</v>
          </cell>
        </row>
        <row r="578">
          <cell r="B578" t="str">
            <v>C7536100030</v>
          </cell>
          <cell r="C578" t="str">
            <v>CU0018</v>
          </cell>
        </row>
        <row r="579">
          <cell r="B579" t="str">
            <v>C7536200005</v>
          </cell>
          <cell r="C579" t="str">
            <v>CV0465</v>
          </cell>
        </row>
        <row r="580">
          <cell r="B580" t="str">
            <v>C7536250015</v>
          </cell>
          <cell r="C580" t="str">
            <v>CU0299</v>
          </cell>
        </row>
        <row r="581">
          <cell r="B581" t="str">
            <v>C7536300005</v>
          </cell>
          <cell r="C581" t="str">
            <v>CB0058</v>
          </cell>
        </row>
        <row r="582">
          <cell r="B582" t="str">
            <v>C7536300015</v>
          </cell>
          <cell r="C582" t="str">
            <v>CB0059</v>
          </cell>
        </row>
        <row r="583">
          <cell r="B583" t="str">
            <v>C7536310005</v>
          </cell>
          <cell r="C583" t="str">
            <v>CY0439</v>
          </cell>
        </row>
        <row r="584">
          <cell r="B584" t="str">
            <v>C7536310010</v>
          </cell>
          <cell r="C584" t="str">
            <v>CY0440</v>
          </cell>
        </row>
        <row r="585">
          <cell r="B585" t="str">
            <v>C7536330005</v>
          </cell>
          <cell r="C585" t="str">
            <v>CY0441</v>
          </cell>
        </row>
        <row r="586">
          <cell r="B586" t="str">
            <v>C7536800005</v>
          </cell>
          <cell r="C586" t="str">
            <v>CV0461</v>
          </cell>
        </row>
        <row r="587">
          <cell r="B587" t="str">
            <v>C7550010010</v>
          </cell>
          <cell r="C587" t="str">
            <v>CY0430</v>
          </cell>
        </row>
        <row r="588">
          <cell r="B588" t="str">
            <v>C7550010020</v>
          </cell>
          <cell r="C588" t="str">
            <v>CY0431</v>
          </cell>
        </row>
        <row r="589">
          <cell r="B589" t="str">
            <v>C7550010025</v>
          </cell>
          <cell r="C589" t="str">
            <v>CU0094</v>
          </cell>
        </row>
        <row r="590">
          <cell r="B590" t="str">
            <v>C7550010110</v>
          </cell>
          <cell r="C590" t="str">
            <v>CU0291</v>
          </cell>
        </row>
        <row r="591">
          <cell r="B591" t="str">
            <v>C7550010140</v>
          </cell>
          <cell r="C591" t="str">
            <v>CU0091</v>
          </cell>
        </row>
        <row r="592">
          <cell r="B592" t="str">
            <v>C7550010210</v>
          </cell>
          <cell r="C592" t="str">
            <v>CU0337</v>
          </cell>
        </row>
        <row r="593">
          <cell r="B593" t="str">
            <v>C7550010235</v>
          </cell>
          <cell r="C593" t="str">
            <v>CU0338</v>
          </cell>
        </row>
        <row r="594">
          <cell r="B594" t="str">
            <v>C7550020010</v>
          </cell>
          <cell r="C594" t="str">
            <v>CU0138</v>
          </cell>
        </row>
        <row r="595">
          <cell r="B595" t="str">
            <v>C7550020020</v>
          </cell>
          <cell r="C595" t="str">
            <v>CU0137</v>
          </cell>
        </row>
        <row r="596">
          <cell r="B596" t="str">
            <v>C7550020050</v>
          </cell>
          <cell r="C596" t="str">
            <v>CU0153</v>
          </cell>
        </row>
        <row r="597">
          <cell r="B597" t="str">
            <v>C7550030020</v>
          </cell>
          <cell r="C597" t="str">
            <v>CU0339</v>
          </cell>
        </row>
        <row r="598">
          <cell r="B598" t="str">
            <v>C7550030045</v>
          </cell>
          <cell r="C598" t="str">
            <v>CU0340</v>
          </cell>
        </row>
        <row r="599">
          <cell r="B599" t="str">
            <v>C7550040010</v>
          </cell>
          <cell r="C599" t="str">
            <v>CY0359</v>
          </cell>
        </row>
        <row r="600">
          <cell r="B600" t="str">
            <v>C7550040020</v>
          </cell>
          <cell r="C600" t="str">
            <v>CV0526</v>
          </cell>
        </row>
        <row r="601">
          <cell r="B601" t="str">
            <v>C7550060030</v>
          </cell>
          <cell r="C601" t="str">
            <v>CU0296</v>
          </cell>
        </row>
        <row r="602">
          <cell r="B602" t="str">
            <v>C7550060070</v>
          </cell>
          <cell r="C602" t="str">
            <v>CV0450</v>
          </cell>
        </row>
        <row r="603">
          <cell r="B603" t="str">
            <v>C7550060140</v>
          </cell>
          <cell r="C603" t="str">
            <v>CV0451</v>
          </cell>
        </row>
        <row r="604">
          <cell r="B604" t="str">
            <v>C7550080005</v>
          </cell>
          <cell r="C604" t="str">
            <v>CU0322</v>
          </cell>
        </row>
        <row r="605">
          <cell r="B605" t="str">
            <v>C7550080010</v>
          </cell>
          <cell r="C605" t="str">
            <v>CU0321</v>
          </cell>
        </row>
        <row r="606">
          <cell r="B606" t="str">
            <v>C7550080225</v>
          </cell>
          <cell r="C606" t="str">
            <v>CU0341</v>
          </cell>
        </row>
        <row r="607">
          <cell r="B607" t="str">
            <v>C7550200015</v>
          </cell>
          <cell r="C607" t="str">
            <v>CU0342</v>
          </cell>
        </row>
        <row r="608">
          <cell r="B608" t="str">
            <v>C7550200025</v>
          </cell>
          <cell r="C608" t="str">
            <v>CU0343</v>
          </cell>
        </row>
        <row r="609">
          <cell r="B609" t="str">
            <v>C7550200030</v>
          </cell>
          <cell r="C609" t="str">
            <v>CU0275</v>
          </cell>
        </row>
        <row r="610">
          <cell r="B610" t="str">
            <v>C7550200035</v>
          </cell>
          <cell r="C610" t="str">
            <v>CU0344</v>
          </cell>
        </row>
        <row r="611">
          <cell r="B611" t="str">
            <v>C7550200110</v>
          </cell>
          <cell r="C611" t="str">
            <v>CU0276</v>
          </cell>
        </row>
        <row r="612">
          <cell r="B612" t="str">
            <v>C7550200130</v>
          </cell>
          <cell r="C612" t="str">
            <v>CU0279</v>
          </cell>
        </row>
        <row r="613">
          <cell r="B613" t="str">
            <v>C7550200210</v>
          </cell>
          <cell r="C613" t="str">
            <v>CU0345</v>
          </cell>
        </row>
        <row r="614">
          <cell r="B614" t="str">
            <v>C7550200220</v>
          </cell>
          <cell r="C614" t="str">
            <v>CU0346</v>
          </cell>
        </row>
        <row r="615">
          <cell r="B615" t="str">
            <v>C7550200230</v>
          </cell>
          <cell r="C615" t="str">
            <v>CV0452</v>
          </cell>
        </row>
        <row r="616">
          <cell r="B616" t="str">
            <v>C7550200250</v>
          </cell>
          <cell r="C616" t="str">
            <v>CU0297</v>
          </cell>
        </row>
        <row r="617">
          <cell r="B617" t="str">
            <v>C7550200265</v>
          </cell>
          <cell r="C617" t="str">
            <v>CU0347</v>
          </cell>
        </row>
        <row r="618">
          <cell r="B618" t="str">
            <v>C7580000010</v>
          </cell>
          <cell r="C618" t="str">
            <v>CM0004</v>
          </cell>
        </row>
        <row r="619">
          <cell r="B619" t="str">
            <v>C7580000035</v>
          </cell>
          <cell r="C619" t="str">
            <v>CM0005</v>
          </cell>
        </row>
        <row r="620">
          <cell r="B620" t="str">
            <v>C7580000045</v>
          </cell>
          <cell r="C620" t="str">
            <v>CM0007</v>
          </cell>
        </row>
        <row r="621">
          <cell r="B621" t="str">
            <v>C7580000050</v>
          </cell>
          <cell r="C621" t="str">
            <v>CM0003</v>
          </cell>
        </row>
        <row r="622">
          <cell r="B622" t="str">
            <v>C7580000065</v>
          </cell>
          <cell r="C622" t="str">
            <v>CM0008</v>
          </cell>
        </row>
        <row r="623">
          <cell r="B623" t="str">
            <v>C7580000070</v>
          </cell>
          <cell r="C623" t="str">
            <v>CM0009</v>
          </cell>
        </row>
        <row r="624">
          <cell r="B624" t="str">
            <v>C7590010005</v>
          </cell>
          <cell r="C624" t="str">
            <v>CQ0039</v>
          </cell>
        </row>
        <row r="625">
          <cell r="B625" t="str">
            <v>C7590010050</v>
          </cell>
          <cell r="C625" t="str">
            <v>CQ0042</v>
          </cell>
        </row>
        <row r="626">
          <cell r="B626" t="str">
            <v>C7590010060</v>
          </cell>
          <cell r="C626" t="str">
            <v>CQ0006</v>
          </cell>
        </row>
        <row r="627">
          <cell r="B627" t="str">
            <v>C7590010105</v>
          </cell>
          <cell r="C627" t="str">
            <v>CV0454</v>
          </cell>
        </row>
        <row r="628">
          <cell r="B628" t="str">
            <v>C7590010210</v>
          </cell>
          <cell r="C628" t="str">
            <v>CQ0013</v>
          </cell>
        </row>
        <row r="629">
          <cell r="B629" t="str">
            <v>C7590030005</v>
          </cell>
          <cell r="C629" t="str">
            <v>CQ0008</v>
          </cell>
        </row>
        <row r="630">
          <cell r="B630" t="str">
            <v>C7590030050</v>
          </cell>
          <cell r="C630" t="str">
            <v>CQ0012</v>
          </cell>
        </row>
        <row r="631">
          <cell r="B631" t="str">
            <v>C7590040110</v>
          </cell>
          <cell r="C631" t="str">
            <v>CQ0022</v>
          </cell>
        </row>
        <row r="632">
          <cell r="B632" t="str">
            <v>C7590050115</v>
          </cell>
          <cell r="C632" t="str">
            <v>CQ0036</v>
          </cell>
        </row>
        <row r="633">
          <cell r="B633" t="str">
            <v>C9510020005</v>
          </cell>
          <cell r="C633" t="str">
            <v>CU0298</v>
          </cell>
        </row>
        <row r="634">
          <cell r="B634" t="str">
            <v>C9510020010</v>
          </cell>
          <cell r="C634" t="str">
            <v>CU0305</v>
          </cell>
        </row>
        <row r="635">
          <cell r="B635" t="str">
            <v>C9510020055</v>
          </cell>
          <cell r="C635" t="str">
            <v>CU0348</v>
          </cell>
        </row>
        <row r="636">
          <cell r="B636" t="str">
            <v>C9510040015</v>
          </cell>
          <cell r="C636" t="str">
            <v>CU0269</v>
          </cell>
        </row>
        <row r="637">
          <cell r="B637" t="str">
            <v>C9510040020</v>
          </cell>
          <cell r="C637" t="str">
            <v>CU0268</v>
          </cell>
        </row>
        <row r="638">
          <cell r="B638" t="str">
            <v>C9510040105</v>
          </cell>
          <cell r="C638" t="str">
            <v>CU0349</v>
          </cell>
        </row>
        <row r="639">
          <cell r="B639" t="str">
            <v>C9510040305</v>
          </cell>
          <cell r="C639" t="str">
            <v>CU0350</v>
          </cell>
        </row>
        <row r="640">
          <cell r="B640" t="str">
            <v>C9520010010</v>
          </cell>
          <cell r="C640" t="str">
            <v>CR0041</v>
          </cell>
        </row>
        <row r="641">
          <cell r="B641" t="str">
            <v>C9520070005</v>
          </cell>
          <cell r="C641" t="str">
            <v>CU0300</v>
          </cell>
        </row>
        <row r="642">
          <cell r="B642" t="str">
            <v>C9520070010</v>
          </cell>
          <cell r="C642" t="str">
            <v>CU0301</v>
          </cell>
        </row>
        <row r="643">
          <cell r="B643" t="str">
            <v>C9525010005</v>
          </cell>
          <cell r="C643" t="str">
            <v>CX0040</v>
          </cell>
        </row>
        <row r="644">
          <cell r="B644" t="str">
            <v>C9525010055</v>
          </cell>
          <cell r="C644" t="str">
            <v>CX0049</v>
          </cell>
        </row>
        <row r="645">
          <cell r="B645" t="str">
            <v>C9525010105</v>
          </cell>
          <cell r="C645" t="str">
            <v>CX0045</v>
          </cell>
        </row>
        <row r="646">
          <cell r="B646" t="str">
            <v>C9525020005</v>
          </cell>
          <cell r="C646" t="str">
            <v>CY0900</v>
          </cell>
        </row>
        <row r="647">
          <cell r="B647" t="str">
            <v>C9535010005</v>
          </cell>
          <cell r="C647" t="str">
            <v>CB0060</v>
          </cell>
        </row>
        <row r="648">
          <cell r="B648" t="str">
            <v>C9535010050</v>
          </cell>
          <cell r="C648" t="str">
            <v>CB0061</v>
          </cell>
        </row>
        <row r="649">
          <cell r="B649" t="str">
            <v>C9535010060</v>
          </cell>
          <cell r="C649" t="str">
            <v>CB0062</v>
          </cell>
        </row>
        <row r="650">
          <cell r="B650" t="str">
            <v>C9535010200</v>
          </cell>
          <cell r="C650" t="str">
            <v>CU0351</v>
          </cell>
        </row>
        <row r="651">
          <cell r="B651" t="str">
            <v>C9540010005</v>
          </cell>
          <cell r="C651" t="str">
            <v>CU0302</v>
          </cell>
        </row>
        <row r="652">
          <cell r="B652" t="str">
            <v>C6090000016</v>
          </cell>
          <cell r="C652" t="str">
            <v>CE0593</v>
          </cell>
        </row>
        <row r="653">
          <cell r="B653" t="str">
            <v>C6090000021</v>
          </cell>
          <cell r="C653" t="str">
            <v>CE0592</v>
          </cell>
        </row>
        <row r="654">
          <cell r="B654" t="str">
            <v>C6090000017</v>
          </cell>
          <cell r="C654" t="str">
            <v>CE0595</v>
          </cell>
        </row>
        <row r="655">
          <cell r="B655" t="str">
            <v>C6090000022</v>
          </cell>
          <cell r="C655" t="str">
            <v>CE0594</v>
          </cell>
        </row>
        <row r="656">
          <cell r="B656" t="str">
            <v>C6090000011</v>
          </cell>
          <cell r="C656" t="str">
            <v>CE0596</v>
          </cell>
        </row>
        <row r="657">
          <cell r="B657" t="str">
            <v xml:space="preserve"> </v>
          </cell>
          <cell r="C657" t="str">
            <v>CD0103</v>
          </cell>
        </row>
        <row r="658">
          <cell r="B658" t="str">
            <v xml:space="preserve"> </v>
          </cell>
          <cell r="C658" t="str">
            <v>CZ0017</v>
          </cell>
        </row>
        <row r="659">
          <cell r="B659" t="str">
            <v xml:space="preserve"> </v>
          </cell>
          <cell r="C659" t="str">
            <v>CZ0002</v>
          </cell>
        </row>
        <row r="660">
          <cell r="B660" t="str">
            <v xml:space="preserve"> </v>
          </cell>
          <cell r="C660" t="str">
            <v>CZ0019</v>
          </cell>
        </row>
        <row r="661">
          <cell r="B661" t="str">
            <v xml:space="preserve"> </v>
          </cell>
          <cell r="C661" t="str">
            <v>CZ0020</v>
          </cell>
        </row>
        <row r="662">
          <cell r="B662" t="str">
            <v xml:space="preserve"> </v>
          </cell>
          <cell r="C662" t="str">
            <v>CZ0021</v>
          </cell>
        </row>
        <row r="663">
          <cell r="B663" t="str">
            <v xml:space="preserve"> </v>
          </cell>
          <cell r="C663" t="str">
            <v>CZ0003</v>
          </cell>
        </row>
        <row r="664">
          <cell r="B664" t="str">
            <v xml:space="preserve"> </v>
          </cell>
          <cell r="C664" t="str">
            <v>CZ0004</v>
          </cell>
        </row>
        <row r="665">
          <cell r="B665" t="str">
            <v xml:space="preserve"> </v>
          </cell>
          <cell r="C665" t="str">
            <v>CZ0022</v>
          </cell>
        </row>
        <row r="666">
          <cell r="B666" t="str">
            <v xml:space="preserve"> </v>
          </cell>
          <cell r="C666" t="str">
            <v>CZ0023</v>
          </cell>
        </row>
        <row r="667">
          <cell r="B667" t="str">
            <v xml:space="preserve"> </v>
          </cell>
          <cell r="C667" t="str">
            <v>CZ0024</v>
          </cell>
        </row>
        <row r="668">
          <cell r="B668" t="str">
            <v xml:space="preserve"> </v>
          </cell>
          <cell r="C668" t="str">
            <v>CZ0025</v>
          </cell>
        </row>
        <row r="669">
          <cell r="B669" t="str">
            <v xml:space="preserve"> </v>
          </cell>
          <cell r="C669" t="str">
            <v>CZ0026</v>
          </cell>
        </row>
        <row r="670">
          <cell r="B670" t="str">
            <v xml:space="preserve"> </v>
          </cell>
          <cell r="C670" t="str">
            <v>CZ0027</v>
          </cell>
        </row>
        <row r="671">
          <cell r="B671" t="str">
            <v xml:space="preserve"> </v>
          </cell>
          <cell r="C671" t="str">
            <v>CZ0005</v>
          </cell>
        </row>
        <row r="672">
          <cell r="B672" t="str">
            <v xml:space="preserve"> </v>
          </cell>
          <cell r="C672" t="str">
            <v>CZ0009</v>
          </cell>
        </row>
        <row r="673">
          <cell r="B673" t="str">
            <v xml:space="preserve"> </v>
          </cell>
          <cell r="C673" t="str">
            <v>CZ0010</v>
          </cell>
        </row>
        <row r="674">
          <cell r="B674" t="str">
            <v xml:space="preserve"> </v>
          </cell>
          <cell r="C674" t="str">
            <v>CZ0011</v>
          </cell>
        </row>
        <row r="675">
          <cell r="B675" t="str">
            <v xml:space="preserve"> </v>
          </cell>
          <cell r="C675" t="str">
            <v>CZ0012</v>
          </cell>
        </row>
        <row r="676">
          <cell r="B676" t="str">
            <v xml:space="preserve"> </v>
          </cell>
          <cell r="C676" t="str">
            <v>CZ0001</v>
          </cell>
        </row>
        <row r="677">
          <cell r="B677" t="str">
            <v xml:space="preserve"> </v>
          </cell>
          <cell r="C677" t="str">
            <v>CZ0008</v>
          </cell>
        </row>
        <row r="679">
          <cell r="B679" t="str">
            <v>Cod. Cliente</v>
          </cell>
          <cell r="C679" t="str">
            <v>Composicao</v>
          </cell>
        </row>
        <row r="680">
          <cell r="B680" t="str">
            <v>M2003010000</v>
          </cell>
          <cell r="C680" t="str">
            <v>CY0091</v>
          </cell>
        </row>
        <row r="681">
          <cell r="B681" t="str">
            <v>M2003020000</v>
          </cell>
          <cell r="C681" t="str">
            <v>CY0092</v>
          </cell>
        </row>
        <row r="682">
          <cell r="B682" t="str">
            <v>M2006010000</v>
          </cell>
          <cell r="C682" t="str">
            <v>CY0093</v>
          </cell>
        </row>
        <row r="683">
          <cell r="B683" t="str">
            <v>M2006020000</v>
          </cell>
          <cell r="C683" t="str">
            <v>CY0094</v>
          </cell>
        </row>
        <row r="684">
          <cell r="B684" t="str">
            <v>M2006030000</v>
          </cell>
          <cell r="C684" t="str">
            <v>CY0095</v>
          </cell>
        </row>
        <row r="685">
          <cell r="B685" t="str">
            <v>M2009020000</v>
          </cell>
          <cell r="C685" t="str">
            <v>CY0660</v>
          </cell>
        </row>
        <row r="686">
          <cell r="B686" t="str">
            <v>M2012010000</v>
          </cell>
          <cell r="C686" t="str">
            <v>CY0096</v>
          </cell>
        </row>
        <row r="687">
          <cell r="B687" t="str">
            <v>M2012020000</v>
          </cell>
          <cell r="C687" t="str">
            <v>CY0097</v>
          </cell>
        </row>
        <row r="688">
          <cell r="B688" t="str">
            <v>M2018020000</v>
          </cell>
          <cell r="C688" t="str">
            <v>CY0458</v>
          </cell>
        </row>
        <row r="689">
          <cell r="B689" t="str">
            <v>M2030030000</v>
          </cell>
          <cell r="C689" t="str">
            <v>CY0459</v>
          </cell>
        </row>
        <row r="690">
          <cell r="B690" t="str">
            <v>M2039010000</v>
          </cell>
          <cell r="C690" t="str">
            <v>CY0098</v>
          </cell>
        </row>
        <row r="691">
          <cell r="B691" t="str">
            <v>M2039020000</v>
          </cell>
          <cell r="C691" t="str">
            <v>CY0099</v>
          </cell>
        </row>
        <row r="692">
          <cell r="B692" t="str">
            <v>M2042010000</v>
          </cell>
          <cell r="C692" t="str">
            <v>CY0460</v>
          </cell>
        </row>
        <row r="693">
          <cell r="B693" t="str">
            <v>M2045005000</v>
          </cell>
          <cell r="C693" t="str">
            <v>CY0105</v>
          </cell>
        </row>
        <row r="694">
          <cell r="B694" t="str">
            <v>M2045010000</v>
          </cell>
          <cell r="C694" t="str">
            <v>CY0090</v>
          </cell>
        </row>
        <row r="695">
          <cell r="B695" t="str">
            <v>M2045015000</v>
          </cell>
          <cell r="C695" t="str">
            <v>CY0461</v>
          </cell>
        </row>
        <row r="696">
          <cell r="B696" t="str">
            <v>M2051010000</v>
          </cell>
          <cell r="C696" t="str">
            <v>CY0100</v>
          </cell>
        </row>
        <row r="697">
          <cell r="B697" t="str">
            <v>M2051020000</v>
          </cell>
          <cell r="C697" t="str">
            <v>CY0101</v>
          </cell>
        </row>
        <row r="698">
          <cell r="B698" t="str">
            <v>M2051030000</v>
          </cell>
          <cell r="C698" t="str">
            <v>CY0102</v>
          </cell>
        </row>
        <row r="699">
          <cell r="B699" t="str">
            <v>M2054020000</v>
          </cell>
          <cell r="C699" t="str">
            <v>CY0462</v>
          </cell>
        </row>
        <row r="700">
          <cell r="B700" t="str">
            <v>M2055010000</v>
          </cell>
          <cell r="C700" t="str">
            <v>CY0103</v>
          </cell>
        </row>
        <row r="701">
          <cell r="B701" t="str">
            <v>M2055020000</v>
          </cell>
          <cell r="C701" t="str">
            <v>CY0104</v>
          </cell>
        </row>
        <row r="702">
          <cell r="B702" t="str">
            <v>M2057010000</v>
          </cell>
          <cell r="C702" t="str">
            <v>CY0463</v>
          </cell>
        </row>
        <row r="703">
          <cell r="B703" t="str">
            <v>M2057020000</v>
          </cell>
          <cell r="C703" t="str">
            <v>CY0902</v>
          </cell>
        </row>
        <row r="704">
          <cell r="B704" t="str">
            <v>M2060005000</v>
          </cell>
          <cell r="C704" t="str">
            <v>CY0464</v>
          </cell>
        </row>
        <row r="705">
          <cell r="B705" t="str">
            <v>M2060010000</v>
          </cell>
          <cell r="C705" t="str">
            <v>CY0465</v>
          </cell>
        </row>
        <row r="706">
          <cell r="B706" t="str">
            <v>M2060015000</v>
          </cell>
          <cell r="C706" t="str">
            <v>CY0903</v>
          </cell>
        </row>
        <row r="707">
          <cell r="B707" t="str">
            <v>M2060020000</v>
          </cell>
          <cell r="C707" t="str">
            <v>CY0904</v>
          </cell>
        </row>
        <row r="708">
          <cell r="B708" t="str">
            <v>M2060025000</v>
          </cell>
          <cell r="C708" t="str">
            <v>CY0466</v>
          </cell>
        </row>
        <row r="709">
          <cell r="B709" t="str">
            <v>M2060030000</v>
          </cell>
          <cell r="C709" t="str">
            <v>CY0905</v>
          </cell>
        </row>
        <row r="710">
          <cell r="B710" t="str">
            <v>M2060035000</v>
          </cell>
          <cell r="C710" t="str">
            <v>CY0906</v>
          </cell>
        </row>
        <row r="711">
          <cell r="B711" t="str">
            <v>M2063010000</v>
          </cell>
          <cell r="C711" t="str">
            <v>CY0467</v>
          </cell>
        </row>
        <row r="712">
          <cell r="B712" t="str">
            <v>M2066000000</v>
          </cell>
          <cell r="C712" t="str">
            <v>CY0468</v>
          </cell>
        </row>
        <row r="713">
          <cell r="B713" t="str">
            <v>M2069020000</v>
          </cell>
          <cell r="C713" t="str">
            <v>CY0469</v>
          </cell>
        </row>
        <row r="714">
          <cell r="B714" t="str">
            <v>M3050100000</v>
          </cell>
          <cell r="C714" t="str">
            <v>CY0907</v>
          </cell>
        </row>
        <row r="715">
          <cell r="B715" t="str">
            <v>M3060005001</v>
          </cell>
          <cell r="C715" t="str">
            <v>CY0908</v>
          </cell>
        </row>
        <row r="716">
          <cell r="B716" t="str">
            <v>M3060025000</v>
          </cell>
          <cell r="C716" t="str">
            <v>CY0470</v>
          </cell>
        </row>
        <row r="717">
          <cell r="B717" t="str">
            <v>M7005005001</v>
          </cell>
          <cell r="C717" t="str">
            <v>CY0137</v>
          </cell>
        </row>
        <row r="718">
          <cell r="B718" t="str">
            <v>M7005005005</v>
          </cell>
          <cell r="C718" t="str">
            <v>CY0909</v>
          </cell>
        </row>
        <row r="719">
          <cell r="B719" t="str">
            <v>M7005005009</v>
          </cell>
          <cell r="C719" t="str">
            <v>CY0138</v>
          </cell>
        </row>
        <row r="720">
          <cell r="B720" t="str">
            <v>M7005005013</v>
          </cell>
          <cell r="C720" t="str">
            <v>CY0910</v>
          </cell>
        </row>
        <row r="721">
          <cell r="B721" t="str">
            <v>M7005005017</v>
          </cell>
          <cell r="C721" t="str">
            <v>CY0911</v>
          </cell>
        </row>
        <row r="722">
          <cell r="B722" t="str">
            <v>M7005010001</v>
          </cell>
          <cell r="C722" t="str">
            <v>CY0471</v>
          </cell>
        </row>
        <row r="723">
          <cell r="B723" t="str">
            <v>M7005010005</v>
          </cell>
          <cell r="C723" t="str">
            <v>CY0914</v>
          </cell>
        </row>
        <row r="724">
          <cell r="B724" t="str">
            <v>M7005010009</v>
          </cell>
          <cell r="C724" t="str">
            <v>CY0472</v>
          </cell>
        </row>
        <row r="725">
          <cell r="B725" t="str">
            <v>M7005010013</v>
          </cell>
          <cell r="C725" t="str">
            <v>CY0915</v>
          </cell>
        </row>
        <row r="726">
          <cell r="B726" t="str">
            <v>M7005010017</v>
          </cell>
          <cell r="C726" t="str">
            <v>CY0816</v>
          </cell>
        </row>
        <row r="727">
          <cell r="B727" t="str">
            <v>M7005010021</v>
          </cell>
          <cell r="C727" t="str">
            <v>CY0473</v>
          </cell>
        </row>
        <row r="728">
          <cell r="B728" t="str">
            <v>M7005010025</v>
          </cell>
          <cell r="C728" t="str">
            <v>CY0916</v>
          </cell>
        </row>
        <row r="729">
          <cell r="B729" t="str">
            <v>M7005010029</v>
          </cell>
          <cell r="C729" t="str">
            <v>CY0817</v>
          </cell>
        </row>
        <row r="730">
          <cell r="B730" t="str">
            <v>M7005010033</v>
          </cell>
          <cell r="C730" t="str">
            <v>CY0917</v>
          </cell>
        </row>
        <row r="731">
          <cell r="B731" t="str">
            <v>M7005010037</v>
          </cell>
          <cell r="C731" t="str">
            <v>CY0918</v>
          </cell>
        </row>
        <row r="732">
          <cell r="B732" t="str">
            <v>M7005010041</v>
          </cell>
          <cell r="C732" t="str">
            <v>CY0474</v>
          </cell>
        </row>
        <row r="733">
          <cell r="B733" t="str">
            <v>M7005010045</v>
          </cell>
          <cell r="C733" t="str">
            <v>CY0475</v>
          </cell>
        </row>
        <row r="734">
          <cell r="B734" t="str">
            <v>M7005010049</v>
          </cell>
          <cell r="C734" t="str">
            <v>CY0919</v>
          </cell>
        </row>
        <row r="735">
          <cell r="B735" t="str">
            <v>M7005010053</v>
          </cell>
          <cell r="C735" t="str">
            <v>CY0476</v>
          </cell>
        </row>
        <row r="736">
          <cell r="B736" t="str">
            <v>M7005010057</v>
          </cell>
          <cell r="C736" t="str">
            <v>CY0920</v>
          </cell>
        </row>
        <row r="737">
          <cell r="B737" t="str">
            <v>M7005010061</v>
          </cell>
          <cell r="C737" t="str">
            <v>CY0921</v>
          </cell>
        </row>
        <row r="738">
          <cell r="B738" t="str">
            <v>M7005010065</v>
          </cell>
          <cell r="C738" t="str">
            <v>CY0922</v>
          </cell>
        </row>
        <row r="739">
          <cell r="B739" t="str">
            <v>M7005015001</v>
          </cell>
          <cell r="C739" t="str">
            <v>CY0477</v>
          </cell>
        </row>
        <row r="740">
          <cell r="B740" t="str">
            <v>M7005015009</v>
          </cell>
          <cell r="C740" t="str">
            <v>CY0478</v>
          </cell>
        </row>
        <row r="741">
          <cell r="B741" t="str">
            <v>M7005015017</v>
          </cell>
          <cell r="C741" t="str">
            <v>CY0818</v>
          </cell>
        </row>
        <row r="742">
          <cell r="B742" t="str">
            <v>M7005015021</v>
          </cell>
          <cell r="C742" t="str">
            <v>CY0479</v>
          </cell>
        </row>
        <row r="743">
          <cell r="B743" t="str">
            <v>M7005015033</v>
          </cell>
          <cell r="C743" t="str">
            <v>CY0819</v>
          </cell>
        </row>
        <row r="744">
          <cell r="B744" t="str">
            <v>M7005020001</v>
          </cell>
          <cell r="C744" t="str">
            <v>CY0480</v>
          </cell>
        </row>
        <row r="745">
          <cell r="B745" t="str">
            <v>M7005020005</v>
          </cell>
          <cell r="C745" t="str">
            <v>CY0923</v>
          </cell>
        </row>
        <row r="746">
          <cell r="B746" t="str">
            <v>M7005020009</v>
          </cell>
          <cell r="C746" t="str">
            <v>CY0820</v>
          </cell>
        </row>
        <row r="747">
          <cell r="B747" t="str">
            <v>M7005020013</v>
          </cell>
          <cell r="C747" t="str">
            <v>CY0481</v>
          </cell>
        </row>
        <row r="748">
          <cell r="B748" t="str">
            <v>M7005020017</v>
          </cell>
          <cell r="C748" t="str">
            <v>CY0821</v>
          </cell>
        </row>
        <row r="749">
          <cell r="B749" t="str">
            <v>M7005020021</v>
          </cell>
          <cell r="C749" t="str">
            <v>CY0924</v>
          </cell>
        </row>
        <row r="750">
          <cell r="B750" t="str">
            <v>M7005020025</v>
          </cell>
          <cell r="C750" t="str">
            <v>CY0482</v>
          </cell>
        </row>
        <row r="751">
          <cell r="B751" t="str">
            <v>M7005020029</v>
          </cell>
          <cell r="C751" t="str">
            <v>CY0483</v>
          </cell>
        </row>
        <row r="752">
          <cell r="B752" t="str">
            <v>M7005020033</v>
          </cell>
          <cell r="C752" t="str">
            <v>CY0822</v>
          </cell>
        </row>
        <row r="753">
          <cell r="B753" t="str">
            <v>M7005020037</v>
          </cell>
          <cell r="C753" t="str">
            <v>CY0925</v>
          </cell>
        </row>
        <row r="754">
          <cell r="B754" t="str">
            <v>M7005020041</v>
          </cell>
          <cell r="C754" t="str">
            <v>CY0484</v>
          </cell>
        </row>
        <row r="755">
          <cell r="B755" t="str">
            <v>M7005020045</v>
          </cell>
          <cell r="C755" t="str">
            <v>CY0485</v>
          </cell>
        </row>
        <row r="756">
          <cell r="B756" t="str">
            <v>M7005030025</v>
          </cell>
          <cell r="C756" t="str">
            <v>CY0140</v>
          </cell>
        </row>
        <row r="757">
          <cell r="B757" t="str">
            <v>M7005030033</v>
          </cell>
          <cell r="C757" t="str">
            <v>CY0823</v>
          </cell>
        </row>
        <row r="758">
          <cell r="B758" t="str">
            <v>M7005030037</v>
          </cell>
          <cell r="C758" t="str">
            <v>CY0139</v>
          </cell>
        </row>
        <row r="759">
          <cell r="B759" t="str">
            <v>M7005030041</v>
          </cell>
          <cell r="C759" t="str">
            <v>CY0824</v>
          </cell>
        </row>
        <row r="760">
          <cell r="B760" t="str">
            <v>M7005030053</v>
          </cell>
          <cell r="C760" t="str">
            <v>CY0411</v>
          </cell>
        </row>
        <row r="761">
          <cell r="B761" t="str">
            <v>M7005030109</v>
          </cell>
          <cell r="C761" t="str">
            <v>CY0825</v>
          </cell>
        </row>
        <row r="762">
          <cell r="B762" t="str">
            <v>M7005030113</v>
          </cell>
          <cell r="C762" t="str">
            <v>CY0143</v>
          </cell>
        </row>
        <row r="763">
          <cell r="B763" t="str">
            <v>M7005030121</v>
          </cell>
          <cell r="C763" t="str">
            <v>CY0826</v>
          </cell>
        </row>
        <row r="764">
          <cell r="B764" t="str">
            <v>M7005030125</v>
          </cell>
          <cell r="C764" t="str">
            <v>CY0145</v>
          </cell>
        </row>
        <row r="765">
          <cell r="B765" t="str">
            <v>M7005030133</v>
          </cell>
          <cell r="C765" t="str">
            <v>CY0827</v>
          </cell>
        </row>
        <row r="766">
          <cell r="B766" t="str">
            <v>M7005030141</v>
          </cell>
          <cell r="C766" t="str">
            <v>CY0134</v>
          </cell>
        </row>
        <row r="767">
          <cell r="B767" t="str">
            <v>M7005040001</v>
          </cell>
          <cell r="C767" t="str">
            <v>CY0926</v>
          </cell>
        </row>
        <row r="768">
          <cell r="B768" t="str">
            <v>M7005040005</v>
          </cell>
          <cell r="C768" t="str">
            <v>CY0927</v>
          </cell>
        </row>
        <row r="769">
          <cell r="B769" t="str">
            <v>M7005040009</v>
          </cell>
          <cell r="C769" t="str">
            <v>CY0928</v>
          </cell>
        </row>
        <row r="770">
          <cell r="B770" t="str">
            <v>M7005040013</v>
          </cell>
          <cell r="C770" t="str">
            <v>CY0929</v>
          </cell>
        </row>
        <row r="771">
          <cell r="B771" t="str">
            <v>M7005040017</v>
          </cell>
          <cell r="C771" t="str">
            <v>CY0930</v>
          </cell>
        </row>
        <row r="772">
          <cell r="B772" t="str">
            <v>M7005040021</v>
          </cell>
          <cell r="C772" t="str">
            <v>CY0931</v>
          </cell>
        </row>
        <row r="773">
          <cell r="B773" t="str">
            <v>M7005040025</v>
          </cell>
          <cell r="C773" t="str">
            <v>CY0932</v>
          </cell>
        </row>
        <row r="774">
          <cell r="B774" t="str">
            <v>M7005040029</v>
          </cell>
          <cell r="C774" t="str">
            <v>CY0486</v>
          </cell>
        </row>
        <row r="775">
          <cell r="B775" t="str">
            <v>M7005040033</v>
          </cell>
          <cell r="C775" t="str">
            <v>CY0828</v>
          </cell>
        </row>
        <row r="776">
          <cell r="B776" t="str">
            <v>M7005040037</v>
          </cell>
          <cell r="C776" t="str">
            <v>CY0487</v>
          </cell>
        </row>
        <row r="777">
          <cell r="B777" t="str">
            <v>M7005040041</v>
          </cell>
          <cell r="C777" t="str">
            <v>CY0829</v>
          </cell>
        </row>
        <row r="778">
          <cell r="B778" t="str">
            <v>M7005040045</v>
          </cell>
          <cell r="C778" t="str">
            <v>CY0933</v>
          </cell>
        </row>
        <row r="779">
          <cell r="B779" t="str">
            <v>M7005040049</v>
          </cell>
          <cell r="C779" t="str">
            <v>CY0830</v>
          </cell>
        </row>
        <row r="780">
          <cell r="B780" t="str">
            <v>M7005040053</v>
          </cell>
          <cell r="C780" t="str">
            <v>CY0414</v>
          </cell>
        </row>
        <row r="781">
          <cell r="B781" t="str">
            <v>M7005040129</v>
          </cell>
          <cell r="C781" t="str">
            <v>CY0416</v>
          </cell>
        </row>
        <row r="782">
          <cell r="B782" t="str">
            <v>M7005040137</v>
          </cell>
          <cell r="C782" t="str">
            <v>CY0415</v>
          </cell>
        </row>
        <row r="783">
          <cell r="B783" t="str">
            <v>M7005070009</v>
          </cell>
          <cell r="C783" t="str">
            <v>CY0912</v>
          </cell>
        </row>
        <row r="784">
          <cell r="B784" t="str">
            <v>M7005070013</v>
          </cell>
          <cell r="C784" t="str">
            <v>CY0488</v>
          </cell>
        </row>
        <row r="785">
          <cell r="B785" t="str">
            <v>M7005070017</v>
          </cell>
          <cell r="C785" t="str">
            <v>CY0417</v>
          </cell>
        </row>
        <row r="786">
          <cell r="B786" t="str">
            <v>M7005070021</v>
          </cell>
          <cell r="C786" t="str">
            <v>CY0831</v>
          </cell>
        </row>
        <row r="787">
          <cell r="B787" t="str">
            <v>M7005070025</v>
          </cell>
          <cell r="C787" t="str">
            <v>CY0489</v>
          </cell>
        </row>
        <row r="788">
          <cell r="B788" t="str">
            <v>M7005070029</v>
          </cell>
          <cell r="C788" t="str">
            <v>CY0832</v>
          </cell>
        </row>
        <row r="789">
          <cell r="B789" t="str">
            <v>M7005070033</v>
          </cell>
          <cell r="C789" t="str">
            <v>CY0490</v>
          </cell>
        </row>
        <row r="790">
          <cell r="B790" t="str">
            <v>M7005070037</v>
          </cell>
          <cell r="C790" t="str">
            <v>CY0913</v>
          </cell>
        </row>
        <row r="791">
          <cell r="B791" t="str">
            <v>M7005070041</v>
          </cell>
          <cell r="C791" t="str">
            <v>CY0833</v>
          </cell>
        </row>
        <row r="792">
          <cell r="B792" t="str">
            <v>M7010005001</v>
          </cell>
          <cell r="C792" t="str">
            <v>CY0491</v>
          </cell>
        </row>
        <row r="793">
          <cell r="B793" t="str">
            <v>M7010005005</v>
          </cell>
          <cell r="C793" t="str">
            <v>CY0492</v>
          </cell>
        </row>
        <row r="794">
          <cell r="B794" t="str">
            <v>M7010005009</v>
          </cell>
          <cell r="C794" t="str">
            <v>CY0493</v>
          </cell>
        </row>
        <row r="795">
          <cell r="B795" t="str">
            <v>M7010005013</v>
          </cell>
          <cell r="C795" t="str">
            <v>CY0936</v>
          </cell>
        </row>
        <row r="796">
          <cell r="B796" t="str">
            <v>M7010005017</v>
          </cell>
          <cell r="C796" t="str">
            <v>CY0494</v>
          </cell>
        </row>
        <row r="797">
          <cell r="B797" t="str">
            <v>M7010005021</v>
          </cell>
          <cell r="C797" t="str">
            <v>CY0495</v>
          </cell>
        </row>
        <row r="798">
          <cell r="B798" t="str">
            <v>M7010005025</v>
          </cell>
          <cell r="C798" t="str">
            <v>CY0937</v>
          </cell>
        </row>
        <row r="799">
          <cell r="B799" t="str">
            <v>M7010005029</v>
          </cell>
          <cell r="C799" t="str">
            <v>CY0496</v>
          </cell>
        </row>
        <row r="800">
          <cell r="B800" t="str">
            <v>M7010005033</v>
          </cell>
          <cell r="C800" t="str">
            <v>CY0497</v>
          </cell>
        </row>
        <row r="801">
          <cell r="B801" t="str">
            <v>M7010005037</v>
          </cell>
          <cell r="C801" t="str">
            <v>CY0938</v>
          </cell>
        </row>
        <row r="802">
          <cell r="B802" t="str">
            <v>M7010005041</v>
          </cell>
          <cell r="C802" t="str">
            <v>CY0498</v>
          </cell>
        </row>
        <row r="803">
          <cell r="B803" t="str">
            <v>M7010010001</v>
          </cell>
          <cell r="C803" t="str">
            <v>CY0421</v>
          </cell>
        </row>
        <row r="804">
          <cell r="B804" t="str">
            <v>M7010010013</v>
          </cell>
          <cell r="C804" t="str">
            <v>CY0499</v>
          </cell>
        </row>
        <row r="805">
          <cell r="B805" t="str">
            <v>M7010010021</v>
          </cell>
          <cell r="C805" t="str">
            <v>CY0500</v>
          </cell>
        </row>
        <row r="806">
          <cell r="B806" t="str">
            <v>M7010010041</v>
          </cell>
          <cell r="C806" t="str">
            <v>CY0501</v>
          </cell>
        </row>
        <row r="807">
          <cell r="B807" t="str">
            <v>M7010010049</v>
          </cell>
          <cell r="C807" t="str">
            <v>CY0502</v>
          </cell>
        </row>
        <row r="808">
          <cell r="B808" t="str">
            <v>M7010010057</v>
          </cell>
          <cell r="C808" t="str">
            <v>CY0503</v>
          </cell>
        </row>
        <row r="809">
          <cell r="B809" t="str">
            <v>M7010010069</v>
          </cell>
          <cell r="C809" t="str">
            <v>CY0420</v>
          </cell>
        </row>
        <row r="810">
          <cell r="B810" t="str">
            <v>M7010015033</v>
          </cell>
          <cell r="C810" t="str">
            <v>CY0504</v>
          </cell>
        </row>
        <row r="811">
          <cell r="B811" t="str">
            <v>M7010015041</v>
          </cell>
          <cell r="C811" t="str">
            <v>CY0505</v>
          </cell>
        </row>
        <row r="812">
          <cell r="B812" t="str">
            <v>M7010015045</v>
          </cell>
          <cell r="C812" t="str">
            <v>CY0506</v>
          </cell>
        </row>
        <row r="813">
          <cell r="B813" t="str">
            <v>M7010015049</v>
          </cell>
          <cell r="C813" t="str">
            <v>CY0507</v>
          </cell>
        </row>
        <row r="814">
          <cell r="B814" t="str">
            <v>M7010020001</v>
          </cell>
          <cell r="C814" t="str">
            <v>CY0508</v>
          </cell>
        </row>
        <row r="815">
          <cell r="B815" t="str">
            <v>M7010025001</v>
          </cell>
          <cell r="C815" t="str">
            <v>CY0509</v>
          </cell>
        </row>
        <row r="816">
          <cell r="B816" t="str">
            <v>M7010025009</v>
          </cell>
          <cell r="C816" t="str">
            <v>CY0510</v>
          </cell>
        </row>
        <row r="817">
          <cell r="B817" t="str">
            <v>M7010025017</v>
          </cell>
          <cell r="C817" t="str">
            <v>CY0511</v>
          </cell>
        </row>
        <row r="818">
          <cell r="B818" t="str">
            <v>M7010030001</v>
          </cell>
          <cell r="C818" t="str">
            <v>CY0512</v>
          </cell>
        </row>
        <row r="819">
          <cell r="B819" t="str">
            <v>M7010030009</v>
          </cell>
          <cell r="C819" t="str">
            <v>CY0513</v>
          </cell>
        </row>
        <row r="820">
          <cell r="B820" t="str">
            <v>M7010030017</v>
          </cell>
          <cell r="C820" t="str">
            <v>CY0514</v>
          </cell>
        </row>
        <row r="821">
          <cell r="B821" t="str">
            <v>M7010040005</v>
          </cell>
          <cell r="C821" t="str">
            <v>CY0515</v>
          </cell>
        </row>
        <row r="822">
          <cell r="B822" t="str">
            <v>M7010040013</v>
          </cell>
          <cell r="C822" t="str">
            <v>CY0516</v>
          </cell>
        </row>
        <row r="823">
          <cell r="B823" t="str">
            <v>M7010040017</v>
          </cell>
          <cell r="C823" t="str">
            <v>CY0517</v>
          </cell>
        </row>
        <row r="824">
          <cell r="B824" t="str">
            <v>M7010045001</v>
          </cell>
          <cell r="C824" t="str">
            <v>CY0518</v>
          </cell>
        </row>
        <row r="825">
          <cell r="B825" t="str">
            <v>M7010045009</v>
          </cell>
          <cell r="C825" t="str">
            <v>CY0519</v>
          </cell>
        </row>
        <row r="826">
          <cell r="B826" t="str">
            <v>M7010045013</v>
          </cell>
          <cell r="C826" t="str">
            <v>CY0520</v>
          </cell>
        </row>
        <row r="827">
          <cell r="B827" t="str">
            <v>M7010055001</v>
          </cell>
          <cell r="C827" t="str">
            <v>CY0521</v>
          </cell>
        </row>
        <row r="828">
          <cell r="B828" t="str">
            <v>M7010055009</v>
          </cell>
          <cell r="C828" t="str">
            <v>CY0522</v>
          </cell>
        </row>
        <row r="829">
          <cell r="B829" t="str">
            <v>M7010055013</v>
          </cell>
          <cell r="C829" t="str">
            <v>CY0523</v>
          </cell>
        </row>
        <row r="830">
          <cell r="B830" t="str">
            <v>M7010060009</v>
          </cell>
          <cell r="C830" t="str">
            <v>CY0524</v>
          </cell>
        </row>
        <row r="831">
          <cell r="B831" t="str">
            <v>M7015005000</v>
          </cell>
          <cell r="C831" t="str">
            <v>CY0525</v>
          </cell>
        </row>
        <row r="832">
          <cell r="B832" t="str">
            <v>M7015010000</v>
          </cell>
          <cell r="C832" t="str">
            <v>CY0834</v>
          </cell>
        </row>
        <row r="833">
          <cell r="B833" t="str">
            <v>M7015015000</v>
          </cell>
          <cell r="C833" t="str">
            <v>CY0939</v>
          </cell>
        </row>
        <row r="834">
          <cell r="B834" t="str">
            <v>M7015020000</v>
          </cell>
          <cell r="C834" t="str">
            <v>CY0526</v>
          </cell>
        </row>
        <row r="835">
          <cell r="B835" t="str">
            <v>M7015025000</v>
          </cell>
          <cell r="C835" t="str">
            <v>CY0940</v>
          </cell>
        </row>
        <row r="836">
          <cell r="B836" t="str">
            <v>M7015030000</v>
          </cell>
          <cell r="C836" t="str">
            <v>CY0835</v>
          </cell>
        </row>
        <row r="837">
          <cell r="B837" t="str">
            <v>M7015035000</v>
          </cell>
          <cell r="C837" t="str">
            <v>CY0527</v>
          </cell>
        </row>
        <row r="838">
          <cell r="B838" t="str">
            <v>M7020005000</v>
          </cell>
          <cell r="C838" t="str">
            <v>CY0836</v>
          </cell>
        </row>
        <row r="839">
          <cell r="B839" t="str">
            <v>M7020010000</v>
          </cell>
          <cell r="C839" t="str">
            <v>CY0528</v>
          </cell>
        </row>
        <row r="840">
          <cell r="B840" t="str">
            <v>M7025010000</v>
          </cell>
          <cell r="C840" t="str">
            <v>CY0529</v>
          </cell>
        </row>
        <row r="841">
          <cell r="B841" t="str">
            <v>M7025020005</v>
          </cell>
          <cell r="C841" t="str">
            <v>CY0941</v>
          </cell>
        </row>
        <row r="842">
          <cell r="B842" t="str">
            <v>M7025030009</v>
          </cell>
          <cell r="C842" t="str">
            <v>CY0530</v>
          </cell>
        </row>
        <row r="843">
          <cell r="B843" t="str">
            <v>M7025040013</v>
          </cell>
          <cell r="C843" t="str">
            <v>CY0942</v>
          </cell>
        </row>
        <row r="844">
          <cell r="B844" t="str">
            <v>M7025050017</v>
          </cell>
          <cell r="C844" t="str">
            <v>CY0943</v>
          </cell>
        </row>
        <row r="845">
          <cell r="B845" t="str">
            <v>M7030010000</v>
          </cell>
          <cell r="C845" t="str">
            <v>CY0531</v>
          </cell>
        </row>
        <row r="846">
          <cell r="B846" t="str">
            <v>M7030020000</v>
          </cell>
          <cell r="C846" t="str">
            <v>CY0532</v>
          </cell>
        </row>
        <row r="847">
          <cell r="B847" t="str">
            <v>M7030030000</v>
          </cell>
          <cell r="C847" t="str">
            <v>CY0837</v>
          </cell>
        </row>
        <row r="848">
          <cell r="B848" t="str">
            <v>M7030040000</v>
          </cell>
          <cell r="C848" t="str">
            <v>CY0838</v>
          </cell>
        </row>
        <row r="849">
          <cell r="B849" t="str">
            <v>M7035010000</v>
          </cell>
          <cell r="C849" t="str">
            <v>CY0533</v>
          </cell>
        </row>
        <row r="850">
          <cell r="B850" t="str">
            <v>M7035020000</v>
          </cell>
          <cell r="C850" t="str">
            <v>CY0534</v>
          </cell>
        </row>
        <row r="851">
          <cell r="B851" t="str">
            <v>M7035030000</v>
          </cell>
          <cell r="C851" t="str">
            <v>CY0839</v>
          </cell>
        </row>
        <row r="852">
          <cell r="B852" t="str">
            <v>M7035040000</v>
          </cell>
          <cell r="C852" t="str">
            <v>CY0944</v>
          </cell>
        </row>
        <row r="853">
          <cell r="B853" t="str">
            <v>M7035050000</v>
          </cell>
          <cell r="C853" t="str">
            <v>CY0945</v>
          </cell>
        </row>
        <row r="854">
          <cell r="B854" t="str">
            <v>M7040020000</v>
          </cell>
          <cell r="C854" t="str">
            <v>CY0535</v>
          </cell>
        </row>
        <row r="855">
          <cell r="B855" t="str">
            <v>M7045010001</v>
          </cell>
          <cell r="C855" t="str">
            <v>CY0150</v>
          </cell>
        </row>
        <row r="856">
          <cell r="B856" t="str">
            <v>M7045010005</v>
          </cell>
          <cell r="C856" t="str">
            <v>CY0152</v>
          </cell>
        </row>
        <row r="857">
          <cell r="B857" t="str">
            <v>M7045020001</v>
          </cell>
          <cell r="C857" t="str">
            <v>CY0536</v>
          </cell>
        </row>
        <row r="858">
          <cell r="B858" t="str">
            <v>M7045030001</v>
          </cell>
          <cell r="C858" t="str">
            <v>CY0946</v>
          </cell>
        </row>
        <row r="859">
          <cell r="B859" t="str">
            <v>M7045030005</v>
          </cell>
          <cell r="C859" t="str">
            <v>CY0153</v>
          </cell>
        </row>
        <row r="860">
          <cell r="B860" t="str">
            <v>M7045030009</v>
          </cell>
          <cell r="C860" t="str">
            <v>CY0537</v>
          </cell>
        </row>
        <row r="861">
          <cell r="B861" t="str">
            <v>M7045040009</v>
          </cell>
          <cell r="C861" t="str">
            <v>CY0538</v>
          </cell>
        </row>
        <row r="862">
          <cell r="B862" t="str">
            <v>M7050010001</v>
          </cell>
          <cell r="C862" t="str">
            <v>CY0539</v>
          </cell>
        </row>
        <row r="863">
          <cell r="B863" t="str">
            <v>M7050010005</v>
          </cell>
          <cell r="C863" t="str">
            <v>CY0540</v>
          </cell>
        </row>
        <row r="864">
          <cell r="B864" t="str">
            <v>M7050020001</v>
          </cell>
          <cell r="C864" t="str">
            <v>CY0541</v>
          </cell>
        </row>
        <row r="865">
          <cell r="B865" t="str">
            <v>M7050020005</v>
          </cell>
          <cell r="C865" t="str">
            <v>CY0542</v>
          </cell>
        </row>
        <row r="866">
          <cell r="B866" t="str">
            <v>M7050030009</v>
          </cell>
          <cell r="C866" t="str">
            <v>CY0543</v>
          </cell>
        </row>
        <row r="867">
          <cell r="B867" t="str">
            <v>M7055020000</v>
          </cell>
          <cell r="C867" t="str">
            <v>CY0544</v>
          </cell>
        </row>
        <row r="868">
          <cell r="B868" t="str">
            <v>M7060005000</v>
          </cell>
          <cell r="C868" t="str">
            <v>CY0545</v>
          </cell>
        </row>
        <row r="869">
          <cell r="B869" t="str">
            <v>M7060010000</v>
          </cell>
          <cell r="C869" t="str">
            <v>CY0546</v>
          </cell>
        </row>
        <row r="870">
          <cell r="B870" t="str">
            <v>M7060015000</v>
          </cell>
          <cell r="C870" t="str">
            <v>CY0547</v>
          </cell>
        </row>
        <row r="871">
          <cell r="B871" t="str">
            <v>M7060020000</v>
          </cell>
          <cell r="C871" t="str">
            <v>CY0154</v>
          </cell>
        </row>
        <row r="872">
          <cell r="B872" t="str">
            <v>M7060025000</v>
          </cell>
          <cell r="C872" t="str">
            <v>CY0934</v>
          </cell>
        </row>
        <row r="873">
          <cell r="B873" t="str">
            <v>M7060030000</v>
          </cell>
          <cell r="C873" t="str">
            <v>CY0935</v>
          </cell>
        </row>
        <row r="874">
          <cell r="B874" t="str">
            <v>M7210005000</v>
          </cell>
          <cell r="C874" t="str">
            <v>CY0155</v>
          </cell>
        </row>
        <row r="875">
          <cell r="B875" t="str">
            <v>M7210025000</v>
          </cell>
          <cell r="C875" t="str">
            <v>CY0156</v>
          </cell>
        </row>
        <row r="876">
          <cell r="B876" t="str">
            <v>D2003010000</v>
          </cell>
          <cell r="C876" t="str">
            <v>CY0548</v>
          </cell>
        </row>
        <row r="877">
          <cell r="B877" t="str">
            <v>D2003020000</v>
          </cell>
          <cell r="C877" t="str">
            <v>CY0549</v>
          </cell>
        </row>
        <row r="878">
          <cell r="B878" t="str">
            <v>D2006010000</v>
          </cell>
          <cell r="C878" t="str">
            <v>CY0840</v>
          </cell>
        </row>
        <row r="879">
          <cell r="B879" t="str">
            <v>D2006020000</v>
          </cell>
          <cell r="C879" t="str">
            <v>CY0550</v>
          </cell>
        </row>
        <row r="880">
          <cell r="B880" t="str">
            <v>D2006030000</v>
          </cell>
          <cell r="C880" t="str">
            <v>CY0841</v>
          </cell>
        </row>
        <row r="881">
          <cell r="B881" t="str">
            <v>D2012010000</v>
          </cell>
          <cell r="C881" t="str">
            <v>CY0551</v>
          </cell>
        </row>
        <row r="882">
          <cell r="B882" t="str">
            <v>D2012020000</v>
          </cell>
          <cell r="C882" t="str">
            <v>CY0552</v>
          </cell>
        </row>
        <row r="883">
          <cell r="B883" t="str">
            <v>D2039010000</v>
          </cell>
          <cell r="C883" t="str">
            <v>CY0553</v>
          </cell>
        </row>
        <row r="884">
          <cell r="B884" t="str">
            <v>D2039020000</v>
          </cell>
          <cell r="C884" t="str">
            <v>CY0554</v>
          </cell>
        </row>
        <row r="885">
          <cell r="B885" t="str">
            <v>D2045005000</v>
          </cell>
          <cell r="C885" t="str">
            <v>CY0555</v>
          </cell>
        </row>
        <row r="886">
          <cell r="B886" t="str">
            <v>D2045010000</v>
          </cell>
          <cell r="C886" t="str">
            <v>CY0556</v>
          </cell>
        </row>
        <row r="887">
          <cell r="B887" t="str">
            <v>D2051010000</v>
          </cell>
          <cell r="C887" t="str">
            <v>CY0557</v>
          </cell>
        </row>
        <row r="888">
          <cell r="B888" t="str">
            <v>D2051020000</v>
          </cell>
          <cell r="C888" t="str">
            <v>CY0558</v>
          </cell>
        </row>
        <row r="889">
          <cell r="B889" t="str">
            <v>D2051030000</v>
          </cell>
          <cell r="C889" t="str">
            <v>CY0559</v>
          </cell>
        </row>
        <row r="890">
          <cell r="B890" t="str">
            <v>D2055010000</v>
          </cell>
          <cell r="C890" t="str">
            <v>CY0560</v>
          </cell>
        </row>
        <row r="891">
          <cell r="B891" t="str">
            <v>D2055020000</v>
          </cell>
          <cell r="C891" t="str">
            <v>CY0561</v>
          </cell>
        </row>
        <row r="892">
          <cell r="B892" t="str">
            <v>D2060005000</v>
          </cell>
          <cell r="C892" t="str">
            <v>CY0947</v>
          </cell>
        </row>
        <row r="893">
          <cell r="B893" t="str">
            <v>D2060010000</v>
          </cell>
          <cell r="C893" t="str">
            <v>CY0948</v>
          </cell>
        </row>
        <row r="894">
          <cell r="B894" t="str">
            <v>D2060015000</v>
          </cell>
          <cell r="C894" t="str">
            <v>CY0949</v>
          </cell>
        </row>
        <row r="895">
          <cell r="B895" t="str">
            <v>D3060025000</v>
          </cell>
          <cell r="C895" t="str">
            <v>CY0562</v>
          </cell>
        </row>
        <row r="896">
          <cell r="B896" t="str">
            <v>D3656100000</v>
          </cell>
          <cell r="C896" t="str">
            <v>CY0950</v>
          </cell>
        </row>
        <row r="897">
          <cell r="B897" t="str">
            <v>D7005005001</v>
          </cell>
          <cell r="C897" t="str">
            <v>CY0563</v>
          </cell>
        </row>
        <row r="898">
          <cell r="B898" t="str">
            <v>D7005005005</v>
          </cell>
          <cell r="C898" t="str">
            <v>CY0951</v>
          </cell>
        </row>
        <row r="899">
          <cell r="B899" t="str">
            <v>D7005005009</v>
          </cell>
          <cell r="C899" t="str">
            <v>CY0564</v>
          </cell>
        </row>
        <row r="900">
          <cell r="B900" t="str">
            <v>D7005005013</v>
          </cell>
          <cell r="C900" t="str">
            <v>CY0952</v>
          </cell>
        </row>
        <row r="901">
          <cell r="B901" t="str">
            <v>D7005005017</v>
          </cell>
          <cell r="C901" t="str">
            <v>CY0953</v>
          </cell>
        </row>
        <row r="902">
          <cell r="B902" t="str">
            <v>D7005010001</v>
          </cell>
          <cell r="C902" t="str">
            <v>CY0565</v>
          </cell>
        </row>
        <row r="903">
          <cell r="B903" t="str">
            <v>D7005010005</v>
          </cell>
          <cell r="C903" t="str">
            <v>CY0954</v>
          </cell>
        </row>
        <row r="904">
          <cell r="B904" t="str">
            <v>D7005010009</v>
          </cell>
          <cell r="C904" t="str">
            <v>CY0955</v>
          </cell>
        </row>
        <row r="905">
          <cell r="B905" t="str">
            <v>D7005010013</v>
          </cell>
          <cell r="C905" t="str">
            <v>CY0566</v>
          </cell>
        </row>
        <row r="906">
          <cell r="B906" t="str">
            <v>D7005010017</v>
          </cell>
          <cell r="C906" t="str">
            <v>CY0956</v>
          </cell>
        </row>
        <row r="907">
          <cell r="B907" t="str">
            <v>D7005010021</v>
          </cell>
          <cell r="C907" t="str">
            <v>CY0957</v>
          </cell>
        </row>
        <row r="908">
          <cell r="B908" t="str">
            <v>D7005010025</v>
          </cell>
          <cell r="C908" t="str">
            <v>CY0958</v>
          </cell>
        </row>
        <row r="909">
          <cell r="B909" t="str">
            <v>D7005010029</v>
          </cell>
          <cell r="C909" t="str">
            <v>CY0567</v>
          </cell>
        </row>
        <row r="910">
          <cell r="B910" t="str">
            <v>D7005010033</v>
          </cell>
          <cell r="C910" t="str">
            <v>CY0959</v>
          </cell>
        </row>
        <row r="911">
          <cell r="B911" t="str">
            <v>D7005010037</v>
          </cell>
          <cell r="C911" t="str">
            <v>CY0960</v>
          </cell>
        </row>
        <row r="912">
          <cell r="B912" t="str">
            <v>D7005010041</v>
          </cell>
          <cell r="C912" t="str">
            <v>CY0961</v>
          </cell>
        </row>
        <row r="913">
          <cell r="B913" t="str">
            <v>D7005010045</v>
          </cell>
          <cell r="C913" t="str">
            <v>CY0568</v>
          </cell>
        </row>
        <row r="914">
          <cell r="B914" t="str">
            <v>D7005010049</v>
          </cell>
          <cell r="C914" t="str">
            <v>CY0962</v>
          </cell>
        </row>
        <row r="915">
          <cell r="B915" t="str">
            <v>D7005010053</v>
          </cell>
          <cell r="C915" t="str">
            <v>CY0963</v>
          </cell>
        </row>
        <row r="916">
          <cell r="B916" t="str">
            <v>D7005010057</v>
          </cell>
          <cell r="C916" t="str">
            <v>CY0964</v>
          </cell>
        </row>
        <row r="917">
          <cell r="B917" t="str">
            <v>D7005015001</v>
          </cell>
          <cell r="C917" t="str">
            <v>CY0569</v>
          </cell>
        </row>
        <row r="918">
          <cell r="B918" t="str">
            <v>D7005015013</v>
          </cell>
          <cell r="C918" t="str">
            <v>CY0570</v>
          </cell>
        </row>
        <row r="919">
          <cell r="B919" t="str">
            <v>D7005015033</v>
          </cell>
          <cell r="C919" t="str">
            <v>CY0571</v>
          </cell>
        </row>
        <row r="920">
          <cell r="B920" t="str">
            <v>D7005020001</v>
          </cell>
          <cell r="C920" t="str">
            <v>CY0572</v>
          </cell>
        </row>
        <row r="921">
          <cell r="B921" t="str">
            <v>D7005020013</v>
          </cell>
          <cell r="C921" t="str">
            <v>CY0573</v>
          </cell>
        </row>
        <row r="922">
          <cell r="B922" t="str">
            <v>D7005020017</v>
          </cell>
          <cell r="C922" t="str">
            <v>CY0574</v>
          </cell>
        </row>
        <row r="923">
          <cell r="B923" t="str">
            <v>D7005020029</v>
          </cell>
          <cell r="C923" t="str">
            <v>CY0575</v>
          </cell>
        </row>
        <row r="924">
          <cell r="B924" t="str">
            <v>D7005020033</v>
          </cell>
          <cell r="C924" t="str">
            <v>CY0576</v>
          </cell>
        </row>
        <row r="925">
          <cell r="B925" t="str">
            <v>D7005020045</v>
          </cell>
          <cell r="C925" t="str">
            <v>CY0577</v>
          </cell>
        </row>
        <row r="926">
          <cell r="B926" t="str">
            <v>D7005030025</v>
          </cell>
          <cell r="C926" t="str">
            <v>CY0578</v>
          </cell>
        </row>
        <row r="927">
          <cell r="B927" t="str">
            <v>D7005030033</v>
          </cell>
          <cell r="C927" t="str">
            <v>CY0579</v>
          </cell>
        </row>
        <row r="928">
          <cell r="B928" t="str">
            <v>D7005030037</v>
          </cell>
          <cell r="C928" t="str">
            <v>CY0580</v>
          </cell>
        </row>
        <row r="929">
          <cell r="B929" t="str">
            <v>D7005030041</v>
          </cell>
          <cell r="C929" t="str">
            <v>CY0842</v>
          </cell>
        </row>
        <row r="930">
          <cell r="B930" t="str">
            <v>D7005030053</v>
          </cell>
          <cell r="C930" t="str">
            <v>CY0581</v>
          </cell>
        </row>
        <row r="931">
          <cell r="B931" t="str">
            <v>D7005030109</v>
          </cell>
          <cell r="C931" t="str">
            <v>CY0582</v>
          </cell>
        </row>
        <row r="932">
          <cell r="B932" t="str">
            <v>D7005030113</v>
          </cell>
          <cell r="C932" t="str">
            <v>CY0583</v>
          </cell>
        </row>
        <row r="933">
          <cell r="B933" t="str">
            <v>D7005030121</v>
          </cell>
          <cell r="C933" t="str">
            <v>CY0843</v>
          </cell>
        </row>
        <row r="934">
          <cell r="B934" t="str">
            <v>D7005030125</v>
          </cell>
          <cell r="C934" t="str">
            <v>CY0584</v>
          </cell>
        </row>
        <row r="935">
          <cell r="B935" t="str">
            <v>D7005030133</v>
          </cell>
          <cell r="C935" t="str">
            <v>CY0844</v>
          </cell>
        </row>
        <row r="936">
          <cell r="B936" t="str">
            <v>D7005030141</v>
          </cell>
          <cell r="C936" t="str">
            <v>CY0585</v>
          </cell>
        </row>
        <row r="937">
          <cell r="B937" t="str">
            <v>D7005040029</v>
          </cell>
          <cell r="C937" t="str">
            <v>CY0586</v>
          </cell>
        </row>
        <row r="938">
          <cell r="B938" t="str">
            <v>D7005040045</v>
          </cell>
          <cell r="C938" t="str">
            <v>CY0587</v>
          </cell>
        </row>
        <row r="939">
          <cell r="B939" t="str">
            <v>D7005040129</v>
          </cell>
          <cell r="C939" t="str">
            <v>CY0588</v>
          </cell>
        </row>
        <row r="940">
          <cell r="B940" t="str">
            <v>D7005040137</v>
          </cell>
          <cell r="C940" t="str">
            <v>CY0589</v>
          </cell>
        </row>
        <row r="941">
          <cell r="B941" t="str">
            <v>D7005070017</v>
          </cell>
          <cell r="C941" t="str">
            <v>CY0590</v>
          </cell>
        </row>
        <row r="942">
          <cell r="B942" t="str">
            <v>D7005070033</v>
          </cell>
          <cell r="C942" t="str">
            <v>CY0591</v>
          </cell>
        </row>
        <row r="943">
          <cell r="B943" t="str">
            <v>D7005070041</v>
          </cell>
          <cell r="C943" t="str">
            <v>CY0592</v>
          </cell>
        </row>
        <row r="944">
          <cell r="B944" t="str">
            <v>D7010005001</v>
          </cell>
          <cell r="C944" t="str">
            <v>CY0593</v>
          </cell>
        </row>
        <row r="945">
          <cell r="B945" t="str">
            <v>D7010005005</v>
          </cell>
          <cell r="C945" t="str">
            <v>CY0594</v>
          </cell>
        </row>
        <row r="946">
          <cell r="B946" t="str">
            <v>D7010005009</v>
          </cell>
          <cell r="C946" t="str">
            <v>CY0595</v>
          </cell>
        </row>
        <row r="947">
          <cell r="B947" t="str">
            <v>D7010005017</v>
          </cell>
          <cell r="C947" t="str">
            <v>CY0596</v>
          </cell>
        </row>
        <row r="948">
          <cell r="B948" t="str">
            <v>D7010005021</v>
          </cell>
          <cell r="C948" t="str">
            <v>CY0597</v>
          </cell>
        </row>
        <row r="949">
          <cell r="B949" t="str">
            <v>D7010005029</v>
          </cell>
          <cell r="C949" t="str">
            <v>CY0598</v>
          </cell>
        </row>
        <row r="950">
          <cell r="B950" t="str">
            <v>D7010005033</v>
          </cell>
          <cell r="C950" t="str">
            <v>CY0599</v>
          </cell>
        </row>
        <row r="951">
          <cell r="B951" t="str">
            <v>D7010005041</v>
          </cell>
          <cell r="C951" t="str">
            <v>CY0600</v>
          </cell>
        </row>
        <row r="952">
          <cell r="B952" t="str">
            <v>D7010010001</v>
          </cell>
          <cell r="C952" t="str">
            <v>CY0845</v>
          </cell>
        </row>
        <row r="953">
          <cell r="B953" t="str">
            <v>D7010010013</v>
          </cell>
          <cell r="C953" t="str">
            <v>CY0601</v>
          </cell>
        </row>
        <row r="954">
          <cell r="B954" t="str">
            <v>D7010010025</v>
          </cell>
          <cell r="C954" t="str">
            <v>CY0602</v>
          </cell>
        </row>
        <row r="955">
          <cell r="B955" t="str">
            <v>D7010010041</v>
          </cell>
          <cell r="C955" t="str">
            <v>CY0603</v>
          </cell>
        </row>
        <row r="956">
          <cell r="B956" t="str">
            <v>D7010010049</v>
          </cell>
          <cell r="C956" t="str">
            <v>CY0604</v>
          </cell>
        </row>
        <row r="957">
          <cell r="B957" t="str">
            <v>D7010010057</v>
          </cell>
          <cell r="C957" t="str">
            <v>CY0605</v>
          </cell>
        </row>
        <row r="958">
          <cell r="B958" t="str">
            <v>D7010010069</v>
          </cell>
          <cell r="C958" t="str">
            <v>CY0606</v>
          </cell>
        </row>
        <row r="959">
          <cell r="B959" t="str">
            <v>D7010015033</v>
          </cell>
          <cell r="C959" t="str">
            <v>CY0607</v>
          </cell>
        </row>
        <row r="960">
          <cell r="B960" t="str">
            <v>D7010015041</v>
          </cell>
          <cell r="C960" t="str">
            <v>CY0608</v>
          </cell>
        </row>
        <row r="961">
          <cell r="B961" t="str">
            <v>D7010015045</v>
          </cell>
          <cell r="C961" t="str">
            <v>CY0609</v>
          </cell>
        </row>
        <row r="962">
          <cell r="B962" t="str">
            <v>D7010015049</v>
          </cell>
          <cell r="C962" t="str">
            <v>CY0610</v>
          </cell>
        </row>
        <row r="963">
          <cell r="B963" t="str">
            <v>D7010020001</v>
          </cell>
          <cell r="C963" t="str">
            <v>CY0611</v>
          </cell>
        </row>
        <row r="964">
          <cell r="B964" t="str">
            <v>D7010025001</v>
          </cell>
          <cell r="C964" t="str">
            <v>CY0612</v>
          </cell>
        </row>
        <row r="965">
          <cell r="B965" t="str">
            <v>D7010025017</v>
          </cell>
          <cell r="C965" t="str">
            <v>CY0613</v>
          </cell>
        </row>
        <row r="966">
          <cell r="B966" t="str">
            <v>D7010030001</v>
          </cell>
          <cell r="C966" t="str">
            <v>CY0614</v>
          </cell>
        </row>
        <row r="967">
          <cell r="B967" t="str">
            <v>D7010030017</v>
          </cell>
          <cell r="C967" t="str">
            <v>CY0615</v>
          </cell>
        </row>
        <row r="968">
          <cell r="B968" t="str">
            <v>D7010040005</v>
          </cell>
          <cell r="C968" t="str">
            <v>CY0616</v>
          </cell>
        </row>
        <row r="969">
          <cell r="B969" t="str">
            <v>D7010040017</v>
          </cell>
          <cell r="C969" t="str">
            <v>CY0617</v>
          </cell>
        </row>
        <row r="970">
          <cell r="B970" t="str">
            <v>D7010045001</v>
          </cell>
          <cell r="C970" t="str">
            <v>CY0618</v>
          </cell>
        </row>
        <row r="971">
          <cell r="B971" t="str">
            <v>D7010045017</v>
          </cell>
          <cell r="C971" t="str">
            <v>CY0619</v>
          </cell>
        </row>
        <row r="972">
          <cell r="B972" t="str">
            <v>D7010055001</v>
          </cell>
          <cell r="C972" t="str">
            <v>CY0620</v>
          </cell>
        </row>
        <row r="973">
          <cell r="B973" t="str">
            <v>D7010055017</v>
          </cell>
          <cell r="C973" t="str">
            <v>CY0621</v>
          </cell>
        </row>
        <row r="974">
          <cell r="B974" t="str">
            <v>D7010060009</v>
          </cell>
          <cell r="C974" t="str">
            <v>CY0622</v>
          </cell>
        </row>
        <row r="975">
          <cell r="B975" t="str">
            <v>D7015005000</v>
          </cell>
          <cell r="C975" t="str">
            <v>CY0965</v>
          </cell>
        </row>
        <row r="976">
          <cell r="B976" t="str">
            <v>D7015010000</v>
          </cell>
          <cell r="C976" t="str">
            <v>CY0966</v>
          </cell>
        </row>
        <row r="977">
          <cell r="B977" t="str">
            <v>D7015015000</v>
          </cell>
          <cell r="C977" t="str">
            <v>CY0967</v>
          </cell>
        </row>
        <row r="978">
          <cell r="B978" t="str">
            <v>D7015020000</v>
          </cell>
          <cell r="C978" t="str">
            <v>CY0623</v>
          </cell>
        </row>
        <row r="979">
          <cell r="B979" t="str">
            <v>D7015025000</v>
          </cell>
          <cell r="C979" t="str">
            <v>CY0968</v>
          </cell>
        </row>
        <row r="980">
          <cell r="B980" t="str">
            <v>D7015030000</v>
          </cell>
          <cell r="C980" t="str">
            <v>CY0969</v>
          </cell>
        </row>
        <row r="981">
          <cell r="B981" t="str">
            <v>D7015035000</v>
          </cell>
          <cell r="C981" t="str">
            <v>CY0624</v>
          </cell>
        </row>
        <row r="982">
          <cell r="B982" t="str">
            <v>D7025010000</v>
          </cell>
          <cell r="C982" t="str">
            <v>CY0970</v>
          </cell>
        </row>
        <row r="983">
          <cell r="B983" t="str">
            <v>D7025020005</v>
          </cell>
          <cell r="C983" t="str">
            <v>CY0625</v>
          </cell>
        </row>
        <row r="984">
          <cell r="B984" t="str">
            <v>D7025030009</v>
          </cell>
          <cell r="C984" t="str">
            <v>CY0971</v>
          </cell>
        </row>
        <row r="985">
          <cell r="B985" t="str">
            <v>D7025050017</v>
          </cell>
          <cell r="C985" t="str">
            <v>CY0972</v>
          </cell>
        </row>
        <row r="986">
          <cell r="B986" t="str">
            <v>D7030010000</v>
          </cell>
          <cell r="C986" t="str">
            <v>CY0973</v>
          </cell>
        </row>
        <row r="987">
          <cell r="B987" t="str">
            <v>D7030020000</v>
          </cell>
          <cell r="C987" t="str">
            <v>CY0974</v>
          </cell>
        </row>
        <row r="988">
          <cell r="B988" t="str">
            <v>D7030030000</v>
          </cell>
          <cell r="C988" t="str">
            <v>CY0626</v>
          </cell>
        </row>
        <row r="989">
          <cell r="B989" t="str">
            <v>D7035010000</v>
          </cell>
          <cell r="C989" t="str">
            <v>CY0975</v>
          </cell>
        </row>
        <row r="990">
          <cell r="B990" t="str">
            <v>D7035030000</v>
          </cell>
          <cell r="C990" t="str">
            <v>CY0627</v>
          </cell>
        </row>
        <row r="991">
          <cell r="B991" t="str">
            <v>D7040020000</v>
          </cell>
          <cell r="C991" t="str">
            <v>CY0628</v>
          </cell>
        </row>
        <row r="992">
          <cell r="B992" t="str">
            <v>D7045010001</v>
          </cell>
          <cell r="C992" t="str">
            <v>CY0629</v>
          </cell>
        </row>
        <row r="993">
          <cell r="B993" t="str">
            <v>D7045010005</v>
          </cell>
          <cell r="C993" t="str">
            <v>CY0630</v>
          </cell>
        </row>
        <row r="994">
          <cell r="B994" t="str">
            <v>D7045020001</v>
          </cell>
          <cell r="C994" t="str">
            <v>CY0631</v>
          </cell>
        </row>
        <row r="995">
          <cell r="B995" t="str">
            <v>D7045030005</v>
          </cell>
          <cell r="C995" t="str">
            <v>CY0632</v>
          </cell>
        </row>
        <row r="996">
          <cell r="B996" t="str">
            <v>D7045030009</v>
          </cell>
          <cell r="C996" t="str">
            <v>CY0633</v>
          </cell>
        </row>
        <row r="997">
          <cell r="B997" t="str">
            <v>D7050010001</v>
          </cell>
          <cell r="C997" t="str">
            <v>CY0634</v>
          </cell>
        </row>
        <row r="998">
          <cell r="B998" t="str">
            <v>D7050010005</v>
          </cell>
          <cell r="C998" t="str">
            <v>CY0635</v>
          </cell>
        </row>
        <row r="999">
          <cell r="B999" t="str">
            <v>D7050020001</v>
          </cell>
          <cell r="C999" t="str">
            <v>CY0636</v>
          </cell>
        </row>
        <row r="1000">
          <cell r="B1000" t="str">
            <v>D7050020005</v>
          </cell>
          <cell r="C1000" t="str">
            <v>CY0637</v>
          </cell>
        </row>
        <row r="1001">
          <cell r="B1001" t="str">
            <v>D7050030009</v>
          </cell>
          <cell r="C1001" t="str">
            <v>CY0638</v>
          </cell>
        </row>
        <row r="1002">
          <cell r="B1002" t="str">
            <v>D7055020000</v>
          </cell>
          <cell r="C1002" t="str">
            <v>CY0639</v>
          </cell>
        </row>
        <row r="1003">
          <cell r="B1003" t="str">
            <v>D7060005000</v>
          </cell>
          <cell r="C1003" t="str">
            <v>CY0640</v>
          </cell>
        </row>
        <row r="1004">
          <cell r="B1004" t="str">
            <v>D7060010000</v>
          </cell>
          <cell r="C1004" t="str">
            <v>CY0641</v>
          </cell>
        </row>
        <row r="1005">
          <cell r="B1005" t="str">
            <v>D7060015000</v>
          </cell>
          <cell r="C1005" t="str">
            <v>CY0642</v>
          </cell>
        </row>
        <row r="1006">
          <cell r="B1006" t="str">
            <v>D7060020000</v>
          </cell>
          <cell r="C1006" t="str">
            <v>CY0643</v>
          </cell>
        </row>
        <row r="1007">
          <cell r="B1007" t="str">
            <v>D7210005000</v>
          </cell>
          <cell r="C1007" t="str">
            <v>CY0644</v>
          </cell>
        </row>
        <row r="1008">
          <cell r="B1008" t="str">
            <v>D7210025000</v>
          </cell>
          <cell r="C1008" t="str">
            <v>CY0645</v>
          </cell>
        </row>
        <row r="1009">
          <cell r="B1009" t="str">
            <v>M1010010001</v>
          </cell>
          <cell r="C1009" t="str">
            <v>CY0646</v>
          </cell>
        </row>
        <row r="1010">
          <cell r="B1010" t="str">
            <v>M1010010005</v>
          </cell>
          <cell r="C1010" t="str">
            <v>CY0976</v>
          </cell>
        </row>
        <row r="1011">
          <cell r="B1011" t="str">
            <v>M1010010009</v>
          </cell>
          <cell r="C1011" t="str">
            <v>CY0647</v>
          </cell>
        </row>
        <row r="1012">
          <cell r="B1012" t="str">
            <v>M1010010013</v>
          </cell>
          <cell r="C1012" t="str">
            <v>CY0648</v>
          </cell>
        </row>
        <row r="1013">
          <cell r="B1013" t="str">
            <v>M1010020005</v>
          </cell>
          <cell r="C1013" t="str">
            <v>CY0977</v>
          </cell>
        </row>
        <row r="1014">
          <cell r="B1014" t="str">
            <v>M1010020009</v>
          </cell>
          <cell r="C1014" t="str">
            <v>CY0649</v>
          </cell>
        </row>
        <row r="1015">
          <cell r="B1015" t="str">
            <v>M1010030005</v>
          </cell>
          <cell r="C1015" t="str">
            <v>CY0978</v>
          </cell>
        </row>
        <row r="1016">
          <cell r="B1016" t="str">
            <v>M1010030009</v>
          </cell>
          <cell r="C1016" t="str">
            <v>CY0650</v>
          </cell>
        </row>
        <row r="1017">
          <cell r="B1017" t="str">
            <v>M1010040009</v>
          </cell>
          <cell r="C1017" t="str">
            <v>CY0651</v>
          </cell>
        </row>
        <row r="1018">
          <cell r="B1018" t="str">
            <v>M1010050001</v>
          </cell>
          <cell r="C1018" t="str">
            <v>CY0979</v>
          </cell>
        </row>
        <row r="1019">
          <cell r="B1019" t="str">
            <v>M1010050005</v>
          </cell>
          <cell r="C1019" t="str">
            <v>CY0652</v>
          </cell>
        </row>
        <row r="1020">
          <cell r="B1020" t="str">
            <v>M1010060005</v>
          </cell>
          <cell r="C1020" t="str">
            <v>CY0653</v>
          </cell>
        </row>
        <row r="1021">
          <cell r="B1021" t="str">
            <v>M1010080009</v>
          </cell>
          <cell r="C1021" t="str">
            <v>CY0654</v>
          </cell>
        </row>
        <row r="1022">
          <cell r="B1022" t="str">
            <v>M1010080013</v>
          </cell>
          <cell r="C1022" t="str">
            <v>CY0655</v>
          </cell>
        </row>
        <row r="1023">
          <cell r="B1023" t="str">
            <v>M1010100005</v>
          </cell>
          <cell r="C1023" t="str">
            <v>CY0656</v>
          </cell>
        </row>
        <row r="1024">
          <cell r="B1024" t="str">
            <v>M1010100009</v>
          </cell>
          <cell r="C1024" t="str">
            <v>CY0980</v>
          </cell>
        </row>
        <row r="1025">
          <cell r="B1025" t="str">
            <v>M1010100013</v>
          </cell>
          <cell r="C1025" t="str">
            <v>CY0657</v>
          </cell>
        </row>
        <row r="1026">
          <cell r="B1026" t="str">
            <v>M1010110005</v>
          </cell>
          <cell r="C1026" t="str">
            <v>CY0658</v>
          </cell>
        </row>
        <row r="1027">
          <cell r="B1027" t="str">
            <v>M1010130001</v>
          </cell>
          <cell r="C1027" t="str">
            <v>CY0981</v>
          </cell>
        </row>
        <row r="1028">
          <cell r="B1028" t="str">
            <v>M1010130005</v>
          </cell>
          <cell r="C1028" t="str">
            <v>CY0659</v>
          </cell>
        </row>
        <row r="1029">
          <cell r="B1029" t="str">
            <v>M1010180001</v>
          </cell>
          <cell r="C1029" t="str">
            <v>CY0079</v>
          </cell>
        </row>
        <row r="1030">
          <cell r="B1030" t="str">
            <v>M1010190001</v>
          </cell>
          <cell r="C1030" t="str">
            <v>CY0661</v>
          </cell>
        </row>
        <row r="1031">
          <cell r="B1031" t="str">
            <v>M1010190005</v>
          </cell>
          <cell r="C1031" t="str">
            <v>CY0662</v>
          </cell>
        </row>
        <row r="1032">
          <cell r="B1032" t="str">
            <v>M1010210001</v>
          </cell>
          <cell r="C1032" t="str">
            <v>CY0663</v>
          </cell>
        </row>
        <row r="1033">
          <cell r="B1033" t="str">
            <v>M1010210005</v>
          </cell>
          <cell r="C1033" t="str">
            <v>CY0846</v>
          </cell>
        </row>
        <row r="1034">
          <cell r="B1034" t="str">
            <v>M1010220001</v>
          </cell>
          <cell r="C1034" t="str">
            <v>CY0664</v>
          </cell>
        </row>
        <row r="1035">
          <cell r="B1035" t="str">
            <v>M1010240005</v>
          </cell>
          <cell r="C1035" t="str">
            <v>CY0665</v>
          </cell>
        </row>
        <row r="1036">
          <cell r="B1036" t="str">
            <v>M1010240013</v>
          </cell>
          <cell r="C1036" t="str">
            <v>CY0982</v>
          </cell>
        </row>
        <row r="1037">
          <cell r="B1037" t="str">
            <v>M1010240017</v>
          </cell>
          <cell r="C1037" t="str">
            <v>CY0666</v>
          </cell>
        </row>
        <row r="1038">
          <cell r="B1038" t="str">
            <v>M1010250001</v>
          </cell>
          <cell r="C1038" t="str">
            <v>CY0667</v>
          </cell>
        </row>
        <row r="1039">
          <cell r="B1039" t="str">
            <v>M1010260001</v>
          </cell>
          <cell r="C1039" t="str">
            <v>CY0847</v>
          </cell>
        </row>
        <row r="1040">
          <cell r="B1040" t="str">
            <v>M1010290001</v>
          </cell>
          <cell r="C1040" t="str">
            <v>CY0848</v>
          </cell>
        </row>
        <row r="1041">
          <cell r="B1041" t="str">
            <v>M1010320001</v>
          </cell>
          <cell r="C1041" t="str">
            <v>CY0668</v>
          </cell>
        </row>
        <row r="1042">
          <cell r="B1042" t="str">
            <v>M1010330005</v>
          </cell>
          <cell r="C1042" t="str">
            <v>CY0849</v>
          </cell>
        </row>
        <row r="1043">
          <cell r="B1043" t="str">
            <v>M1010340001</v>
          </cell>
          <cell r="C1043" t="str">
            <v>CY0669</v>
          </cell>
        </row>
        <row r="1044">
          <cell r="B1044" t="str">
            <v>M1010340009</v>
          </cell>
          <cell r="C1044" t="str">
            <v>CY0850</v>
          </cell>
        </row>
        <row r="1045">
          <cell r="B1045" t="str">
            <v>M1010380001</v>
          </cell>
          <cell r="C1045" t="str">
            <v>CY0670</v>
          </cell>
        </row>
        <row r="1046">
          <cell r="B1046" t="str">
            <v>M1010380005</v>
          </cell>
          <cell r="C1046" t="str">
            <v>CY0671</v>
          </cell>
        </row>
        <row r="1047">
          <cell r="B1047" t="str">
            <v>M1010380009</v>
          </cell>
          <cell r="C1047" t="str">
            <v>CY0672</v>
          </cell>
        </row>
        <row r="1048">
          <cell r="B1048" t="str">
            <v>M1010390001</v>
          </cell>
          <cell r="C1048" t="str">
            <v>CY0673</v>
          </cell>
        </row>
        <row r="1049">
          <cell r="B1049" t="str">
            <v>M1010420005</v>
          </cell>
          <cell r="C1049" t="str">
            <v>CY0427</v>
          </cell>
        </row>
        <row r="1050">
          <cell r="B1050" t="str">
            <v>M1010480001</v>
          </cell>
          <cell r="C1050" t="str">
            <v>CY0674</v>
          </cell>
        </row>
        <row r="1051">
          <cell r="B1051" t="str">
            <v>M1010490001</v>
          </cell>
          <cell r="C1051" t="str">
            <v>CY0675</v>
          </cell>
        </row>
        <row r="1052">
          <cell r="B1052" t="str">
            <v>M1010530001</v>
          </cell>
          <cell r="C1052" t="str">
            <v>CY0676</v>
          </cell>
        </row>
        <row r="1053">
          <cell r="B1053" t="str">
            <v>M1010540001</v>
          </cell>
          <cell r="C1053" t="str">
            <v>CY0677</v>
          </cell>
        </row>
        <row r="1054">
          <cell r="B1054" t="str">
            <v>M1010560001</v>
          </cell>
          <cell r="C1054" t="str">
            <v>CY0983</v>
          </cell>
        </row>
        <row r="1055">
          <cell r="B1055" t="str">
            <v>M1010560005</v>
          </cell>
          <cell r="C1055" t="str">
            <v>CY0678</v>
          </cell>
        </row>
        <row r="1056">
          <cell r="B1056" t="str">
            <v>M1010570001</v>
          </cell>
          <cell r="C1056" t="str">
            <v>CY0679</v>
          </cell>
        </row>
        <row r="1057">
          <cell r="B1057" t="str">
            <v>M1010580001</v>
          </cell>
          <cell r="C1057" t="str">
            <v>CY0680</v>
          </cell>
        </row>
        <row r="1058">
          <cell r="B1058" t="str">
            <v>M1010580005</v>
          </cell>
          <cell r="C1058" t="str">
            <v>CY0681</v>
          </cell>
        </row>
        <row r="1059">
          <cell r="B1059" t="str">
            <v>M1010590005</v>
          </cell>
          <cell r="C1059" t="str">
            <v>CY0682</v>
          </cell>
        </row>
        <row r="1060">
          <cell r="B1060" t="str">
            <v>M1010600001</v>
          </cell>
          <cell r="C1060" t="str">
            <v>CY0683</v>
          </cell>
        </row>
        <row r="1061">
          <cell r="B1061" t="str">
            <v>M1010640001</v>
          </cell>
          <cell r="C1061" t="str">
            <v>CY0684</v>
          </cell>
        </row>
        <row r="1062">
          <cell r="B1062" t="str">
            <v>M1010710001</v>
          </cell>
          <cell r="C1062" t="str">
            <v>CY0685</v>
          </cell>
        </row>
        <row r="1063">
          <cell r="B1063" t="str">
            <v>M1010710005</v>
          </cell>
          <cell r="C1063" t="str">
            <v>CY0686</v>
          </cell>
        </row>
        <row r="1064">
          <cell r="B1064" t="str">
            <v>M1010830009</v>
          </cell>
          <cell r="C1064" t="str">
            <v>CY0687</v>
          </cell>
        </row>
        <row r="1065">
          <cell r="B1065" t="str">
            <v>M1020090001</v>
          </cell>
          <cell r="C1065" t="str">
            <v>CY0688</v>
          </cell>
        </row>
        <row r="1066">
          <cell r="B1066" t="str">
            <v>M1030060001</v>
          </cell>
          <cell r="C1066" t="str">
            <v>CY0689</v>
          </cell>
        </row>
        <row r="1067">
          <cell r="B1067" t="str">
            <v>M1030060005</v>
          </cell>
          <cell r="C1067" t="str">
            <v>CY0690</v>
          </cell>
        </row>
        <row r="1068">
          <cell r="B1068" t="str">
            <v>M1030060009</v>
          </cell>
          <cell r="C1068" t="str">
            <v>CY0691</v>
          </cell>
        </row>
        <row r="1069">
          <cell r="B1069" t="str">
            <v>M1030060013</v>
          </cell>
          <cell r="C1069" t="str">
            <v>CY0692</v>
          </cell>
        </row>
        <row r="1070">
          <cell r="B1070" t="str">
            <v>M1030060017</v>
          </cell>
          <cell r="C1070" t="str">
            <v>CY0693</v>
          </cell>
        </row>
        <row r="1071">
          <cell r="B1071" t="str">
            <v>M1030060021</v>
          </cell>
          <cell r="C1071" t="str">
            <v>CY0694</v>
          </cell>
        </row>
        <row r="1072">
          <cell r="B1072" t="str">
            <v>M1030110001</v>
          </cell>
          <cell r="C1072" t="str">
            <v>CY0695</v>
          </cell>
        </row>
        <row r="1073">
          <cell r="B1073" t="str">
            <v>M1030120001</v>
          </cell>
          <cell r="C1073" t="str">
            <v>CY0984</v>
          </cell>
        </row>
        <row r="1074">
          <cell r="B1074" t="str">
            <v>M1030120005</v>
          </cell>
          <cell r="C1074" t="str">
            <v>CY0696</v>
          </cell>
        </row>
        <row r="1075">
          <cell r="B1075" t="str">
            <v>M1030140001</v>
          </cell>
          <cell r="C1075" t="str">
            <v>CY0697</v>
          </cell>
        </row>
        <row r="1076">
          <cell r="B1076" t="str">
            <v>M1030150001</v>
          </cell>
          <cell r="C1076" t="str">
            <v>CY0086</v>
          </cell>
        </row>
        <row r="1077">
          <cell r="B1077" t="str">
            <v>M1030160001</v>
          </cell>
          <cell r="C1077" t="str">
            <v>CY0087</v>
          </cell>
        </row>
        <row r="1078">
          <cell r="B1078" t="str">
            <v>M1030170001</v>
          </cell>
          <cell r="C1078" t="str">
            <v>CY0088</v>
          </cell>
        </row>
        <row r="1079">
          <cell r="B1079" t="str">
            <v>M1030180001</v>
          </cell>
          <cell r="C1079" t="str">
            <v>CY0089</v>
          </cell>
        </row>
        <row r="1080">
          <cell r="B1080" t="str">
            <v>M1030190001</v>
          </cell>
          <cell r="C1080" t="str">
            <v>CY0422</v>
          </cell>
        </row>
        <row r="1081">
          <cell r="B1081" t="str">
            <v>M1040330005</v>
          </cell>
          <cell r="C1081" t="str">
            <v>CY0985</v>
          </cell>
        </row>
        <row r="1082">
          <cell r="B1082" t="str">
            <v>M1040330013</v>
          </cell>
          <cell r="C1082" t="str">
            <v>CY0698</v>
          </cell>
        </row>
        <row r="1083">
          <cell r="B1083" t="str">
            <v>M1040340001</v>
          </cell>
          <cell r="C1083" t="str">
            <v>CY0986</v>
          </cell>
        </row>
        <row r="1084">
          <cell r="B1084" t="str">
            <v>M1040340005</v>
          </cell>
          <cell r="C1084" t="str">
            <v>CY0699</v>
          </cell>
        </row>
        <row r="1085">
          <cell r="B1085" t="str">
            <v>M1040340009</v>
          </cell>
          <cell r="C1085" t="str">
            <v>CY0700</v>
          </cell>
        </row>
        <row r="1086">
          <cell r="B1086" t="str">
            <v>M1050020013</v>
          </cell>
          <cell r="C1086" t="str">
            <v>CY0701</v>
          </cell>
        </row>
        <row r="1087">
          <cell r="B1087" t="str">
            <v>M1050020017</v>
          </cell>
          <cell r="C1087" t="str">
            <v>CY0702</v>
          </cell>
        </row>
        <row r="1088">
          <cell r="B1088" t="str">
            <v>M1050060001</v>
          </cell>
          <cell r="C1088" t="str">
            <v>CY0703</v>
          </cell>
        </row>
        <row r="1089">
          <cell r="B1089" t="str">
            <v>M5510010009</v>
          </cell>
          <cell r="C1089" t="str">
            <v>CY0851</v>
          </cell>
        </row>
        <row r="1090">
          <cell r="B1090" t="str">
            <v>M5510020001</v>
          </cell>
          <cell r="C1090" t="str">
            <v>CY0852</v>
          </cell>
        </row>
        <row r="1091">
          <cell r="B1091" t="str">
            <v>M5510020005</v>
          </cell>
          <cell r="C1091" t="str">
            <v>CY0987</v>
          </cell>
        </row>
        <row r="1092">
          <cell r="B1092" t="str">
            <v>M5510020009</v>
          </cell>
          <cell r="C1092" t="str">
            <v>CY0853</v>
          </cell>
        </row>
        <row r="1093">
          <cell r="B1093" t="str">
            <v>M5510030005</v>
          </cell>
          <cell r="C1093" t="str">
            <v>CY0854</v>
          </cell>
        </row>
        <row r="1094">
          <cell r="B1094" t="str">
            <v>M5510030009</v>
          </cell>
          <cell r="C1094" t="str">
            <v>CY0855</v>
          </cell>
        </row>
        <row r="1095">
          <cell r="B1095" t="str">
            <v>M5510080001</v>
          </cell>
          <cell r="C1095" t="str">
            <v>CY0712</v>
          </cell>
        </row>
        <row r="1096">
          <cell r="B1096" t="str">
            <v>M5510080009</v>
          </cell>
          <cell r="C1096" t="str">
            <v>CY0713</v>
          </cell>
        </row>
        <row r="1097">
          <cell r="B1097" t="str">
            <v>M5510090009</v>
          </cell>
          <cell r="C1097" t="str">
            <v>CY0856</v>
          </cell>
        </row>
        <row r="1098">
          <cell r="B1098" t="str">
            <v>M5510100005</v>
          </cell>
          <cell r="C1098" t="str">
            <v>CY0714</v>
          </cell>
        </row>
        <row r="1099">
          <cell r="B1099" t="str">
            <v>M5510100009</v>
          </cell>
          <cell r="C1099" t="str">
            <v>CY0715</v>
          </cell>
        </row>
        <row r="1100">
          <cell r="B1100" t="str">
            <v>M5510100013</v>
          </cell>
          <cell r="C1100" t="str">
            <v>CY0716</v>
          </cell>
        </row>
        <row r="1101">
          <cell r="B1101" t="str">
            <v>M5510120005</v>
          </cell>
          <cell r="C1101" t="str">
            <v>CY0717</v>
          </cell>
        </row>
        <row r="1102">
          <cell r="B1102" t="str">
            <v>M5510120009</v>
          </cell>
          <cell r="C1102" t="str">
            <v>CY0718</v>
          </cell>
        </row>
        <row r="1103">
          <cell r="B1103" t="str">
            <v>M5510140009</v>
          </cell>
          <cell r="C1103" t="str">
            <v>CY0857</v>
          </cell>
        </row>
        <row r="1104">
          <cell r="B1104" t="str">
            <v>M5510150001</v>
          </cell>
          <cell r="C1104" t="str">
            <v>CY0858</v>
          </cell>
        </row>
        <row r="1105">
          <cell r="B1105" t="str">
            <v>M5510150005</v>
          </cell>
          <cell r="C1105" t="str">
            <v>CY0859</v>
          </cell>
        </row>
        <row r="1106">
          <cell r="B1106" t="str">
            <v>M5510150009</v>
          </cell>
          <cell r="C1106" t="str">
            <v>CY0719</v>
          </cell>
        </row>
        <row r="1107">
          <cell r="B1107" t="str">
            <v>M5520010009</v>
          </cell>
          <cell r="C1107" t="str">
            <v>CY0720</v>
          </cell>
        </row>
        <row r="1108">
          <cell r="B1108" t="str">
            <v>M5520030001</v>
          </cell>
          <cell r="C1108" t="str">
            <v>CY0721</v>
          </cell>
        </row>
        <row r="1109">
          <cell r="B1109" t="str">
            <v>M5520040009</v>
          </cell>
          <cell r="C1109" t="str">
            <v>CY0722</v>
          </cell>
        </row>
        <row r="1110">
          <cell r="B1110" t="str">
            <v>M6010010009</v>
          </cell>
          <cell r="C1110" t="str">
            <v>CY0723</v>
          </cell>
        </row>
        <row r="1111">
          <cell r="B1111" t="str">
            <v>M6010010013</v>
          </cell>
          <cell r="C1111" t="str">
            <v>CY0988</v>
          </cell>
        </row>
        <row r="1112">
          <cell r="B1112" t="str">
            <v>M6010010017</v>
          </cell>
          <cell r="C1112" t="str">
            <v>CY0989</v>
          </cell>
        </row>
        <row r="1113">
          <cell r="B1113" t="str">
            <v>M6010020005</v>
          </cell>
          <cell r="C1113" t="str">
            <v>CY0404</v>
          </cell>
        </row>
        <row r="1114">
          <cell r="B1114" t="str">
            <v>M6010020009</v>
          </cell>
          <cell r="C1114" t="str">
            <v>CY0405</v>
          </cell>
        </row>
        <row r="1115">
          <cell r="B1115" t="str">
            <v>M6010020013</v>
          </cell>
          <cell r="C1115" t="str">
            <v>CY0860</v>
          </cell>
        </row>
        <row r="1116">
          <cell r="B1116" t="str">
            <v>M6010020017</v>
          </cell>
          <cell r="C1116" t="str">
            <v>CY0442</v>
          </cell>
        </row>
        <row r="1117">
          <cell r="B1117" t="str">
            <v>M6010030001</v>
          </cell>
          <cell r="C1117" t="str">
            <v>CY0990</v>
          </cell>
        </row>
        <row r="1118">
          <cell r="B1118" t="str">
            <v>M6010030005</v>
          </cell>
          <cell r="C1118" t="str">
            <v>CY0861</v>
          </cell>
        </row>
        <row r="1119">
          <cell r="B1119" t="str">
            <v>M6010030009</v>
          </cell>
          <cell r="C1119" t="str">
            <v>CY0991</v>
          </cell>
        </row>
        <row r="1120">
          <cell r="B1120" t="str">
            <v>M6010030013</v>
          </cell>
          <cell r="C1120" t="str">
            <v>CY0443</v>
          </cell>
        </row>
        <row r="1121">
          <cell r="B1121" t="str">
            <v>M6010030017</v>
          </cell>
          <cell r="C1121" t="str">
            <v>CY0992</v>
          </cell>
        </row>
        <row r="1122">
          <cell r="B1122" t="str">
            <v>M6010030021</v>
          </cell>
          <cell r="C1122" t="str">
            <v>CY0444</v>
          </cell>
        </row>
        <row r="1123">
          <cell r="B1123" t="str">
            <v>M6010030025</v>
          </cell>
          <cell r="C1123" t="str">
            <v>CY0993</v>
          </cell>
        </row>
        <row r="1124">
          <cell r="B1124" t="str">
            <v>M6010030029</v>
          </cell>
          <cell r="C1124" t="str">
            <v>CY0862</v>
          </cell>
        </row>
        <row r="1125">
          <cell r="B1125" t="str">
            <v>M6010030033</v>
          </cell>
          <cell r="C1125" t="str">
            <v>CY0994</v>
          </cell>
        </row>
        <row r="1126">
          <cell r="B1126" t="str">
            <v>M6010030037</v>
          </cell>
          <cell r="C1126" t="str">
            <v>CY0995</v>
          </cell>
        </row>
        <row r="1127">
          <cell r="B1127" t="str">
            <v>M6010030041</v>
          </cell>
          <cell r="C1127" t="str">
            <v>CY0445</v>
          </cell>
        </row>
        <row r="1128">
          <cell r="B1128" t="str">
            <v>M6010040009</v>
          </cell>
          <cell r="C1128" t="str">
            <v>CY0863</v>
          </cell>
        </row>
        <row r="1129">
          <cell r="B1129" t="str">
            <v>M6010040029</v>
          </cell>
          <cell r="C1129" t="str">
            <v>CY0864</v>
          </cell>
        </row>
        <row r="1130">
          <cell r="B1130" t="str">
            <v>M6010050005</v>
          </cell>
          <cell r="C1130" t="str">
            <v>CY0996</v>
          </cell>
        </row>
        <row r="1131">
          <cell r="B1131" t="str">
            <v>M6010050009</v>
          </cell>
          <cell r="C1131" t="str">
            <v>CY0724</v>
          </cell>
        </row>
        <row r="1132">
          <cell r="B1132" t="str">
            <v>M6010050013</v>
          </cell>
          <cell r="C1132" t="str">
            <v>CY0997</v>
          </cell>
        </row>
        <row r="1133">
          <cell r="B1133" t="str">
            <v>M6010050017</v>
          </cell>
          <cell r="C1133" t="str">
            <v>CY0725</v>
          </cell>
        </row>
        <row r="1134">
          <cell r="B1134" t="str">
            <v>M6010070017</v>
          </cell>
          <cell r="C1134" t="str">
            <v>CY0454</v>
          </cell>
        </row>
        <row r="1135">
          <cell r="B1135" t="str">
            <v>M6010080009</v>
          </cell>
          <cell r="C1135" t="str">
            <v>CY0446</v>
          </cell>
        </row>
        <row r="1136">
          <cell r="B1136" t="str">
            <v>M6010080017</v>
          </cell>
          <cell r="C1136" t="str">
            <v>CY0447</v>
          </cell>
        </row>
        <row r="1137">
          <cell r="B1137" t="str">
            <v>M6010100001</v>
          </cell>
          <cell r="C1137" t="str">
            <v>CY0726</v>
          </cell>
        </row>
        <row r="1138">
          <cell r="B1138" t="str">
            <v>M6010100005</v>
          </cell>
          <cell r="C1138" t="str">
            <v>CY0998</v>
          </cell>
        </row>
        <row r="1139">
          <cell r="B1139" t="str">
            <v>M6010100009</v>
          </cell>
          <cell r="C1139" t="str">
            <v>CY0727</v>
          </cell>
        </row>
        <row r="1140">
          <cell r="B1140" t="str">
            <v>M6010100017</v>
          </cell>
          <cell r="C1140" t="str">
            <v>CY0728</v>
          </cell>
        </row>
        <row r="1141">
          <cell r="B1141" t="str">
            <v>M6010100025</v>
          </cell>
          <cell r="C1141" t="str">
            <v>CY0865</v>
          </cell>
        </row>
        <row r="1142">
          <cell r="B1142" t="str">
            <v>M6010100033</v>
          </cell>
          <cell r="C1142" t="str">
            <v>CY0729</v>
          </cell>
        </row>
        <row r="1143">
          <cell r="B1143" t="str">
            <v>M6010100041</v>
          </cell>
          <cell r="C1143" t="str">
            <v>CY0866</v>
          </cell>
        </row>
        <row r="1144">
          <cell r="B1144" t="str">
            <v>M6010110001</v>
          </cell>
          <cell r="C1144" t="str">
            <v>CY0730</v>
          </cell>
        </row>
        <row r="1145">
          <cell r="B1145" t="str">
            <v>M6010110005</v>
          </cell>
          <cell r="C1145" t="str">
            <v>CY0999</v>
          </cell>
        </row>
        <row r="1146">
          <cell r="B1146" t="str">
            <v>M6010110009</v>
          </cell>
          <cell r="C1146" t="str">
            <v>CY0731</v>
          </cell>
        </row>
        <row r="1147">
          <cell r="B1147" t="str">
            <v>M6010110013</v>
          </cell>
          <cell r="C1147" t="str">
            <v>CY1000</v>
          </cell>
        </row>
        <row r="1148">
          <cell r="B1148" t="str">
            <v>M6010110017</v>
          </cell>
          <cell r="C1148" t="str">
            <v>CY0732</v>
          </cell>
        </row>
        <row r="1149">
          <cell r="B1149" t="str">
            <v>M6010110021</v>
          </cell>
          <cell r="C1149" t="str">
            <v>CY1001</v>
          </cell>
        </row>
        <row r="1150">
          <cell r="B1150" t="str">
            <v>M6010110025</v>
          </cell>
          <cell r="C1150" t="str">
            <v>CY0867</v>
          </cell>
        </row>
        <row r="1151">
          <cell r="B1151" t="str">
            <v>M6010110033</v>
          </cell>
          <cell r="C1151" t="str">
            <v>CY0733</v>
          </cell>
        </row>
        <row r="1152">
          <cell r="B1152" t="str">
            <v>M6010120009</v>
          </cell>
          <cell r="C1152" t="str">
            <v>CY0448</v>
          </cell>
        </row>
        <row r="1153">
          <cell r="B1153" t="str">
            <v>M6010120013</v>
          </cell>
          <cell r="C1153" t="str">
            <v>CY1002</v>
          </cell>
        </row>
        <row r="1154">
          <cell r="B1154" t="str">
            <v>M6010120017</v>
          </cell>
          <cell r="C1154" t="str">
            <v>CY1003</v>
          </cell>
        </row>
        <row r="1155">
          <cell r="B1155" t="str">
            <v>M6010130001</v>
          </cell>
          <cell r="C1155" t="str">
            <v>CY0455</v>
          </cell>
        </row>
        <row r="1156">
          <cell r="B1156" t="str">
            <v>M6010130005</v>
          </cell>
          <cell r="C1156" t="str">
            <v>CY1004</v>
          </cell>
        </row>
        <row r="1157">
          <cell r="B1157" t="str">
            <v>M6010130009</v>
          </cell>
          <cell r="C1157" t="str">
            <v>CY0456</v>
          </cell>
        </row>
        <row r="1158">
          <cell r="B1158" t="str">
            <v>M6010130013</v>
          </cell>
          <cell r="C1158" t="str">
            <v>CY1005</v>
          </cell>
        </row>
        <row r="1159">
          <cell r="B1159" t="str">
            <v>M6010130017</v>
          </cell>
          <cell r="C1159" t="str">
            <v>CY0453</v>
          </cell>
        </row>
        <row r="1160">
          <cell r="B1160" t="str">
            <v>M6010140009</v>
          </cell>
          <cell r="C1160" t="str">
            <v>CY0457</v>
          </cell>
        </row>
        <row r="1161">
          <cell r="B1161" t="str">
            <v>M6010150001</v>
          </cell>
          <cell r="C1161" t="str">
            <v>CY0451</v>
          </cell>
        </row>
        <row r="1162">
          <cell r="B1162" t="str">
            <v>M6010150009</v>
          </cell>
          <cell r="C1162" t="str">
            <v>CY0452</v>
          </cell>
        </row>
        <row r="1163">
          <cell r="B1163" t="str">
            <v>M6010180013</v>
          </cell>
          <cell r="C1163" t="str">
            <v>CY0449</v>
          </cell>
        </row>
        <row r="1164">
          <cell r="B1164" t="str">
            <v>M6010180017</v>
          </cell>
          <cell r="C1164" t="str">
            <v>CY0450</v>
          </cell>
        </row>
        <row r="1165">
          <cell r="B1165" t="str">
            <v>M6010280001</v>
          </cell>
          <cell r="C1165" t="str">
            <v>CY0734</v>
          </cell>
        </row>
        <row r="1166">
          <cell r="B1166" t="str">
            <v>M6010280005</v>
          </cell>
          <cell r="C1166" t="str">
            <v>CY0735</v>
          </cell>
        </row>
        <row r="1167">
          <cell r="B1167" t="str">
            <v>M6010280009</v>
          </cell>
          <cell r="C1167" t="str">
            <v>CY0736</v>
          </cell>
        </row>
        <row r="1168">
          <cell r="B1168" t="str">
            <v>M6010340001</v>
          </cell>
          <cell r="C1168" t="str">
            <v>CY0737</v>
          </cell>
        </row>
        <row r="1169">
          <cell r="B1169" t="str">
            <v>M6010340005</v>
          </cell>
          <cell r="C1169" t="str">
            <v>CY0738</v>
          </cell>
        </row>
        <row r="1170">
          <cell r="B1170" t="str">
            <v>M6010340009</v>
          </cell>
          <cell r="C1170" t="str">
            <v>CY1006</v>
          </cell>
        </row>
        <row r="1171">
          <cell r="B1171" t="str">
            <v>M6010340013</v>
          </cell>
          <cell r="C1171" t="str">
            <v>CY0739</v>
          </cell>
        </row>
        <row r="1172">
          <cell r="B1172" t="str">
            <v>M6010340017</v>
          </cell>
          <cell r="C1172" t="str">
            <v>CY1007</v>
          </cell>
        </row>
        <row r="1173">
          <cell r="B1173" t="str">
            <v>M6010340021</v>
          </cell>
          <cell r="C1173" t="str">
            <v>CY0740</v>
          </cell>
        </row>
        <row r="1174">
          <cell r="B1174" t="str">
            <v>M6010340029</v>
          </cell>
          <cell r="C1174" t="str">
            <v>CY0741</v>
          </cell>
        </row>
        <row r="1175">
          <cell r="B1175" t="str">
            <v>M6010340037</v>
          </cell>
          <cell r="C1175" t="str">
            <v>CY0742</v>
          </cell>
        </row>
        <row r="1176">
          <cell r="B1176" t="str">
            <v>M6010350001</v>
          </cell>
          <cell r="C1176" t="str">
            <v>CY0743</v>
          </cell>
        </row>
        <row r="1177">
          <cell r="B1177" t="str">
            <v>M6010350005</v>
          </cell>
          <cell r="C1177" t="str">
            <v>CY0744</v>
          </cell>
        </row>
        <row r="1178">
          <cell r="B1178" t="str">
            <v>M6010350009</v>
          </cell>
          <cell r="C1178" t="str">
            <v>CY0745</v>
          </cell>
        </row>
        <row r="1179">
          <cell r="B1179" t="str">
            <v>M6010350013</v>
          </cell>
          <cell r="C1179" t="str">
            <v>CY1008</v>
          </cell>
        </row>
        <row r="1180">
          <cell r="B1180" t="str">
            <v>M6010350017</v>
          </cell>
          <cell r="C1180" t="str">
            <v>CY0746</v>
          </cell>
        </row>
        <row r="1181">
          <cell r="B1181" t="str">
            <v>M6010370001</v>
          </cell>
          <cell r="C1181" t="str">
            <v>CY0747</v>
          </cell>
        </row>
        <row r="1182">
          <cell r="B1182" t="str">
            <v>M6010370005</v>
          </cell>
          <cell r="C1182" t="str">
            <v>CY0748</v>
          </cell>
        </row>
        <row r="1183">
          <cell r="B1183" t="str">
            <v>M6010370009</v>
          </cell>
          <cell r="C1183" t="str">
            <v>CY1009</v>
          </cell>
        </row>
        <row r="1184">
          <cell r="B1184" t="str">
            <v>M6010370013</v>
          </cell>
          <cell r="C1184" t="str">
            <v>CY0749</v>
          </cell>
        </row>
        <row r="1185">
          <cell r="B1185" t="str">
            <v>M6010370017</v>
          </cell>
          <cell r="C1185" t="str">
            <v>CY0750</v>
          </cell>
        </row>
        <row r="1186">
          <cell r="B1186" t="str">
            <v>M6010410001</v>
          </cell>
          <cell r="C1186" t="str">
            <v>CY1010</v>
          </cell>
        </row>
        <row r="1187">
          <cell r="B1187" t="str">
            <v>M6010410005</v>
          </cell>
          <cell r="C1187" t="str">
            <v>CY0751</v>
          </cell>
        </row>
        <row r="1188">
          <cell r="B1188" t="str">
            <v>M6010410009</v>
          </cell>
          <cell r="C1188" t="str">
            <v>CY1011</v>
          </cell>
        </row>
        <row r="1189">
          <cell r="B1189" t="str">
            <v>M6010410013</v>
          </cell>
          <cell r="C1189" t="str">
            <v>CY0752</v>
          </cell>
        </row>
        <row r="1190">
          <cell r="B1190" t="str">
            <v>M6010420005</v>
          </cell>
          <cell r="C1190" t="str">
            <v>CY0753</v>
          </cell>
        </row>
        <row r="1191">
          <cell r="B1191" t="str">
            <v>M6010420009</v>
          </cell>
          <cell r="C1191" t="str">
            <v>CY0754</v>
          </cell>
        </row>
        <row r="1192">
          <cell r="B1192" t="str">
            <v>M6010420017</v>
          </cell>
          <cell r="C1192" t="str">
            <v>CY0755</v>
          </cell>
        </row>
        <row r="1193">
          <cell r="B1193" t="str">
            <v>M6010430013</v>
          </cell>
          <cell r="C1193" t="str">
            <v>CY0756</v>
          </cell>
        </row>
        <row r="1194">
          <cell r="B1194" t="str">
            <v>M6010430017</v>
          </cell>
          <cell r="C1194" t="str">
            <v>CY0757</v>
          </cell>
        </row>
        <row r="1195">
          <cell r="B1195" t="str">
            <v>M6010430021</v>
          </cell>
          <cell r="C1195" t="str">
            <v>CY0758</v>
          </cell>
        </row>
        <row r="1196">
          <cell r="B1196" t="str">
            <v>M6010530001</v>
          </cell>
          <cell r="C1196" t="str">
            <v>CY0759</v>
          </cell>
        </row>
        <row r="1197">
          <cell r="B1197" t="str">
            <v>M6010530005</v>
          </cell>
          <cell r="C1197" t="str">
            <v>CY1013</v>
          </cell>
        </row>
        <row r="1198">
          <cell r="B1198" t="str">
            <v>M6010530009</v>
          </cell>
          <cell r="C1198" t="str">
            <v>CY0760</v>
          </cell>
        </row>
        <row r="1199">
          <cell r="B1199" t="str">
            <v>M6010530013</v>
          </cell>
          <cell r="C1199" t="str">
            <v>CY1014</v>
          </cell>
        </row>
        <row r="1200">
          <cell r="B1200" t="str">
            <v>M6010530017</v>
          </cell>
          <cell r="C1200" t="str">
            <v>CY0761</v>
          </cell>
        </row>
        <row r="1201">
          <cell r="B1201" t="str">
            <v>M6010570001</v>
          </cell>
          <cell r="C1201" t="str">
            <v>CY1015</v>
          </cell>
        </row>
        <row r="1202">
          <cell r="B1202" t="str">
            <v>M6010570005</v>
          </cell>
          <cell r="C1202" t="str">
            <v>CY1016</v>
          </cell>
        </row>
        <row r="1203">
          <cell r="B1203" t="str">
            <v>M6010570009</v>
          </cell>
          <cell r="C1203" t="str">
            <v>CY1017</v>
          </cell>
        </row>
        <row r="1204">
          <cell r="B1204" t="str">
            <v>M6010570021</v>
          </cell>
          <cell r="C1204" t="str">
            <v>CY0762</v>
          </cell>
        </row>
        <row r="1205">
          <cell r="B1205" t="str">
            <v>M6010570025</v>
          </cell>
          <cell r="C1205" t="str">
            <v>CY1018</v>
          </cell>
        </row>
        <row r="1206">
          <cell r="B1206" t="str">
            <v>M6010570029</v>
          </cell>
          <cell r="C1206" t="str">
            <v>CY0763</v>
          </cell>
        </row>
        <row r="1207">
          <cell r="B1207" t="str">
            <v>M6010570033</v>
          </cell>
          <cell r="C1207" t="str">
            <v>CY1019</v>
          </cell>
        </row>
        <row r="1208">
          <cell r="B1208" t="str">
            <v>M6010570037</v>
          </cell>
          <cell r="C1208" t="str">
            <v>CY0764</v>
          </cell>
        </row>
        <row r="1209">
          <cell r="B1209" t="str">
            <v>M6010580009</v>
          </cell>
          <cell r="C1209" t="str">
            <v>CY0765</v>
          </cell>
        </row>
        <row r="1210">
          <cell r="B1210" t="str">
            <v>M6010580017</v>
          </cell>
          <cell r="C1210" t="str">
            <v>CY0766</v>
          </cell>
        </row>
        <row r="1211">
          <cell r="B1211" t="str">
            <v>M6010580001</v>
          </cell>
          <cell r="C1211" t="str">
            <v>CY1020</v>
          </cell>
        </row>
        <row r="1212">
          <cell r="B1212" t="str">
            <v>M6010580021</v>
          </cell>
          <cell r="C1212" t="str">
            <v>CY1021</v>
          </cell>
        </row>
        <row r="1213">
          <cell r="B1213" t="str">
            <v>M6010580025</v>
          </cell>
          <cell r="C1213" t="str">
            <v>CY0767</v>
          </cell>
        </row>
        <row r="1214">
          <cell r="B1214" t="str">
            <v>M6010580033</v>
          </cell>
          <cell r="C1214" t="str">
            <v>CY0768</v>
          </cell>
        </row>
        <row r="1215">
          <cell r="B1215" t="str">
            <v>M7510010001</v>
          </cell>
          <cell r="C1215" t="str">
            <v>CY0704</v>
          </cell>
        </row>
        <row r="1216">
          <cell r="B1216" t="str">
            <v>M7510010005</v>
          </cell>
          <cell r="C1216" t="str">
            <v>CY0705</v>
          </cell>
        </row>
        <row r="1217">
          <cell r="B1217" t="str">
            <v>M7510020001</v>
          </cell>
          <cell r="C1217" t="str">
            <v>CY0706</v>
          </cell>
        </row>
        <row r="1218">
          <cell r="B1218" t="str">
            <v>M7510020005</v>
          </cell>
          <cell r="C1218" t="str">
            <v>CY0707</v>
          </cell>
        </row>
        <row r="1219">
          <cell r="B1219" t="str">
            <v>M7510030001</v>
          </cell>
          <cell r="C1219" t="str">
            <v>CY0708</v>
          </cell>
        </row>
        <row r="1220">
          <cell r="B1220" t="str">
            <v>M7510030005</v>
          </cell>
          <cell r="C1220" t="str">
            <v>CY0709</v>
          </cell>
        </row>
        <row r="1221">
          <cell r="B1221" t="str">
            <v>M7510040005</v>
          </cell>
          <cell r="C1221" t="str">
            <v>CY0710</v>
          </cell>
        </row>
        <row r="1222">
          <cell r="B1222" t="str">
            <v>M7510050001</v>
          </cell>
          <cell r="C1222" t="str">
            <v>CY0711</v>
          </cell>
        </row>
        <row r="1223">
          <cell r="B1223" t="str">
            <v>M7510050013</v>
          </cell>
          <cell r="C1223" t="str">
            <v>CY0108</v>
          </cell>
        </row>
        <row r="1224">
          <cell r="B1224" t="str">
            <v>D1010010005</v>
          </cell>
          <cell r="C1224" t="str">
            <v>CY1022</v>
          </cell>
        </row>
        <row r="1225">
          <cell r="B1225" t="str">
            <v>D1010010009</v>
          </cell>
          <cell r="C1225" t="str">
            <v>CY0769</v>
          </cell>
        </row>
        <row r="1226">
          <cell r="B1226" t="str">
            <v>D1010020009</v>
          </cell>
          <cell r="C1226" t="str">
            <v>CY0770</v>
          </cell>
        </row>
        <row r="1227">
          <cell r="B1227" t="str">
            <v>D1010030009</v>
          </cell>
          <cell r="C1227" t="str">
            <v>CY0868</v>
          </cell>
        </row>
        <row r="1228">
          <cell r="B1228" t="str">
            <v>D1010050001</v>
          </cell>
          <cell r="C1228" t="str">
            <v>CY1023</v>
          </cell>
        </row>
        <row r="1229">
          <cell r="B1229" t="str">
            <v>D1010050005</v>
          </cell>
          <cell r="C1229" t="str">
            <v>CY0771</v>
          </cell>
        </row>
        <row r="1230">
          <cell r="B1230" t="str">
            <v>D1010060005</v>
          </cell>
          <cell r="C1230" t="str">
            <v>CY0869</v>
          </cell>
        </row>
        <row r="1231">
          <cell r="B1231" t="str">
            <v>D1010080009</v>
          </cell>
          <cell r="C1231" t="str">
            <v>CY0870</v>
          </cell>
        </row>
        <row r="1232">
          <cell r="B1232" t="str">
            <v>D1010100009</v>
          </cell>
          <cell r="C1232" t="str">
            <v>CY1024</v>
          </cell>
        </row>
        <row r="1233">
          <cell r="B1233" t="str">
            <v>D1010100013</v>
          </cell>
          <cell r="C1233" t="str">
            <v>CY0772</v>
          </cell>
        </row>
        <row r="1234">
          <cell r="B1234" t="str">
            <v>D1010110005</v>
          </cell>
          <cell r="C1234" t="str">
            <v>CY0871</v>
          </cell>
        </row>
        <row r="1235">
          <cell r="B1235" t="str">
            <v>D1010180001</v>
          </cell>
          <cell r="C1235" t="str">
            <v>CY0872</v>
          </cell>
        </row>
        <row r="1236">
          <cell r="B1236" t="str">
            <v>D1010190001</v>
          </cell>
          <cell r="C1236" t="str">
            <v>CY0773</v>
          </cell>
        </row>
        <row r="1237">
          <cell r="B1237" t="str">
            <v>D1010190005</v>
          </cell>
          <cell r="C1237" t="str">
            <v>CY0774</v>
          </cell>
        </row>
        <row r="1238">
          <cell r="B1238" t="str">
            <v>D1010220001</v>
          </cell>
          <cell r="C1238" t="str">
            <v>CY0873</v>
          </cell>
        </row>
        <row r="1239">
          <cell r="B1239" t="str">
            <v>D1010240005</v>
          </cell>
          <cell r="C1239" t="str">
            <v>CY0874</v>
          </cell>
        </row>
        <row r="1240">
          <cell r="B1240" t="str">
            <v>D1010240017</v>
          </cell>
          <cell r="C1240" t="str">
            <v>CY1025</v>
          </cell>
        </row>
        <row r="1241">
          <cell r="B1241" t="str">
            <v>D1010330005</v>
          </cell>
          <cell r="C1241" t="str">
            <v>CY0875</v>
          </cell>
        </row>
        <row r="1242">
          <cell r="B1242" t="str">
            <v>D1010380001</v>
          </cell>
          <cell r="C1242" t="str">
            <v>CY0775</v>
          </cell>
        </row>
        <row r="1243">
          <cell r="B1243" t="str">
            <v>D1010380005</v>
          </cell>
          <cell r="C1243" t="str">
            <v>CY0876</v>
          </cell>
        </row>
        <row r="1244">
          <cell r="B1244" t="str">
            <v>D1010420005</v>
          </cell>
          <cell r="C1244" t="str">
            <v>CY0776</v>
          </cell>
        </row>
        <row r="1245">
          <cell r="B1245" t="str">
            <v>D1010480001</v>
          </cell>
          <cell r="C1245" t="str">
            <v>CY0877</v>
          </cell>
        </row>
        <row r="1246">
          <cell r="B1246" t="str">
            <v>D1010490001</v>
          </cell>
          <cell r="C1246" t="str">
            <v>CY0878</v>
          </cell>
        </row>
        <row r="1247">
          <cell r="B1247" t="str">
            <v>D1010530001</v>
          </cell>
          <cell r="C1247" t="str">
            <v>CY1026</v>
          </cell>
        </row>
        <row r="1248">
          <cell r="B1248" t="str">
            <v>D1010560005</v>
          </cell>
          <cell r="C1248" t="str">
            <v>CY0777</v>
          </cell>
        </row>
        <row r="1249">
          <cell r="B1249" t="str">
            <v>D1010580001</v>
          </cell>
          <cell r="C1249" t="str">
            <v>CY0879</v>
          </cell>
        </row>
        <row r="1250">
          <cell r="B1250" t="str">
            <v>D1010580005</v>
          </cell>
          <cell r="C1250" t="str">
            <v>CY0778</v>
          </cell>
        </row>
        <row r="1251">
          <cell r="B1251" t="str">
            <v>D1010710001</v>
          </cell>
          <cell r="C1251" t="str">
            <v>CY0880</v>
          </cell>
        </row>
        <row r="1252">
          <cell r="B1252" t="str">
            <v>D1010710005</v>
          </cell>
          <cell r="C1252" t="str">
            <v>CY0881</v>
          </cell>
        </row>
        <row r="1253">
          <cell r="B1253" t="str">
            <v>D1020090001</v>
          </cell>
          <cell r="C1253" t="str">
            <v>CY0779</v>
          </cell>
        </row>
        <row r="1254">
          <cell r="B1254" t="str">
            <v>D1030060009</v>
          </cell>
          <cell r="C1254" t="str">
            <v>CY1027</v>
          </cell>
        </row>
        <row r="1255">
          <cell r="B1255" t="str">
            <v>D1030060017</v>
          </cell>
          <cell r="C1255" t="str">
            <v>CY0780</v>
          </cell>
        </row>
        <row r="1256">
          <cell r="B1256" t="str">
            <v>D1030060021</v>
          </cell>
          <cell r="C1256" t="str">
            <v>CY0781</v>
          </cell>
        </row>
        <row r="1257">
          <cell r="B1257" t="str">
            <v>D1030110001</v>
          </cell>
          <cell r="C1257" t="str">
            <v>CY0782</v>
          </cell>
        </row>
        <row r="1258">
          <cell r="B1258" t="str">
            <v>D1030120001</v>
          </cell>
          <cell r="C1258" t="str">
            <v>CY1028</v>
          </cell>
        </row>
        <row r="1259">
          <cell r="B1259" t="str">
            <v>D1030120005</v>
          </cell>
          <cell r="C1259" t="str">
            <v>CY0783</v>
          </cell>
        </row>
        <row r="1260">
          <cell r="B1260" t="str">
            <v>D1030140001</v>
          </cell>
          <cell r="C1260" t="str">
            <v>CY0784</v>
          </cell>
        </row>
        <row r="1261">
          <cell r="B1261" t="str">
            <v>D1030170001</v>
          </cell>
          <cell r="C1261" t="str">
            <v>CY0785</v>
          </cell>
        </row>
        <row r="1262">
          <cell r="B1262" t="str">
            <v>D1030180001</v>
          </cell>
          <cell r="C1262" t="str">
            <v>CY0786</v>
          </cell>
        </row>
        <row r="1263">
          <cell r="B1263" t="str">
            <v>D1030190001</v>
          </cell>
          <cell r="C1263" t="str">
            <v>CY0882</v>
          </cell>
        </row>
        <row r="1264">
          <cell r="B1264" t="str">
            <v>D1040330005</v>
          </cell>
          <cell r="C1264" t="str">
            <v>CY1029</v>
          </cell>
        </row>
        <row r="1265">
          <cell r="B1265" t="str">
            <v>D1040330013</v>
          </cell>
          <cell r="C1265" t="str">
            <v>CY1030</v>
          </cell>
        </row>
        <row r="1266">
          <cell r="B1266" t="str">
            <v>D5510010001</v>
          </cell>
          <cell r="C1266" t="str">
            <v>CY0885</v>
          </cell>
        </row>
        <row r="1267">
          <cell r="B1267" t="str">
            <v>D5510020001</v>
          </cell>
          <cell r="C1267" t="str">
            <v>CY0886</v>
          </cell>
        </row>
        <row r="1268">
          <cell r="B1268" t="str">
            <v>D5510030001</v>
          </cell>
          <cell r="C1268" t="str">
            <v>CY0887</v>
          </cell>
        </row>
        <row r="1269">
          <cell r="B1269" t="str">
            <v>D5510080001</v>
          </cell>
          <cell r="C1269" t="str">
            <v>CY0791</v>
          </cell>
        </row>
        <row r="1270">
          <cell r="B1270" t="str">
            <v>D5510090001</v>
          </cell>
          <cell r="C1270" t="str">
            <v>CY0888</v>
          </cell>
        </row>
        <row r="1271">
          <cell r="B1271" t="str">
            <v>D5510100013</v>
          </cell>
          <cell r="C1271" t="str">
            <v>CY0792</v>
          </cell>
        </row>
        <row r="1272">
          <cell r="B1272" t="str">
            <v>D5510120001</v>
          </cell>
          <cell r="C1272" t="str">
            <v>CY0793</v>
          </cell>
        </row>
        <row r="1273">
          <cell r="B1273" t="str">
            <v>D5510140001</v>
          </cell>
          <cell r="C1273" t="str">
            <v>CY0794</v>
          </cell>
        </row>
        <row r="1274">
          <cell r="B1274" t="str">
            <v>D5510150001</v>
          </cell>
          <cell r="C1274" t="str">
            <v>CY0795</v>
          </cell>
        </row>
        <row r="1275">
          <cell r="B1275" t="str">
            <v>D5520010009</v>
          </cell>
          <cell r="C1275" t="str">
            <v>CY0889</v>
          </cell>
        </row>
        <row r="1276">
          <cell r="B1276" t="str">
            <v>D5520030001</v>
          </cell>
          <cell r="C1276" t="str">
            <v>CY0890</v>
          </cell>
        </row>
        <row r="1277">
          <cell r="B1277" t="str">
            <v>D5520040009</v>
          </cell>
          <cell r="C1277" t="str">
            <v>CY0891</v>
          </cell>
        </row>
        <row r="1278">
          <cell r="B1278" t="str">
            <v>D6010010009</v>
          </cell>
          <cell r="C1278" t="str">
            <v>CY0892</v>
          </cell>
        </row>
        <row r="1279">
          <cell r="B1279" t="str">
            <v>D6010020009</v>
          </cell>
          <cell r="C1279" t="str">
            <v>CY0796</v>
          </cell>
        </row>
        <row r="1280">
          <cell r="B1280" t="str">
            <v>D6010020017</v>
          </cell>
          <cell r="C1280" t="str">
            <v>CY1031</v>
          </cell>
        </row>
        <row r="1281">
          <cell r="B1281" t="str">
            <v>D6010030001</v>
          </cell>
          <cell r="C1281" t="str">
            <v>CY1032</v>
          </cell>
        </row>
        <row r="1282">
          <cell r="B1282" t="str">
            <v>D6010030005</v>
          </cell>
          <cell r="C1282" t="str">
            <v>CY1033</v>
          </cell>
        </row>
        <row r="1283">
          <cell r="B1283" t="str">
            <v>D6010030009</v>
          </cell>
          <cell r="C1283" t="str">
            <v>CY1034</v>
          </cell>
        </row>
        <row r="1284">
          <cell r="B1284" t="str">
            <v>D6010030013</v>
          </cell>
          <cell r="C1284" t="str">
            <v>CY1035</v>
          </cell>
        </row>
        <row r="1285">
          <cell r="B1285" t="str">
            <v>D6010030017</v>
          </cell>
          <cell r="C1285" t="str">
            <v>CY1036</v>
          </cell>
        </row>
        <row r="1286">
          <cell r="B1286" t="str">
            <v>D6010030021</v>
          </cell>
          <cell r="C1286" t="str">
            <v>CY0797</v>
          </cell>
        </row>
        <row r="1287">
          <cell r="B1287" t="str">
            <v>D6010030025</v>
          </cell>
          <cell r="C1287" t="str">
            <v>CY1037</v>
          </cell>
        </row>
        <row r="1288">
          <cell r="B1288" t="str">
            <v>D6010050017</v>
          </cell>
          <cell r="C1288" t="str">
            <v>CY0798</v>
          </cell>
        </row>
        <row r="1289">
          <cell r="B1289" t="str">
            <v>D6010070017</v>
          </cell>
          <cell r="C1289" t="str">
            <v>CY0799</v>
          </cell>
        </row>
        <row r="1290">
          <cell r="B1290" t="str">
            <v>D6010100001</v>
          </cell>
          <cell r="C1290" t="str">
            <v>CY0800</v>
          </cell>
        </row>
        <row r="1291">
          <cell r="B1291" t="str">
            <v>D6010100005</v>
          </cell>
          <cell r="C1291" t="str">
            <v>CY1038</v>
          </cell>
        </row>
        <row r="1292">
          <cell r="B1292" t="str">
            <v>D6010100009</v>
          </cell>
          <cell r="C1292" t="str">
            <v>CY1039</v>
          </cell>
        </row>
        <row r="1293">
          <cell r="B1293" t="str">
            <v>D6010100033</v>
          </cell>
          <cell r="C1293" t="str">
            <v>CY0801</v>
          </cell>
        </row>
        <row r="1294">
          <cell r="B1294" t="str">
            <v>D6010110001</v>
          </cell>
          <cell r="C1294" t="str">
            <v>CY0802</v>
          </cell>
        </row>
        <row r="1295">
          <cell r="B1295" t="str">
            <v>D6010110005</v>
          </cell>
          <cell r="C1295" t="str">
            <v>CY1040</v>
          </cell>
        </row>
        <row r="1296">
          <cell r="B1296" t="str">
            <v>D6010120009</v>
          </cell>
          <cell r="C1296" t="str">
            <v>CY0803</v>
          </cell>
        </row>
        <row r="1297">
          <cell r="B1297" t="str">
            <v>D6010140009</v>
          </cell>
          <cell r="C1297" t="str">
            <v>CY0804</v>
          </cell>
        </row>
        <row r="1298">
          <cell r="B1298" t="str">
            <v>D6010180017</v>
          </cell>
          <cell r="C1298" t="str">
            <v>CY0805</v>
          </cell>
        </row>
        <row r="1299">
          <cell r="B1299" t="str">
            <v>D6010340001</v>
          </cell>
          <cell r="C1299" t="str">
            <v>CY0806</v>
          </cell>
        </row>
        <row r="1300">
          <cell r="B1300" t="str">
            <v>D6010340029</v>
          </cell>
          <cell r="C1300" t="str">
            <v>CY0807</v>
          </cell>
        </row>
        <row r="1301">
          <cell r="B1301" t="str">
            <v>D6010350001</v>
          </cell>
          <cell r="C1301" t="str">
            <v>CY0808</v>
          </cell>
        </row>
        <row r="1302">
          <cell r="B1302" t="str">
            <v>D6010350017</v>
          </cell>
          <cell r="C1302" t="str">
            <v>CY0809</v>
          </cell>
        </row>
        <row r="1303">
          <cell r="B1303" t="str">
            <v>D6010370001</v>
          </cell>
          <cell r="C1303" t="str">
            <v>CY0810</v>
          </cell>
        </row>
        <row r="1304">
          <cell r="B1304" t="str">
            <v>D6010370017</v>
          </cell>
          <cell r="C1304" t="str">
            <v>CY0811</v>
          </cell>
        </row>
        <row r="1305">
          <cell r="B1305" t="str">
            <v>D6010410005</v>
          </cell>
          <cell r="C1305" t="str">
            <v>CY0893</v>
          </cell>
        </row>
        <row r="1306">
          <cell r="B1306" t="str">
            <v>D6010420005</v>
          </cell>
          <cell r="C1306" t="str">
            <v>CY0812</v>
          </cell>
        </row>
        <row r="1307">
          <cell r="B1307" t="str">
            <v>D6010430013</v>
          </cell>
          <cell r="C1307" t="str">
            <v>CY0813</v>
          </cell>
        </row>
        <row r="1308">
          <cell r="B1308" t="str">
            <v>D6010430021</v>
          </cell>
          <cell r="C1308" t="str">
            <v>CY0894</v>
          </cell>
        </row>
        <row r="1309">
          <cell r="B1309" t="str">
            <v>D6010530001</v>
          </cell>
          <cell r="C1309" t="str">
            <v>CY0895</v>
          </cell>
        </row>
        <row r="1310">
          <cell r="B1310" t="str">
            <v>D6010530017</v>
          </cell>
          <cell r="C1310" t="str">
            <v>CY0814</v>
          </cell>
        </row>
        <row r="1311">
          <cell r="B1311" t="str">
            <v>D6010570021</v>
          </cell>
          <cell r="C1311" t="str">
            <v>CY0896</v>
          </cell>
        </row>
        <row r="1312">
          <cell r="B1312" t="str">
            <v>D6010570037</v>
          </cell>
          <cell r="C1312" t="str">
            <v>CY0815</v>
          </cell>
        </row>
        <row r="1313">
          <cell r="B1313" t="str">
            <v>D6010580009</v>
          </cell>
          <cell r="C1313" t="str">
            <v>CY0897</v>
          </cell>
        </row>
        <row r="1314">
          <cell r="B1314" t="str">
            <v>D6010580013</v>
          </cell>
          <cell r="C1314" t="str">
            <v>CY0898</v>
          </cell>
        </row>
        <row r="1315">
          <cell r="B1315" t="str">
            <v>D6010580017</v>
          </cell>
          <cell r="C1315" t="str">
            <v>CY1041</v>
          </cell>
        </row>
        <row r="1316">
          <cell r="B1316" t="str">
            <v>D6010580021</v>
          </cell>
          <cell r="C1316" t="str">
            <v>CY1042</v>
          </cell>
        </row>
        <row r="1317">
          <cell r="B1317" t="str">
            <v>D6010580025</v>
          </cell>
          <cell r="C1317" t="str">
            <v>CY0899</v>
          </cell>
        </row>
        <row r="1318">
          <cell r="B1318" t="str">
            <v>D7510010001</v>
          </cell>
          <cell r="C1318" t="str">
            <v>CY0787</v>
          </cell>
        </row>
        <row r="1319">
          <cell r="B1319" t="str">
            <v>D7510020001</v>
          </cell>
          <cell r="C1319" t="str">
            <v>CY0788</v>
          </cell>
        </row>
        <row r="1320">
          <cell r="B1320" t="str">
            <v>D7510030001</v>
          </cell>
          <cell r="C1320" t="str">
            <v>CY0789</v>
          </cell>
        </row>
        <row r="1321">
          <cell r="B1321" t="str">
            <v>D7510040001</v>
          </cell>
          <cell r="C1321" t="str">
            <v>CY0883</v>
          </cell>
        </row>
        <row r="1322">
          <cell r="B1322" t="str">
            <v>D7510050001</v>
          </cell>
          <cell r="C1322" t="str">
            <v>CY0790</v>
          </cell>
        </row>
        <row r="1323">
          <cell r="B1323" t="str">
            <v>D7510050013</v>
          </cell>
          <cell r="C1323" t="str">
            <v>CY0884</v>
          </cell>
        </row>
        <row r="1325">
          <cell r="B1325" t="str">
            <v>Cod. Cliente</v>
          </cell>
          <cell r="C1325" t="str">
            <v>Composicao</v>
          </cell>
        </row>
        <row r="1326">
          <cell r="B1326" t="str">
            <v>E3005005000</v>
          </cell>
          <cell r="C1326" t="str">
            <v>CA0038</v>
          </cell>
        </row>
        <row r="1327">
          <cell r="B1327" t="str">
            <v>E3005010000</v>
          </cell>
          <cell r="C1327" t="str">
            <v>CA0005</v>
          </cell>
        </row>
        <row r="1328">
          <cell r="B1328" t="str">
            <v>E3005015000</v>
          </cell>
          <cell r="C1328" t="str">
            <v>CA0006</v>
          </cell>
        </row>
        <row r="1329">
          <cell r="B1329" t="str">
            <v>E3005020000</v>
          </cell>
          <cell r="C1329" t="str">
            <v>CA0007</v>
          </cell>
        </row>
        <row r="1330">
          <cell r="B1330" t="str">
            <v>E4005005000</v>
          </cell>
          <cell r="C1330" t="str">
            <v>CA0008</v>
          </cell>
        </row>
        <row r="1331">
          <cell r="B1331" t="str">
            <v>E4005010000</v>
          </cell>
          <cell r="C1331" t="str">
            <v>CA0009</v>
          </cell>
        </row>
        <row r="1332">
          <cell r="B1332" t="str">
            <v>E4005015000</v>
          </cell>
          <cell r="C1332" t="str">
            <v>CA0010</v>
          </cell>
        </row>
        <row r="1333">
          <cell r="B1333" t="str">
            <v>E4010005000</v>
          </cell>
          <cell r="C1333" t="str">
            <v>CA0023</v>
          </cell>
        </row>
        <row r="1334">
          <cell r="B1334" t="str">
            <v>E4010010000</v>
          </cell>
          <cell r="C1334" t="str">
            <v>CA0024</v>
          </cell>
        </row>
        <row r="1335">
          <cell r="B1335" t="str">
            <v>E4015005000</v>
          </cell>
          <cell r="C1335" t="str">
            <v>CA0011</v>
          </cell>
        </row>
        <row r="1336">
          <cell r="B1336" t="str">
            <v>E4015010000</v>
          </cell>
          <cell r="C1336" t="str">
            <v>CA0012</v>
          </cell>
        </row>
        <row r="1337">
          <cell r="B1337" t="str">
            <v>E4015015000</v>
          </cell>
          <cell r="C1337" t="str">
            <v>CA0013</v>
          </cell>
        </row>
        <row r="1338">
          <cell r="B1338" t="str">
            <v>E4020005000</v>
          </cell>
          <cell r="C1338" t="str">
            <v>CA0018</v>
          </cell>
        </row>
        <row r="1339">
          <cell r="B1339" t="str">
            <v>E4020010000</v>
          </cell>
          <cell r="C1339" t="str">
            <v>CA0019</v>
          </cell>
        </row>
        <row r="1340">
          <cell r="B1340" t="str">
            <v>E4020015000</v>
          </cell>
          <cell r="C1340" t="str">
            <v>CA0020</v>
          </cell>
        </row>
        <row r="1341">
          <cell r="B1341" t="str">
            <v>E4025005000</v>
          </cell>
          <cell r="C1341" t="str">
            <v>CA0039</v>
          </cell>
        </row>
        <row r="1342">
          <cell r="B1342" t="str">
            <v>E4025010000</v>
          </cell>
          <cell r="C1342" t="str">
            <v>CA0040</v>
          </cell>
        </row>
        <row r="1343">
          <cell r="B1343" t="str">
            <v>E4030005005</v>
          </cell>
          <cell r="C1343" t="str">
            <v>CA0014</v>
          </cell>
        </row>
        <row r="1344">
          <cell r="B1344" t="str">
            <v>E4030005010</v>
          </cell>
          <cell r="C1344" t="str">
            <v>CA0015</v>
          </cell>
        </row>
        <row r="1345">
          <cell r="B1345" t="str">
            <v>E4030010005</v>
          </cell>
          <cell r="C1345" t="str">
            <v>CA0041</v>
          </cell>
        </row>
        <row r="1346">
          <cell r="B1346" t="str">
            <v>E4030010010</v>
          </cell>
          <cell r="C1346" t="str">
            <v>CA0042</v>
          </cell>
        </row>
        <row r="1347">
          <cell r="B1347" t="str">
            <v>E4035005000</v>
          </cell>
          <cell r="C1347" t="str">
            <v>CA0016</v>
          </cell>
        </row>
        <row r="1348">
          <cell r="B1348" t="str">
            <v>E4035010000</v>
          </cell>
          <cell r="C1348" t="str">
            <v>CA0017</v>
          </cell>
        </row>
        <row r="1349">
          <cell r="B1349" t="str">
            <v>E4040005000</v>
          </cell>
          <cell r="C1349" t="str">
            <v>CA0021</v>
          </cell>
        </row>
        <row r="1350">
          <cell r="B1350" t="str">
            <v>E4040010000</v>
          </cell>
          <cell r="C1350" t="str">
            <v>CA0022</v>
          </cell>
        </row>
        <row r="1351">
          <cell r="B1351" t="str">
            <v>E6005001996</v>
          </cell>
          <cell r="C1351" t="str">
            <v>CA0033</v>
          </cell>
        </row>
        <row r="1352">
          <cell r="B1352" t="str">
            <v>E6010001995</v>
          </cell>
          <cell r="C1352" t="str">
            <v>CA0032</v>
          </cell>
        </row>
        <row r="1353">
          <cell r="B1353" t="str">
            <v>E6015001001</v>
          </cell>
          <cell r="C1353" t="str">
            <v>CA0037</v>
          </cell>
        </row>
        <row r="1354">
          <cell r="B1354" t="str">
            <v>E6015001997</v>
          </cell>
          <cell r="C1354" t="str">
            <v>CA0034</v>
          </cell>
        </row>
        <row r="1355">
          <cell r="B1355" t="str">
            <v>E6015001998</v>
          </cell>
          <cell r="C1355" t="str">
            <v>CA0035</v>
          </cell>
        </row>
        <row r="1356">
          <cell r="B1356" t="str">
            <v>E6095001999</v>
          </cell>
          <cell r="C1356" t="str">
            <v>CA0036</v>
          </cell>
        </row>
        <row r="1358">
          <cell r="B1358" t="str">
            <v>Cod. Cliente</v>
          </cell>
          <cell r="C1358" t="str">
            <v>Composicao</v>
          </cell>
        </row>
        <row r="1359">
          <cell r="B1359" t="str">
            <v>CG500000001</v>
          </cell>
          <cell r="C1359" t="str">
            <v>CD5000</v>
          </cell>
        </row>
        <row r="1360">
          <cell r="B1360" t="str">
            <v>CG500000002</v>
          </cell>
          <cell r="C1360" t="str">
            <v>CB5000</v>
          </cell>
        </row>
        <row r="1361">
          <cell r="B1361" t="str">
            <v>CG500000003</v>
          </cell>
          <cell r="C1361" t="str">
            <v>CD5001</v>
          </cell>
        </row>
        <row r="1362">
          <cell r="B1362" t="str">
            <v>CG500000004</v>
          </cell>
          <cell r="C1362" t="str">
            <v>CV5000</v>
          </cell>
        </row>
        <row r="1363">
          <cell r="B1363" t="str">
            <v>CG500000005</v>
          </cell>
          <cell r="C1363" t="str">
            <v>CG5000</v>
          </cell>
        </row>
        <row r="1364">
          <cell r="B1364" t="str">
            <v>CG500000006</v>
          </cell>
          <cell r="C1364" t="str">
            <v>CF5000</v>
          </cell>
        </row>
        <row r="1365">
          <cell r="B1365" t="str">
            <v>CG500000007</v>
          </cell>
          <cell r="C1365" t="str">
            <v>CX5000</v>
          </cell>
        </row>
        <row r="1366">
          <cell r="B1366" t="str">
            <v>CG500000008</v>
          </cell>
          <cell r="C1366" t="str">
            <v>CV5001</v>
          </cell>
        </row>
        <row r="1367">
          <cell r="B1367" t="str">
            <v>CG500000009</v>
          </cell>
          <cell r="C1367" t="str">
            <v>CF5001</v>
          </cell>
        </row>
        <row r="1368">
          <cell r="B1368" t="str">
            <v>CG500000010</v>
          </cell>
          <cell r="C1368" t="str">
            <v>CB5001</v>
          </cell>
        </row>
        <row r="1369">
          <cell r="B1369" t="str">
            <v>CG500000011</v>
          </cell>
          <cell r="C1369" t="str">
            <v>CD5002</v>
          </cell>
        </row>
        <row r="1370">
          <cell r="B1370" t="str">
            <v>CG500000012</v>
          </cell>
          <cell r="C1370" t="str">
            <v>CB5009</v>
          </cell>
        </row>
        <row r="1371">
          <cell r="B1371" t="str">
            <v>CG500000013</v>
          </cell>
          <cell r="C1371" t="str">
            <v>CB5008</v>
          </cell>
        </row>
        <row r="1372">
          <cell r="B1372" t="str">
            <v>CG500000014</v>
          </cell>
          <cell r="C1372" t="str">
            <v>CB5004</v>
          </cell>
        </row>
        <row r="1373">
          <cell r="B1373" t="str">
            <v>CG500000015</v>
          </cell>
          <cell r="C1373" t="str">
            <v>CB5007</v>
          </cell>
        </row>
        <row r="1374">
          <cell r="B1374" t="str">
            <v>CG500000016</v>
          </cell>
          <cell r="C1374" t="str">
            <v>CB5005</v>
          </cell>
        </row>
        <row r="1375">
          <cell r="B1375" t="str">
            <v>CG500000017</v>
          </cell>
          <cell r="C1375" t="str">
            <v>CB5006</v>
          </cell>
        </row>
        <row r="1376">
          <cell r="B1376" t="str">
            <v>CG500000018</v>
          </cell>
          <cell r="C1376" t="str">
            <v>CD5003</v>
          </cell>
        </row>
        <row r="1377">
          <cell r="B1377" t="str">
            <v>CG500000019</v>
          </cell>
          <cell r="C1377" t="str">
            <v>CB5003</v>
          </cell>
        </row>
        <row r="1378">
          <cell r="B1378" t="str">
            <v>CG500000020</v>
          </cell>
          <cell r="C1378" t="str">
            <v>CB5010</v>
          </cell>
        </row>
        <row r="1379">
          <cell r="B1379" t="str">
            <v>CG500000021</v>
          </cell>
          <cell r="C1379" t="str">
            <v>CV5002</v>
          </cell>
        </row>
        <row r="1380">
          <cell r="B1380" t="str">
            <v>CG500000022</v>
          </cell>
          <cell r="C1380" t="str">
            <v>CY5000</v>
          </cell>
        </row>
        <row r="1381">
          <cell r="B1381" t="str">
            <v>CG500000023</v>
          </cell>
          <cell r="C1381" t="str">
            <v>CZ5000</v>
          </cell>
        </row>
        <row r="1382">
          <cell r="B1382" t="str">
            <v>CG500000024</v>
          </cell>
          <cell r="C1382" t="str">
            <v>CV5009</v>
          </cell>
        </row>
        <row r="1383">
          <cell r="B1383" t="str">
            <v>CG500000025</v>
          </cell>
          <cell r="C1383" t="str">
            <v>CY5035</v>
          </cell>
        </row>
        <row r="1384">
          <cell r="B1384" t="str">
            <v>CG500000026</v>
          </cell>
          <cell r="C1384" t="str">
            <v>CY5005</v>
          </cell>
        </row>
        <row r="1385">
          <cell r="B1385" t="str">
            <v>CG500000027</v>
          </cell>
          <cell r="C1385" t="str">
            <v>CY5007</v>
          </cell>
        </row>
        <row r="1386">
          <cell r="B1386" t="str">
            <v>CG500000028</v>
          </cell>
          <cell r="C1386" t="str">
            <v>CB5026</v>
          </cell>
        </row>
        <row r="1387">
          <cell r="B1387" t="str">
            <v>CG500000029</v>
          </cell>
          <cell r="C1387" t="str">
            <v>CD5021</v>
          </cell>
        </row>
        <row r="1388">
          <cell r="B1388" t="str">
            <v>CG500000030</v>
          </cell>
          <cell r="C1388" t="str">
            <v>CD5022</v>
          </cell>
        </row>
        <row r="1389">
          <cell r="B1389" t="str">
            <v>CG500000031</v>
          </cell>
          <cell r="C1389" t="str">
            <v>CD5013</v>
          </cell>
        </row>
        <row r="1390">
          <cell r="B1390" t="str">
            <v>CG500000032</v>
          </cell>
          <cell r="C1390" t="str">
            <v>CE5002</v>
          </cell>
        </row>
        <row r="1391">
          <cell r="B1391" t="str">
            <v>CG500000033</v>
          </cell>
          <cell r="C1391" t="str">
            <v>CE5001</v>
          </cell>
        </row>
        <row r="1392">
          <cell r="B1392" t="str">
            <v>CG500000034</v>
          </cell>
          <cell r="C1392" t="str">
            <v>CE5003</v>
          </cell>
        </row>
        <row r="1393">
          <cell r="B1393" t="str">
            <v>CG500000035</v>
          </cell>
          <cell r="C1393" t="str">
            <v>CD5008</v>
          </cell>
        </row>
        <row r="1394">
          <cell r="B1394" t="str">
            <v>CG500000036</v>
          </cell>
          <cell r="C1394" t="str">
            <v>CD5004</v>
          </cell>
        </row>
        <row r="1395">
          <cell r="B1395" t="str">
            <v>CG500000037</v>
          </cell>
          <cell r="C1395" t="str">
            <v>CD5011</v>
          </cell>
        </row>
        <row r="1396">
          <cell r="B1396" t="str">
            <v>CG500000038</v>
          </cell>
          <cell r="C1396" t="str">
            <v>CY5027</v>
          </cell>
        </row>
        <row r="1397">
          <cell r="B1397" t="str">
            <v>CG500000039</v>
          </cell>
          <cell r="C1397" t="str">
            <v>CY5028</v>
          </cell>
        </row>
        <row r="1398">
          <cell r="B1398" t="str">
            <v>CG500000040</v>
          </cell>
          <cell r="C1398" t="str">
            <v>CY5034</v>
          </cell>
        </row>
        <row r="1399">
          <cell r="B1399" t="str">
            <v>CG500000041</v>
          </cell>
          <cell r="C1399" t="str">
            <v>CV5006</v>
          </cell>
        </row>
        <row r="1400">
          <cell r="B1400" t="str">
            <v>CG500000042</v>
          </cell>
          <cell r="C1400" t="str">
            <v>CV5005</v>
          </cell>
        </row>
        <row r="1401">
          <cell r="B1401" t="str">
            <v>CG500000043</v>
          </cell>
          <cell r="C1401" t="str">
            <v>CB5018</v>
          </cell>
        </row>
        <row r="1402">
          <cell r="B1402" t="str">
            <v>CG500000044</v>
          </cell>
          <cell r="C1402" t="str">
            <v>CY5033</v>
          </cell>
        </row>
        <row r="1403">
          <cell r="B1403" t="str">
            <v>CG500000045</v>
          </cell>
          <cell r="C1403" t="str">
            <v>CD5007</v>
          </cell>
        </row>
        <row r="1404">
          <cell r="B1404" t="str">
            <v>CG500000046</v>
          </cell>
          <cell r="C1404" t="str">
            <v>CY5025</v>
          </cell>
        </row>
        <row r="1405">
          <cell r="B1405" t="str">
            <v>CG500000047</v>
          </cell>
          <cell r="C1405" t="str">
            <v>CY5024</v>
          </cell>
        </row>
        <row r="1406">
          <cell r="B1406" t="str">
            <v>CG500000048</v>
          </cell>
          <cell r="C1406" t="str">
            <v>CC5002</v>
          </cell>
        </row>
        <row r="1407">
          <cell r="B1407" t="str">
            <v>CG500000049</v>
          </cell>
          <cell r="C1407" t="str">
            <v>CV5014</v>
          </cell>
        </row>
        <row r="1408">
          <cell r="B1408" t="str">
            <v>CG500000050</v>
          </cell>
          <cell r="C1408" t="str">
            <v>CV5004</v>
          </cell>
        </row>
        <row r="1409">
          <cell r="B1409" t="str">
            <v>CG500000051</v>
          </cell>
          <cell r="C1409" t="str">
            <v>CB5011</v>
          </cell>
        </row>
        <row r="1410">
          <cell r="B1410" t="str">
            <v>CG500000052</v>
          </cell>
          <cell r="C1410" t="str">
            <v>CB5012</v>
          </cell>
        </row>
        <row r="1411">
          <cell r="B1411" t="str">
            <v>CG500000053</v>
          </cell>
          <cell r="C1411" t="str">
            <v>CC5004</v>
          </cell>
        </row>
        <row r="1412">
          <cell r="B1412" t="str">
            <v>CG500000054</v>
          </cell>
          <cell r="C1412" t="str">
            <v>CB5015</v>
          </cell>
        </row>
        <row r="1413">
          <cell r="B1413" t="str">
            <v>CG500000055</v>
          </cell>
          <cell r="C1413" t="str">
            <v>CY5030</v>
          </cell>
        </row>
        <row r="1414">
          <cell r="B1414" t="str">
            <v>CG500000056</v>
          </cell>
          <cell r="C1414" t="str">
            <v>CV5013</v>
          </cell>
        </row>
        <row r="1415">
          <cell r="B1415" t="str">
            <v>CG500000057</v>
          </cell>
          <cell r="C1415" t="str">
            <v>CV5012</v>
          </cell>
        </row>
        <row r="1416">
          <cell r="B1416" t="str">
            <v>CG500000058</v>
          </cell>
          <cell r="C1416" t="str">
            <v>CV5008</v>
          </cell>
        </row>
        <row r="1417">
          <cell r="B1417" t="str">
            <v>CG500000059</v>
          </cell>
          <cell r="C1417" t="str">
            <v>CB5019</v>
          </cell>
        </row>
        <row r="1418">
          <cell r="B1418" t="str">
            <v>CG500000060</v>
          </cell>
          <cell r="C1418" t="str">
            <v>CD5006</v>
          </cell>
        </row>
        <row r="1419">
          <cell r="B1419" t="str">
            <v>CG500000061</v>
          </cell>
          <cell r="C1419" t="str">
            <v>CD5018</v>
          </cell>
        </row>
        <row r="1420">
          <cell r="B1420" t="str">
            <v>CG500000062</v>
          </cell>
          <cell r="C1420" t="str">
            <v>CV5011</v>
          </cell>
        </row>
        <row r="1421">
          <cell r="B1421" t="str">
            <v>CG500000063</v>
          </cell>
          <cell r="C1421" t="str">
            <v>CX5006</v>
          </cell>
        </row>
        <row r="1422">
          <cell r="B1422" t="str">
            <v>CG500000064</v>
          </cell>
          <cell r="C1422" t="str">
            <v>CV5010</v>
          </cell>
        </row>
        <row r="1423">
          <cell r="B1423" t="str">
            <v>CG500000065</v>
          </cell>
          <cell r="C1423" t="str">
            <v>CY5013</v>
          </cell>
        </row>
        <row r="1424">
          <cell r="B1424" t="str">
            <v>CG500000066</v>
          </cell>
          <cell r="C1424" t="str">
            <v>CV5003</v>
          </cell>
        </row>
        <row r="1425">
          <cell r="B1425" t="str">
            <v>CG500000067</v>
          </cell>
          <cell r="C1425" t="str">
            <v>CY5036</v>
          </cell>
        </row>
        <row r="1426">
          <cell r="B1426" t="str">
            <v>CG500000068</v>
          </cell>
          <cell r="C1426" t="str">
            <v>CU5051</v>
          </cell>
        </row>
        <row r="1427">
          <cell r="B1427" t="str">
            <v>CG500000069</v>
          </cell>
          <cell r="C1427" t="str">
            <v>CY5003</v>
          </cell>
        </row>
        <row r="1428">
          <cell r="B1428" t="str">
            <v>CG500000070</v>
          </cell>
          <cell r="C1428" t="str">
            <v>CY5016</v>
          </cell>
        </row>
        <row r="1429">
          <cell r="B1429" t="str">
            <v>CG500000071</v>
          </cell>
          <cell r="C1429" t="str">
            <v>CY5017</v>
          </cell>
        </row>
        <row r="1430">
          <cell r="B1430" t="str">
            <v>CG500000072</v>
          </cell>
          <cell r="C1430" t="str">
            <v>CB5035</v>
          </cell>
        </row>
        <row r="1431">
          <cell r="B1431" t="str">
            <v>CG500000073</v>
          </cell>
          <cell r="C1431" t="str">
            <v>CY5001</v>
          </cell>
        </row>
        <row r="1432">
          <cell r="B1432" t="str">
            <v>CG500000074</v>
          </cell>
          <cell r="C1432" t="str">
            <v>CY5002</v>
          </cell>
        </row>
        <row r="1433">
          <cell r="B1433" t="str">
            <v>CG500000075</v>
          </cell>
          <cell r="C1433" t="str">
            <v>CV5163</v>
          </cell>
        </row>
        <row r="1434">
          <cell r="B1434" t="str">
            <v>CG500000076</v>
          </cell>
          <cell r="C1434" t="str">
            <v>CY5015</v>
          </cell>
        </row>
        <row r="1435">
          <cell r="B1435" t="str">
            <v>CG500000077</v>
          </cell>
          <cell r="C1435" t="str">
            <v>CY5023</v>
          </cell>
        </row>
        <row r="1436">
          <cell r="B1436" t="str">
            <v>CG500000078</v>
          </cell>
          <cell r="C1436" t="str">
            <v>CY5022</v>
          </cell>
        </row>
        <row r="1437">
          <cell r="B1437" t="str">
            <v>CG500000079</v>
          </cell>
          <cell r="C1437" t="str">
            <v>CY5021</v>
          </cell>
        </row>
        <row r="1438">
          <cell r="B1438" t="str">
            <v>CG500000080</v>
          </cell>
          <cell r="C1438" t="str">
            <v>CY5020</v>
          </cell>
        </row>
        <row r="1439">
          <cell r="B1439" t="str">
            <v>CG500000081</v>
          </cell>
          <cell r="C1439" t="str">
            <v>CY5012</v>
          </cell>
        </row>
        <row r="1440">
          <cell r="B1440" t="str">
            <v>CG500000082</v>
          </cell>
          <cell r="C1440" t="str">
            <v>CV5164</v>
          </cell>
        </row>
        <row r="1441">
          <cell r="B1441" t="str">
            <v>CG500000083</v>
          </cell>
          <cell r="C1441" t="str">
            <v>CY5011</v>
          </cell>
        </row>
        <row r="1442">
          <cell r="B1442" t="str">
            <v>CG500000084</v>
          </cell>
          <cell r="C1442" t="str">
            <v>CV5017</v>
          </cell>
        </row>
        <row r="1443">
          <cell r="B1443" t="str">
            <v>CG500000085</v>
          </cell>
          <cell r="C1443" t="str">
            <v>CV5018</v>
          </cell>
        </row>
        <row r="1444">
          <cell r="B1444" t="str">
            <v>CG500000086</v>
          </cell>
          <cell r="C1444" t="str">
            <v>CV5019</v>
          </cell>
        </row>
        <row r="1445">
          <cell r="B1445" t="str">
            <v>CG500000087</v>
          </cell>
          <cell r="C1445" t="str">
            <v>CV5165</v>
          </cell>
        </row>
        <row r="1446">
          <cell r="B1446" t="str">
            <v>CG500000088</v>
          </cell>
          <cell r="C1446" t="str">
            <v>CY5042</v>
          </cell>
        </row>
        <row r="1447">
          <cell r="B1447" t="str">
            <v>CG500000089</v>
          </cell>
          <cell r="C1447" t="str">
            <v>CY5041</v>
          </cell>
        </row>
        <row r="1448">
          <cell r="B1448" t="str">
            <v>CG500000090</v>
          </cell>
          <cell r="C1448" t="str">
            <v>CY5043</v>
          </cell>
        </row>
        <row r="1449">
          <cell r="B1449" t="str">
            <v>CG500000091</v>
          </cell>
          <cell r="C1449" t="str">
            <v>CZ5001</v>
          </cell>
        </row>
        <row r="1450">
          <cell r="B1450" t="str">
            <v>CG500000092</v>
          </cell>
          <cell r="C1450" t="str">
            <v>CF5002</v>
          </cell>
        </row>
        <row r="1451">
          <cell r="B1451" t="str">
            <v>CG500000093</v>
          </cell>
          <cell r="C1451" t="str">
            <v>CY5019</v>
          </cell>
        </row>
        <row r="1452">
          <cell r="B1452" t="str">
            <v>CG500000094</v>
          </cell>
          <cell r="C1452" t="str">
            <v>CY5029</v>
          </cell>
        </row>
        <row r="1453">
          <cell r="B1453" t="str">
            <v>CG500000095</v>
          </cell>
          <cell r="C1453" t="str">
            <v>CJ5000</v>
          </cell>
        </row>
        <row r="1454">
          <cell r="B1454" t="str">
            <v>CG500000096</v>
          </cell>
          <cell r="C1454" t="str">
            <v>CD5010</v>
          </cell>
        </row>
        <row r="1455">
          <cell r="B1455" t="str">
            <v>CG500000097</v>
          </cell>
          <cell r="C1455" t="str">
            <v>CB5021</v>
          </cell>
        </row>
        <row r="1456">
          <cell r="B1456" t="str">
            <v>CG500000098</v>
          </cell>
          <cell r="C1456" t="str">
            <v>CV5166</v>
          </cell>
        </row>
        <row r="1457">
          <cell r="B1457" t="str">
            <v>CG500000099</v>
          </cell>
          <cell r="C1457" t="str">
            <v>CV5007</v>
          </cell>
        </row>
        <row r="1458">
          <cell r="B1458" t="str">
            <v>CG500000100</v>
          </cell>
          <cell r="C1458" t="str">
            <v>CY5037</v>
          </cell>
        </row>
        <row r="1459">
          <cell r="B1459" t="str">
            <v>CG500000101</v>
          </cell>
          <cell r="C1459" t="str">
            <v>CY5009</v>
          </cell>
        </row>
        <row r="1460">
          <cell r="B1460" t="str">
            <v>CG500000102</v>
          </cell>
          <cell r="C1460" t="str">
            <v>CY5026</v>
          </cell>
        </row>
        <row r="1461">
          <cell r="B1461" t="str">
            <v>CG500000103</v>
          </cell>
          <cell r="C1461" t="str">
            <v>CY5031</v>
          </cell>
        </row>
        <row r="1462">
          <cell r="B1462" t="str">
            <v>CG500000104</v>
          </cell>
          <cell r="C1462" t="str">
            <v>CE5000</v>
          </cell>
        </row>
        <row r="1463">
          <cell r="B1463" t="str">
            <v>CG500000105</v>
          </cell>
          <cell r="C1463" t="str">
            <v>CC5000</v>
          </cell>
        </row>
        <row r="1464">
          <cell r="B1464" t="str">
            <v>CG500000106</v>
          </cell>
          <cell r="C1464" t="str">
            <v>CC5003</v>
          </cell>
        </row>
        <row r="1465">
          <cell r="B1465" t="str">
            <v>CG500000107</v>
          </cell>
          <cell r="C1465" t="str">
            <v>CX5001</v>
          </cell>
        </row>
        <row r="1466">
          <cell r="B1466" t="str">
            <v>CG500000108</v>
          </cell>
          <cell r="C1466" t="str">
            <v>CB5020</v>
          </cell>
        </row>
        <row r="1467">
          <cell r="B1467" t="str">
            <v>CG500000109</v>
          </cell>
          <cell r="C1467" t="str">
            <v>CV5015</v>
          </cell>
        </row>
        <row r="1468">
          <cell r="B1468" t="str">
            <v>CG500000110</v>
          </cell>
          <cell r="C1468" t="str">
            <v>CY5032</v>
          </cell>
        </row>
        <row r="1469">
          <cell r="B1469" t="str">
            <v>CG500000111</v>
          </cell>
          <cell r="C1469" t="str">
            <v>CB5002</v>
          </cell>
        </row>
        <row r="1470">
          <cell r="B1470" t="str">
            <v>CG500000112</v>
          </cell>
          <cell r="C1470" t="str">
            <v>CB5013</v>
          </cell>
        </row>
        <row r="1471">
          <cell r="B1471" t="str">
            <v>CG500000113</v>
          </cell>
          <cell r="C1471" t="str">
            <v>CB5014</v>
          </cell>
        </row>
        <row r="1472">
          <cell r="B1472" t="str">
            <v>CG500000114</v>
          </cell>
          <cell r="C1472" t="str">
            <v>CB5016</v>
          </cell>
        </row>
        <row r="1473">
          <cell r="B1473" t="str">
            <v>CG500000115</v>
          </cell>
          <cell r="C1473" t="str">
            <v>CB5017</v>
          </cell>
        </row>
        <row r="1474">
          <cell r="B1474" t="str">
            <v>CG500000116</v>
          </cell>
          <cell r="C1474" t="str">
            <v>CB5022</v>
          </cell>
        </row>
        <row r="1475">
          <cell r="B1475" t="str">
            <v>CG500000117</v>
          </cell>
          <cell r="C1475" t="str">
            <v>CB5023</v>
          </cell>
        </row>
        <row r="1476">
          <cell r="B1476" t="str">
            <v>CG500000118</v>
          </cell>
          <cell r="C1476" t="str">
            <v>CB5024</v>
          </cell>
        </row>
        <row r="1477">
          <cell r="B1477" t="str">
            <v>CG500000119</v>
          </cell>
          <cell r="C1477" t="str">
            <v>CB5025</v>
          </cell>
        </row>
        <row r="1478">
          <cell r="B1478" t="str">
            <v>CG500000120</v>
          </cell>
          <cell r="C1478" t="str">
            <v>CB5036</v>
          </cell>
        </row>
        <row r="1479">
          <cell r="B1479" t="str">
            <v>CG500000121</v>
          </cell>
          <cell r="C1479" t="str">
            <v>CB5027</v>
          </cell>
        </row>
        <row r="1480">
          <cell r="B1480" t="str">
            <v>CG500000122</v>
          </cell>
          <cell r="C1480" t="str">
            <v>CB5028</v>
          </cell>
        </row>
        <row r="1481">
          <cell r="B1481" t="str">
            <v>CG500000123</v>
          </cell>
          <cell r="C1481" t="str">
            <v>CB5029</v>
          </cell>
        </row>
        <row r="1482">
          <cell r="B1482" t="str">
            <v>CG500000124</v>
          </cell>
          <cell r="C1482" t="str">
            <v>CB5030</v>
          </cell>
        </row>
        <row r="1483">
          <cell r="B1483" t="str">
            <v>CG500000125</v>
          </cell>
          <cell r="C1483" t="str">
            <v>CB5031</v>
          </cell>
        </row>
        <row r="1484">
          <cell r="B1484" t="str">
            <v>CG500000126</v>
          </cell>
          <cell r="C1484" t="str">
            <v>CB5032</v>
          </cell>
        </row>
        <row r="1485">
          <cell r="B1485" t="str">
            <v>CG500000127</v>
          </cell>
          <cell r="C1485" t="str">
            <v>CB5033</v>
          </cell>
        </row>
        <row r="1486">
          <cell r="B1486" t="str">
            <v>CG500000128</v>
          </cell>
          <cell r="C1486" t="str">
            <v>CB5034</v>
          </cell>
        </row>
        <row r="1487">
          <cell r="B1487" t="str">
            <v>CG500000129</v>
          </cell>
          <cell r="C1487" t="str">
            <v>CA5001</v>
          </cell>
        </row>
        <row r="1488">
          <cell r="B1488" t="str">
            <v>CG500000130</v>
          </cell>
          <cell r="C1488" t="str">
            <v>CV5016</v>
          </cell>
        </row>
        <row r="1489">
          <cell r="B1489" t="str">
            <v>CG500000131</v>
          </cell>
          <cell r="C1489" t="str">
            <v>CC5001</v>
          </cell>
        </row>
        <row r="1490">
          <cell r="B1490" t="str">
            <v>CG500000132</v>
          </cell>
          <cell r="C1490" t="str">
            <v>CV5021</v>
          </cell>
        </row>
        <row r="1491">
          <cell r="B1491" t="str">
            <v>CG500000133</v>
          </cell>
          <cell r="C1491" t="str">
            <v>CV5022</v>
          </cell>
        </row>
        <row r="1492">
          <cell r="B1492" t="str">
            <v>CG500000134</v>
          </cell>
          <cell r="C1492" t="str">
            <v>CV5023</v>
          </cell>
        </row>
        <row r="1493">
          <cell r="B1493" t="str">
            <v>CG500000135</v>
          </cell>
          <cell r="C1493" t="str">
            <v>CD5005</v>
          </cell>
        </row>
        <row r="1494">
          <cell r="B1494" t="str">
            <v>CG500000136</v>
          </cell>
          <cell r="C1494" t="str">
            <v>CD5009</v>
          </cell>
        </row>
        <row r="1495">
          <cell r="B1495" t="str">
            <v>CG500000137</v>
          </cell>
          <cell r="C1495" t="str">
            <v>CD5012</v>
          </cell>
        </row>
        <row r="1496">
          <cell r="B1496" t="str">
            <v>CG500000138</v>
          </cell>
          <cell r="C1496" t="str">
            <v>CD5014</v>
          </cell>
        </row>
        <row r="1497">
          <cell r="B1497" t="str">
            <v>CG500000139</v>
          </cell>
          <cell r="C1497" t="str">
            <v>CD5015</v>
          </cell>
        </row>
        <row r="1498">
          <cell r="B1498" t="str">
            <v>CG500000140</v>
          </cell>
          <cell r="C1498" t="str">
            <v>CD5016</v>
          </cell>
        </row>
        <row r="1499">
          <cell r="B1499" t="str">
            <v>CG500000141</v>
          </cell>
          <cell r="C1499" t="str">
            <v>CD5017</v>
          </cell>
        </row>
        <row r="1500">
          <cell r="B1500" t="str">
            <v>CG500000142</v>
          </cell>
          <cell r="C1500" t="str">
            <v>CD5019</v>
          </cell>
        </row>
        <row r="1501">
          <cell r="B1501" t="str">
            <v>CG500000143</v>
          </cell>
          <cell r="C1501" t="str">
            <v>CD5020</v>
          </cell>
        </row>
        <row r="1502">
          <cell r="B1502" t="str">
            <v>CG500000144</v>
          </cell>
          <cell r="C1502" t="str">
            <v>CD5023</v>
          </cell>
        </row>
        <row r="1503">
          <cell r="B1503" t="str">
            <v>CG500000145</v>
          </cell>
          <cell r="C1503" t="str">
            <v>CD5024</v>
          </cell>
        </row>
        <row r="1504">
          <cell r="B1504" t="str">
            <v>CG500000146</v>
          </cell>
          <cell r="C1504" t="str">
            <v>CD5025</v>
          </cell>
        </row>
        <row r="1505">
          <cell r="B1505" t="str">
            <v>CG500000147</v>
          </cell>
          <cell r="C1505" t="str">
            <v>CD5026</v>
          </cell>
        </row>
        <row r="1506">
          <cell r="B1506" t="str">
            <v>CG500000148</v>
          </cell>
          <cell r="C1506" t="str">
            <v>CD5027</v>
          </cell>
        </row>
        <row r="1507">
          <cell r="B1507" t="str">
            <v>CG500000149</v>
          </cell>
          <cell r="C1507" t="str">
            <v>CD5028</v>
          </cell>
        </row>
        <row r="1508">
          <cell r="B1508" t="str">
            <v>CG500000150</v>
          </cell>
          <cell r="C1508" t="str">
            <v>CD5029</v>
          </cell>
        </row>
        <row r="1509">
          <cell r="B1509" t="str">
            <v>CG500000151</v>
          </cell>
          <cell r="C1509" t="str">
            <v>CD5030</v>
          </cell>
        </row>
        <row r="1510">
          <cell r="B1510" t="str">
            <v>CG500000152</v>
          </cell>
          <cell r="C1510" t="str">
            <v>CD5031</v>
          </cell>
        </row>
        <row r="1511">
          <cell r="B1511" t="str">
            <v>CG500000153</v>
          </cell>
          <cell r="C1511" t="str">
            <v>CD5032</v>
          </cell>
        </row>
        <row r="1512">
          <cell r="B1512" t="str">
            <v>CG500000154</v>
          </cell>
          <cell r="C1512" t="str">
            <v>CD5033</v>
          </cell>
        </row>
        <row r="1513">
          <cell r="B1513" t="str">
            <v>CG500000155</v>
          </cell>
          <cell r="C1513" t="str">
            <v>CD5034</v>
          </cell>
        </row>
        <row r="1514">
          <cell r="B1514" t="str">
            <v>CG500000156</v>
          </cell>
          <cell r="C1514" t="str">
            <v>CF5003</v>
          </cell>
        </row>
        <row r="1515">
          <cell r="B1515" t="str">
            <v>CG500000157</v>
          </cell>
          <cell r="C1515" t="str">
            <v>CJ5001</v>
          </cell>
        </row>
        <row r="1516">
          <cell r="B1516" t="str">
            <v>CG500000158</v>
          </cell>
          <cell r="C1516" t="str">
            <v>CU5000</v>
          </cell>
        </row>
        <row r="1517">
          <cell r="B1517" t="str">
            <v>CG500000159</v>
          </cell>
          <cell r="C1517" t="str">
            <v>CU5001</v>
          </cell>
        </row>
        <row r="1518">
          <cell r="B1518" t="str">
            <v>CG500000160</v>
          </cell>
          <cell r="C1518" t="str">
            <v>CV5024</v>
          </cell>
        </row>
        <row r="1519">
          <cell r="B1519" t="str">
            <v>CG500000161</v>
          </cell>
          <cell r="C1519" t="str">
            <v>CV5025</v>
          </cell>
        </row>
        <row r="1520">
          <cell r="B1520" t="str">
            <v>CG500000162</v>
          </cell>
          <cell r="C1520" t="str">
            <v>CV5026</v>
          </cell>
        </row>
        <row r="1521">
          <cell r="B1521" t="str">
            <v>CG500000163</v>
          </cell>
          <cell r="C1521" t="str">
            <v>CV5027</v>
          </cell>
        </row>
        <row r="1522">
          <cell r="B1522" t="str">
            <v>CG500000164</v>
          </cell>
          <cell r="C1522" t="str">
            <v>CV5028</v>
          </cell>
        </row>
        <row r="1523">
          <cell r="B1523" t="str">
            <v>CG500000165</v>
          </cell>
          <cell r="C1523" t="str">
            <v>CV5029</v>
          </cell>
        </row>
        <row r="1524">
          <cell r="B1524" t="str">
            <v>CG500000166</v>
          </cell>
          <cell r="C1524" t="str">
            <v>CV5030</v>
          </cell>
        </row>
        <row r="1525">
          <cell r="B1525" t="str">
            <v>CG500000167</v>
          </cell>
          <cell r="C1525" t="str">
            <v>CV5031</v>
          </cell>
        </row>
        <row r="1526">
          <cell r="B1526" t="str">
            <v>CG500000168</v>
          </cell>
          <cell r="C1526" t="str">
            <v>CV5032</v>
          </cell>
        </row>
        <row r="1527">
          <cell r="B1527" t="str">
            <v>CG500000169</v>
          </cell>
          <cell r="C1527" t="str">
            <v>CV5033</v>
          </cell>
        </row>
        <row r="1528">
          <cell r="B1528" t="str">
            <v>CG500000170</v>
          </cell>
          <cell r="C1528" t="str">
            <v>CV5034</v>
          </cell>
        </row>
        <row r="1529">
          <cell r="B1529" t="str">
            <v>CG500000171</v>
          </cell>
          <cell r="C1529" t="str">
            <v>CV5035</v>
          </cell>
        </row>
        <row r="1530">
          <cell r="B1530" t="str">
            <v>CG500000172</v>
          </cell>
          <cell r="C1530" t="str">
            <v>CV5036</v>
          </cell>
        </row>
        <row r="1531">
          <cell r="B1531" t="str">
            <v>CG500000173</v>
          </cell>
          <cell r="C1531" t="str">
            <v>CV5037</v>
          </cell>
        </row>
        <row r="1532">
          <cell r="B1532" t="str">
            <v>CG500000174</v>
          </cell>
          <cell r="C1532" t="str">
            <v>CV5038</v>
          </cell>
        </row>
        <row r="1533">
          <cell r="B1533" t="str">
            <v>CG500000175</v>
          </cell>
          <cell r="C1533" t="str">
            <v>CV5039</v>
          </cell>
        </row>
        <row r="1534">
          <cell r="B1534" t="str">
            <v>CG500000176</v>
          </cell>
          <cell r="C1534" t="str">
            <v>CV5040</v>
          </cell>
        </row>
        <row r="1535">
          <cell r="B1535" t="str">
            <v>CG500000177</v>
          </cell>
          <cell r="C1535" t="str">
            <v>CV5041</v>
          </cell>
        </row>
        <row r="1536">
          <cell r="B1536" t="str">
            <v>CG500000178</v>
          </cell>
          <cell r="C1536" t="str">
            <v>CV5042</v>
          </cell>
        </row>
        <row r="1537">
          <cell r="B1537" t="str">
            <v>CG500000179</v>
          </cell>
          <cell r="C1537" t="str">
            <v>CV5043</v>
          </cell>
        </row>
        <row r="1538">
          <cell r="B1538" t="str">
            <v>CG500000180</v>
          </cell>
          <cell r="C1538" t="str">
            <v>CV5044</v>
          </cell>
        </row>
        <row r="1539">
          <cell r="B1539" t="str">
            <v>CG500000181</v>
          </cell>
          <cell r="C1539" t="str">
            <v>CV5045</v>
          </cell>
        </row>
        <row r="1540">
          <cell r="B1540" t="str">
            <v>CG500000182</v>
          </cell>
          <cell r="C1540" t="str">
            <v>CV5046</v>
          </cell>
        </row>
        <row r="1541">
          <cell r="B1541" t="str">
            <v>CG500000183</v>
          </cell>
          <cell r="C1541" t="str">
            <v>CV5047</v>
          </cell>
        </row>
        <row r="1542">
          <cell r="B1542" t="str">
            <v>CG500000184</v>
          </cell>
          <cell r="C1542" t="str">
            <v>CV5048</v>
          </cell>
        </row>
        <row r="1543">
          <cell r="B1543" t="str">
            <v>CG500000185</v>
          </cell>
          <cell r="C1543" t="str">
            <v>CV5049</v>
          </cell>
        </row>
        <row r="1544">
          <cell r="B1544" t="str">
            <v>CG500000186</v>
          </cell>
          <cell r="C1544" t="str">
            <v>CV5050</v>
          </cell>
        </row>
        <row r="1545">
          <cell r="B1545" t="str">
            <v>CG500000187</v>
          </cell>
          <cell r="C1545" t="str">
            <v>CV5051</v>
          </cell>
        </row>
        <row r="1546">
          <cell r="B1546" t="str">
            <v>CG500000188</v>
          </cell>
          <cell r="C1546" t="str">
            <v>CV5052</v>
          </cell>
        </row>
        <row r="1547">
          <cell r="B1547" t="str">
            <v>CG500000189</v>
          </cell>
          <cell r="C1547" t="str">
            <v>CV5053</v>
          </cell>
        </row>
        <row r="1548">
          <cell r="B1548" t="str">
            <v>CG500000190</v>
          </cell>
          <cell r="C1548" t="str">
            <v>CV5054</v>
          </cell>
        </row>
        <row r="1549">
          <cell r="B1549" t="str">
            <v>CG500000191</v>
          </cell>
          <cell r="C1549" t="str">
            <v>CV5055</v>
          </cell>
        </row>
        <row r="1550">
          <cell r="B1550" t="str">
            <v>CG500000192</v>
          </cell>
          <cell r="C1550" t="str">
            <v>CV5056</v>
          </cell>
        </row>
        <row r="1551">
          <cell r="B1551" t="str">
            <v>CG500000193</v>
          </cell>
          <cell r="C1551" t="str">
            <v>CV5057</v>
          </cell>
        </row>
        <row r="1552">
          <cell r="B1552" t="str">
            <v>CG500000194</v>
          </cell>
          <cell r="C1552" t="str">
            <v>CV5058</v>
          </cell>
        </row>
        <row r="1553">
          <cell r="B1553" t="str">
            <v>CG500000195</v>
          </cell>
          <cell r="C1553" t="str">
            <v>CV5059</v>
          </cell>
        </row>
        <row r="1554">
          <cell r="B1554" t="str">
            <v>CG500000196</v>
          </cell>
          <cell r="C1554" t="str">
            <v>CV5060</v>
          </cell>
        </row>
        <row r="1555">
          <cell r="B1555" t="str">
            <v>CG500000197</v>
          </cell>
          <cell r="C1555" t="str">
            <v>CV5061</v>
          </cell>
        </row>
        <row r="1556">
          <cell r="B1556" t="str">
            <v>CG500000198</v>
          </cell>
          <cell r="C1556" t="str">
            <v>CV5062</v>
          </cell>
        </row>
        <row r="1557">
          <cell r="B1557" t="str">
            <v>CG500000199</v>
          </cell>
          <cell r="C1557" t="str">
            <v>CV5063</v>
          </cell>
        </row>
        <row r="1558">
          <cell r="B1558" t="str">
            <v>CG500000200</v>
          </cell>
          <cell r="C1558" t="str">
            <v>CV5064</v>
          </cell>
        </row>
        <row r="1559">
          <cell r="B1559" t="str">
            <v>CG500000201</v>
          </cell>
          <cell r="C1559" t="str">
            <v>CV5065</v>
          </cell>
        </row>
        <row r="1560">
          <cell r="B1560" t="str">
            <v>CG500000202</v>
          </cell>
          <cell r="C1560" t="str">
            <v>CV5066</v>
          </cell>
        </row>
        <row r="1561">
          <cell r="B1561" t="str">
            <v>CG500000203</v>
          </cell>
          <cell r="C1561" t="str">
            <v>CV5067</v>
          </cell>
        </row>
        <row r="1562">
          <cell r="B1562" t="str">
            <v>CG500000204</v>
          </cell>
          <cell r="C1562" t="str">
            <v>CV5068</v>
          </cell>
        </row>
        <row r="1563">
          <cell r="B1563" t="str">
            <v>CG500000205</v>
          </cell>
          <cell r="C1563" t="str">
            <v>CV5069</v>
          </cell>
        </row>
        <row r="1564">
          <cell r="B1564" t="str">
            <v>CG500000206</v>
          </cell>
          <cell r="C1564" t="str">
            <v>CV5070</v>
          </cell>
        </row>
        <row r="1565">
          <cell r="B1565" t="str">
            <v>CG500000207</v>
          </cell>
          <cell r="C1565" t="str">
            <v>CV5071</v>
          </cell>
        </row>
        <row r="1566">
          <cell r="B1566" t="str">
            <v>CG500000208</v>
          </cell>
          <cell r="C1566" t="str">
            <v>CV5072</v>
          </cell>
        </row>
        <row r="1567">
          <cell r="B1567" t="str">
            <v>CG500000209</v>
          </cell>
          <cell r="C1567" t="str">
            <v>CV5073</v>
          </cell>
        </row>
        <row r="1568">
          <cell r="B1568" t="str">
            <v>CG500000210</v>
          </cell>
          <cell r="C1568" t="str">
            <v>CV5074</v>
          </cell>
        </row>
        <row r="1569">
          <cell r="B1569" t="str">
            <v>CG500000211</v>
          </cell>
          <cell r="C1569" t="str">
            <v>CV5075</v>
          </cell>
        </row>
        <row r="1570">
          <cell r="B1570" t="str">
            <v>CG500000212</v>
          </cell>
          <cell r="C1570" t="str">
            <v>CV5076</v>
          </cell>
        </row>
        <row r="1571">
          <cell r="B1571" t="str">
            <v>CG500000213</v>
          </cell>
          <cell r="C1571" t="str">
            <v>CV5077</v>
          </cell>
        </row>
        <row r="1572">
          <cell r="B1572" t="str">
            <v>CG500000214</v>
          </cell>
          <cell r="C1572" t="str">
            <v>CV5078</v>
          </cell>
        </row>
        <row r="1573">
          <cell r="B1573" t="str">
            <v>CG500000215</v>
          </cell>
          <cell r="C1573" t="str">
            <v>CV5079</v>
          </cell>
        </row>
        <row r="1574">
          <cell r="B1574" t="str">
            <v>CG500000216</v>
          </cell>
          <cell r="C1574" t="str">
            <v>CV5080</v>
          </cell>
        </row>
        <row r="1575">
          <cell r="B1575" t="str">
            <v>CG500000217</v>
          </cell>
          <cell r="C1575" t="str">
            <v>CV5081</v>
          </cell>
        </row>
        <row r="1576">
          <cell r="B1576" t="str">
            <v>CG500000218</v>
          </cell>
          <cell r="C1576" t="str">
            <v>CV5082</v>
          </cell>
        </row>
        <row r="1577">
          <cell r="B1577" t="str">
            <v>CG500000219</v>
          </cell>
          <cell r="C1577" t="str">
            <v>CV5083</v>
          </cell>
        </row>
        <row r="1578">
          <cell r="B1578" t="str">
            <v>CG500000220</v>
          </cell>
          <cell r="C1578" t="str">
            <v>CV5084</v>
          </cell>
        </row>
        <row r="1579">
          <cell r="B1579" t="str">
            <v>CG500000221</v>
          </cell>
          <cell r="C1579" t="str">
            <v>CV5085</v>
          </cell>
        </row>
        <row r="1580">
          <cell r="B1580" t="str">
            <v>CG500000222</v>
          </cell>
          <cell r="C1580" t="str">
            <v>CV5086</v>
          </cell>
        </row>
        <row r="1581">
          <cell r="B1581" t="str">
            <v>CG500000223</v>
          </cell>
          <cell r="C1581" t="str">
            <v>CV5087</v>
          </cell>
        </row>
        <row r="1582">
          <cell r="B1582" t="str">
            <v>CG500000224</v>
          </cell>
          <cell r="C1582" t="str">
            <v>CV5088</v>
          </cell>
        </row>
        <row r="1583">
          <cell r="B1583" t="str">
            <v>CG500000225</v>
          </cell>
          <cell r="C1583" t="str">
            <v>CV5089</v>
          </cell>
        </row>
        <row r="1584">
          <cell r="B1584" t="str">
            <v>CG500000226</v>
          </cell>
          <cell r="C1584" t="str">
            <v>CV5090</v>
          </cell>
        </row>
        <row r="1585">
          <cell r="B1585" t="str">
            <v>CG500000227</v>
          </cell>
          <cell r="C1585" t="str">
            <v>CV5091</v>
          </cell>
        </row>
        <row r="1586">
          <cell r="B1586" t="str">
            <v>CG500000228</v>
          </cell>
          <cell r="C1586" t="str">
            <v>CV5092</v>
          </cell>
        </row>
        <row r="1587">
          <cell r="B1587" t="str">
            <v>CG500000229</v>
          </cell>
          <cell r="C1587" t="str">
            <v>CV5093</v>
          </cell>
        </row>
        <row r="1588">
          <cell r="B1588" t="str">
            <v>CG500000230</v>
          </cell>
          <cell r="C1588" t="str">
            <v>CV5094</v>
          </cell>
        </row>
        <row r="1589">
          <cell r="B1589" t="str">
            <v>CG500000231</v>
          </cell>
          <cell r="C1589" t="str">
            <v>CV5095</v>
          </cell>
        </row>
        <row r="1590">
          <cell r="B1590" t="str">
            <v>CG500000232</v>
          </cell>
          <cell r="C1590" t="str">
            <v>CV5096</v>
          </cell>
        </row>
        <row r="1591">
          <cell r="B1591" t="str">
            <v>CG500000233</v>
          </cell>
          <cell r="C1591" t="str">
            <v>CV5097</v>
          </cell>
        </row>
        <row r="1592">
          <cell r="B1592" t="str">
            <v>CG500000234</v>
          </cell>
          <cell r="C1592" t="str">
            <v>CV5098</v>
          </cell>
        </row>
        <row r="1593">
          <cell r="B1593" t="str">
            <v>CG500000235</v>
          </cell>
          <cell r="C1593" t="str">
            <v>CV5099</v>
          </cell>
        </row>
        <row r="1594">
          <cell r="B1594" t="str">
            <v>CG500000236</v>
          </cell>
          <cell r="C1594" t="str">
            <v>CV5100</v>
          </cell>
        </row>
        <row r="1595">
          <cell r="B1595" t="str">
            <v>CG500000237</v>
          </cell>
          <cell r="C1595" t="str">
            <v>CV5101</v>
          </cell>
        </row>
        <row r="1596">
          <cell r="B1596" t="str">
            <v>CG500000238</v>
          </cell>
          <cell r="C1596" t="str">
            <v>CV5102</v>
          </cell>
        </row>
        <row r="1597">
          <cell r="B1597" t="str">
            <v>CG500000239</v>
          </cell>
          <cell r="C1597" t="str">
            <v>CV5103</v>
          </cell>
        </row>
        <row r="1598">
          <cell r="B1598" t="str">
            <v>CG500000240</v>
          </cell>
          <cell r="C1598" t="str">
            <v>CV5104</v>
          </cell>
        </row>
        <row r="1599">
          <cell r="B1599" t="str">
            <v>CG500000241</v>
          </cell>
          <cell r="C1599" t="str">
            <v>CV5105</v>
          </cell>
        </row>
        <row r="1600">
          <cell r="B1600" t="str">
            <v>CG500000242</v>
          </cell>
          <cell r="C1600" t="str">
            <v>CV5106</v>
          </cell>
        </row>
        <row r="1601">
          <cell r="B1601" t="str">
            <v>CG500000243</v>
          </cell>
          <cell r="C1601" t="str">
            <v>CV5107</v>
          </cell>
        </row>
        <row r="1602">
          <cell r="B1602" t="str">
            <v>CG500000244</v>
          </cell>
          <cell r="C1602" t="str">
            <v>CV5108</v>
          </cell>
        </row>
        <row r="1603">
          <cell r="B1603" t="str">
            <v>CG500000245</v>
          </cell>
          <cell r="C1603" t="str">
            <v>CV5109</v>
          </cell>
        </row>
        <row r="1604">
          <cell r="B1604" t="str">
            <v>CG500000246</v>
          </cell>
          <cell r="C1604" t="str">
            <v>CV5110</v>
          </cell>
        </row>
        <row r="1605">
          <cell r="B1605" t="str">
            <v>CG500000247</v>
          </cell>
          <cell r="C1605" t="str">
            <v>CV5111</v>
          </cell>
        </row>
        <row r="1606">
          <cell r="B1606" t="str">
            <v>CG500000248</v>
          </cell>
          <cell r="C1606" t="str">
            <v>CV5112</v>
          </cell>
        </row>
        <row r="1607">
          <cell r="B1607" t="str">
            <v>CG500000249</v>
          </cell>
          <cell r="C1607" t="str">
            <v>CV5113</v>
          </cell>
        </row>
        <row r="1608">
          <cell r="B1608" t="str">
            <v>CG500000250</v>
          </cell>
          <cell r="C1608" t="str">
            <v>CV5114</v>
          </cell>
        </row>
        <row r="1609">
          <cell r="B1609" t="str">
            <v>CG500000251</v>
          </cell>
          <cell r="C1609" t="str">
            <v>CV5115</v>
          </cell>
        </row>
        <row r="1610">
          <cell r="B1610" t="str">
            <v>CG500000252</v>
          </cell>
          <cell r="C1610" t="str">
            <v>CV5116</v>
          </cell>
        </row>
        <row r="1611">
          <cell r="B1611" t="str">
            <v>CG500000253</v>
          </cell>
          <cell r="C1611" t="str">
            <v>CV5117</v>
          </cell>
        </row>
        <row r="1612">
          <cell r="B1612" t="str">
            <v>CG500000254</v>
          </cell>
          <cell r="C1612" t="str">
            <v>CV5118</v>
          </cell>
        </row>
        <row r="1613">
          <cell r="B1613" t="str">
            <v>CG500000255</v>
          </cell>
          <cell r="C1613" t="str">
            <v>CV5119</v>
          </cell>
        </row>
        <row r="1614">
          <cell r="B1614" t="str">
            <v>CG500000256</v>
          </cell>
          <cell r="C1614" t="str">
            <v>CV5120</v>
          </cell>
        </row>
        <row r="1615">
          <cell r="B1615" t="str">
            <v>CG500000257</v>
          </cell>
          <cell r="C1615" t="str">
            <v>CV5121</v>
          </cell>
        </row>
        <row r="1616">
          <cell r="B1616" t="str">
            <v>CG500000258</v>
          </cell>
          <cell r="C1616" t="str">
            <v>CV5122</v>
          </cell>
        </row>
        <row r="1617">
          <cell r="B1617" t="str">
            <v>CG500000259</v>
          </cell>
          <cell r="C1617" t="str">
            <v>CV5123</v>
          </cell>
        </row>
        <row r="1618">
          <cell r="B1618" t="str">
            <v>CG500000260</v>
          </cell>
          <cell r="C1618" t="str">
            <v>CV5124</v>
          </cell>
        </row>
        <row r="1619">
          <cell r="B1619" t="str">
            <v>CG500000261</v>
          </cell>
          <cell r="C1619" t="str">
            <v>CV5125</v>
          </cell>
        </row>
        <row r="1620">
          <cell r="B1620" t="str">
            <v>CG500000262</v>
          </cell>
          <cell r="C1620" t="str">
            <v>CV5126</v>
          </cell>
        </row>
        <row r="1621">
          <cell r="B1621" t="str">
            <v>CG500000263</v>
          </cell>
          <cell r="C1621" t="str">
            <v>CV5127</v>
          </cell>
        </row>
        <row r="1622">
          <cell r="B1622" t="str">
            <v>CG500000264</v>
          </cell>
          <cell r="C1622" t="str">
            <v>CV5128</v>
          </cell>
        </row>
        <row r="1623">
          <cell r="B1623" t="str">
            <v>CG500000265</v>
          </cell>
          <cell r="C1623" t="str">
            <v>CV5129</v>
          </cell>
        </row>
        <row r="1624">
          <cell r="B1624" t="str">
            <v>CG500000266</v>
          </cell>
          <cell r="C1624" t="str">
            <v>CV5130</v>
          </cell>
        </row>
        <row r="1625">
          <cell r="B1625" t="str">
            <v>CG500000267</v>
          </cell>
          <cell r="C1625" t="str">
            <v>CV5131</v>
          </cell>
        </row>
        <row r="1626">
          <cell r="B1626" t="str">
            <v>CG500000268</v>
          </cell>
          <cell r="C1626" t="str">
            <v>CV5132</v>
          </cell>
        </row>
        <row r="1627">
          <cell r="B1627" t="str">
            <v>CG500000269</v>
          </cell>
          <cell r="C1627" t="str">
            <v>CV5133</v>
          </cell>
        </row>
        <row r="1628">
          <cell r="B1628" t="str">
            <v>CG500000270</v>
          </cell>
          <cell r="C1628" t="str">
            <v>CV5134</v>
          </cell>
        </row>
        <row r="1629">
          <cell r="B1629" t="str">
            <v>CG500000271</v>
          </cell>
          <cell r="C1629" t="str">
            <v>CV5135</v>
          </cell>
        </row>
        <row r="1630">
          <cell r="B1630" t="str">
            <v>CG500000272</v>
          </cell>
          <cell r="C1630" t="str">
            <v>CV5136</v>
          </cell>
        </row>
        <row r="1631">
          <cell r="B1631" t="str">
            <v>CG500000273</v>
          </cell>
          <cell r="C1631" t="str">
            <v>CV5137</v>
          </cell>
        </row>
        <row r="1632">
          <cell r="B1632" t="str">
            <v>CG500000274</v>
          </cell>
          <cell r="C1632" t="str">
            <v>CV5138</v>
          </cell>
        </row>
        <row r="1633">
          <cell r="B1633" t="str">
            <v>CG500000275</v>
          </cell>
          <cell r="C1633" t="str">
            <v>CV5139</v>
          </cell>
        </row>
        <row r="1634">
          <cell r="B1634" t="str">
            <v>CG500000276</v>
          </cell>
          <cell r="C1634" t="str">
            <v>CV5140</v>
          </cell>
        </row>
        <row r="1635">
          <cell r="B1635" t="str">
            <v>CG500000277</v>
          </cell>
          <cell r="C1635" t="str">
            <v>CV5141</v>
          </cell>
        </row>
        <row r="1636">
          <cell r="B1636" t="str">
            <v>CG500000278</v>
          </cell>
          <cell r="C1636" t="str">
            <v>CV5142</v>
          </cell>
        </row>
        <row r="1637">
          <cell r="B1637" t="str">
            <v>CG500000279</v>
          </cell>
          <cell r="C1637" t="str">
            <v>CV5143</v>
          </cell>
        </row>
        <row r="1638">
          <cell r="B1638" t="str">
            <v>CG500000280</v>
          </cell>
          <cell r="C1638" t="str">
            <v>CV5144</v>
          </cell>
        </row>
        <row r="1639">
          <cell r="B1639" t="str">
            <v>CG500000281</v>
          </cell>
          <cell r="C1639" t="str">
            <v>CV5145</v>
          </cell>
        </row>
        <row r="1640">
          <cell r="B1640" t="str">
            <v>CG500000282</v>
          </cell>
          <cell r="C1640" t="str">
            <v>CV5146</v>
          </cell>
        </row>
        <row r="1641">
          <cell r="B1641" t="str">
            <v>CG500000283</v>
          </cell>
          <cell r="C1641" t="str">
            <v>CV5147</v>
          </cell>
        </row>
        <row r="1642">
          <cell r="B1642" t="str">
            <v>CG500000284</v>
          </cell>
          <cell r="C1642" t="str">
            <v>CV5148</v>
          </cell>
        </row>
        <row r="1643">
          <cell r="B1643" t="str">
            <v>CG500000285</v>
          </cell>
          <cell r="C1643" t="str">
            <v>CV5149</v>
          </cell>
        </row>
        <row r="1644">
          <cell r="B1644" t="str">
            <v>CG500000286</v>
          </cell>
          <cell r="C1644" t="str">
            <v>CV5150</v>
          </cell>
        </row>
        <row r="1645">
          <cell r="B1645" t="str">
            <v>CG500000287</v>
          </cell>
          <cell r="C1645" t="str">
            <v>CV5151</v>
          </cell>
        </row>
        <row r="1646">
          <cell r="B1646" t="str">
            <v>CG500000288</v>
          </cell>
          <cell r="C1646" t="str">
            <v>CV5152</v>
          </cell>
        </row>
        <row r="1647">
          <cell r="B1647" t="str">
            <v>CG500000289</v>
          </cell>
          <cell r="C1647" t="str">
            <v>CV5153</v>
          </cell>
        </row>
        <row r="1648">
          <cell r="B1648" t="str">
            <v>CG500000290</v>
          </cell>
          <cell r="C1648" t="str">
            <v>CV5154</v>
          </cell>
        </row>
        <row r="1649">
          <cell r="B1649" t="str">
            <v>CG500000291</v>
          </cell>
          <cell r="C1649" t="str">
            <v>CV5155</v>
          </cell>
        </row>
        <row r="1650">
          <cell r="B1650" t="str">
            <v>CG500000292</v>
          </cell>
          <cell r="C1650" t="str">
            <v>CV5156</v>
          </cell>
        </row>
        <row r="1651">
          <cell r="B1651" t="str">
            <v>CG500000293</v>
          </cell>
          <cell r="C1651" t="str">
            <v>CV5157</v>
          </cell>
        </row>
        <row r="1652">
          <cell r="B1652" t="str">
            <v>CG500000294</v>
          </cell>
          <cell r="C1652" t="str">
            <v>CV5158</v>
          </cell>
        </row>
        <row r="1653">
          <cell r="B1653" t="str">
            <v>CG500000295</v>
          </cell>
          <cell r="C1653" t="str">
            <v>CV5159</v>
          </cell>
        </row>
        <row r="1654">
          <cell r="B1654" t="str">
            <v>CG500000296</v>
          </cell>
          <cell r="C1654" t="str">
            <v>CV5160</v>
          </cell>
        </row>
        <row r="1655">
          <cell r="B1655" t="str">
            <v>CG500000297</v>
          </cell>
          <cell r="C1655" t="str">
            <v>CV5161</v>
          </cell>
        </row>
        <row r="1656">
          <cell r="B1656" t="str">
            <v>CG500000298</v>
          </cell>
          <cell r="C1656" t="str">
            <v>CV5162</v>
          </cell>
        </row>
        <row r="1657">
          <cell r="B1657" t="str">
            <v>CG500000299</v>
          </cell>
          <cell r="C1657" t="str">
            <v>CX5002</v>
          </cell>
        </row>
        <row r="1658">
          <cell r="B1658" t="str">
            <v>CG500000300</v>
          </cell>
          <cell r="C1658" t="str">
            <v>CX5003</v>
          </cell>
        </row>
        <row r="1659">
          <cell r="B1659" t="str">
            <v>CG500000301</v>
          </cell>
          <cell r="C1659" t="str">
            <v>CX5004</v>
          </cell>
        </row>
        <row r="1660">
          <cell r="B1660" t="str">
            <v>CG500000302</v>
          </cell>
          <cell r="C1660" t="str">
            <v>CX5005</v>
          </cell>
        </row>
        <row r="1661">
          <cell r="B1661" t="str">
            <v>CG500000303</v>
          </cell>
          <cell r="C1661" t="str">
            <v>CX5051</v>
          </cell>
        </row>
        <row r="1662">
          <cell r="B1662" t="str">
            <v>CG500000304</v>
          </cell>
          <cell r="C1662" t="str">
            <v>CX5052</v>
          </cell>
        </row>
        <row r="1663">
          <cell r="B1663" t="str">
            <v>CG500000305</v>
          </cell>
          <cell r="C1663" t="str">
            <v>CX5053</v>
          </cell>
        </row>
        <row r="1664">
          <cell r="B1664" t="str">
            <v>CG500000306</v>
          </cell>
          <cell r="C1664" t="str">
            <v>CX5054</v>
          </cell>
        </row>
        <row r="1665">
          <cell r="B1665" t="str">
            <v>CG500000307</v>
          </cell>
          <cell r="C1665" t="str">
            <v>CY5004</v>
          </cell>
        </row>
        <row r="1666">
          <cell r="B1666" t="str">
            <v>CG500000308</v>
          </cell>
          <cell r="C1666" t="str">
            <v>CY5006</v>
          </cell>
        </row>
        <row r="1667">
          <cell r="B1667" t="str">
            <v>CG500000309</v>
          </cell>
          <cell r="C1667" t="str">
            <v>CY5008</v>
          </cell>
        </row>
        <row r="1668">
          <cell r="B1668" t="str">
            <v>CG500000310</v>
          </cell>
          <cell r="C1668" t="str">
            <v>CY5010</v>
          </cell>
        </row>
        <row r="1669">
          <cell r="B1669" t="str">
            <v>CG500000311</v>
          </cell>
          <cell r="C1669" t="str">
            <v>CY5014</v>
          </cell>
        </row>
        <row r="1670">
          <cell r="B1670" t="str">
            <v>CG500000312</v>
          </cell>
          <cell r="C1670" t="str">
            <v>CY5018</v>
          </cell>
        </row>
        <row r="1671">
          <cell r="B1671" t="str">
            <v>CG500000313</v>
          </cell>
          <cell r="C1671" t="str">
            <v>CY5038</v>
          </cell>
        </row>
        <row r="1672">
          <cell r="B1672" t="str">
            <v>CG500000314</v>
          </cell>
          <cell r="C1672" t="str">
            <v>CY5039</v>
          </cell>
        </row>
        <row r="1673">
          <cell r="B1673" t="str">
            <v>CG500000315</v>
          </cell>
          <cell r="C1673" t="str">
            <v>CY5040</v>
          </cell>
        </row>
        <row r="1674">
          <cell r="B1674" t="str">
            <v>CG500000316</v>
          </cell>
          <cell r="C1674" t="str">
            <v>CY5044</v>
          </cell>
        </row>
        <row r="1675">
          <cell r="B1675" t="str">
            <v>CG500000317</v>
          </cell>
          <cell r="C1675" t="str">
            <v>CY5045</v>
          </cell>
        </row>
        <row r="1676">
          <cell r="B1676" t="str">
            <v>CG500000318</v>
          </cell>
          <cell r="C1676" t="str">
            <v>CY5046</v>
          </cell>
        </row>
        <row r="1677">
          <cell r="B1677" t="str">
            <v>CG500000319</v>
          </cell>
          <cell r="C1677" t="str">
            <v>CY5047</v>
          </cell>
        </row>
        <row r="1678">
          <cell r="B1678" t="str">
            <v>CG500000320</v>
          </cell>
          <cell r="C1678" t="str">
            <v>CY5048</v>
          </cell>
        </row>
        <row r="1679">
          <cell r="B1679" t="str">
            <v>CG500000321</v>
          </cell>
          <cell r="C1679" t="str">
            <v>CY5049</v>
          </cell>
        </row>
        <row r="1680">
          <cell r="B1680" t="str">
            <v>CG500000322</v>
          </cell>
          <cell r="C1680" t="str">
            <v>CY5050</v>
          </cell>
        </row>
        <row r="1681">
          <cell r="B1681" t="str">
            <v>CG500000323</v>
          </cell>
          <cell r="C1681" t="str">
            <v>CY5051</v>
          </cell>
        </row>
        <row r="1682">
          <cell r="B1682" t="str">
            <v>CG500000324</v>
          </cell>
          <cell r="C1682" t="str">
            <v>CY5052</v>
          </cell>
        </row>
        <row r="1683">
          <cell r="C1683" t="str">
            <v>CB6001</v>
          </cell>
        </row>
        <row r="1684">
          <cell r="C1684" t="str">
            <v>CB6003</v>
          </cell>
        </row>
        <row r="1685">
          <cell r="C1685" t="str">
            <v>CB6004</v>
          </cell>
        </row>
        <row r="1686">
          <cell r="C1686" t="str">
            <v>CC6001</v>
          </cell>
        </row>
        <row r="1687">
          <cell r="C1687" t="str">
            <v>CC6002</v>
          </cell>
        </row>
        <row r="1688">
          <cell r="C1688" t="str">
            <v>CD6001</v>
          </cell>
        </row>
        <row r="1689">
          <cell r="C1689" t="str">
            <v>CD6002</v>
          </cell>
        </row>
        <row r="1690">
          <cell r="C1690" t="str">
            <v>CD6003</v>
          </cell>
        </row>
        <row r="1691">
          <cell r="C1691" t="str">
            <v>CE6000</v>
          </cell>
        </row>
        <row r="1692">
          <cell r="C1692" t="str">
            <v>CE6001</v>
          </cell>
        </row>
        <row r="1693">
          <cell r="C1693" t="str">
            <v>CE6002</v>
          </cell>
        </row>
        <row r="1694">
          <cell r="C1694" t="str">
            <v>CF6000</v>
          </cell>
        </row>
        <row r="1695">
          <cell r="C1695" t="str">
            <v>CJ6001</v>
          </cell>
        </row>
        <row r="1696">
          <cell r="C1696" t="str">
            <v>CJ6002</v>
          </cell>
        </row>
        <row r="1697">
          <cell r="C1697" t="str">
            <v>CJ6003</v>
          </cell>
        </row>
        <row r="1698">
          <cell r="C1698" t="str">
            <v>CJ6004</v>
          </cell>
        </row>
        <row r="1699">
          <cell r="C1699" t="str">
            <v>CJ6006</v>
          </cell>
        </row>
        <row r="1700">
          <cell r="B1700" t="str">
            <v>CG600000028</v>
          </cell>
          <cell r="C1700" t="str">
            <v>CJ6007</v>
          </cell>
        </row>
        <row r="1701">
          <cell r="C1701" t="str">
            <v>CL6001</v>
          </cell>
        </row>
        <row r="1702">
          <cell r="C1702" t="str">
            <v>CN6001</v>
          </cell>
        </row>
        <row r="1703">
          <cell r="C1703" t="str">
            <v>CO6001</v>
          </cell>
        </row>
        <row r="1704">
          <cell r="C1704" t="str">
            <v>CQ6001</v>
          </cell>
        </row>
        <row r="1705">
          <cell r="C1705" t="str">
            <v>CU6003</v>
          </cell>
        </row>
        <row r="1706">
          <cell r="C1706" t="str">
            <v>CU6003</v>
          </cell>
        </row>
        <row r="1707">
          <cell r="C1707" t="str">
            <v>CU6003</v>
          </cell>
        </row>
        <row r="1708">
          <cell r="C1708" t="str">
            <v>CU6003</v>
          </cell>
        </row>
        <row r="1709">
          <cell r="C1709" t="str">
            <v>CU6025</v>
          </cell>
        </row>
        <row r="1710">
          <cell r="C1710" t="str">
            <v>CU6026</v>
          </cell>
        </row>
        <row r="1711">
          <cell r="C1711" t="str">
            <v>CU6027</v>
          </cell>
        </row>
        <row r="1712">
          <cell r="C1712" t="str">
            <v>CU6028</v>
          </cell>
        </row>
        <row r="1713">
          <cell r="C1713" t="str">
            <v>CU6029</v>
          </cell>
        </row>
        <row r="1714">
          <cell r="C1714" t="str">
            <v>CU6030</v>
          </cell>
        </row>
        <row r="1715">
          <cell r="C1715" t="str">
            <v>CU6031</v>
          </cell>
        </row>
        <row r="1716">
          <cell r="C1716" t="str">
            <v>CU6032</v>
          </cell>
        </row>
        <row r="1717">
          <cell r="C1717" t="str">
            <v>CU6033</v>
          </cell>
        </row>
        <row r="1718">
          <cell r="C1718" t="str">
            <v>CU6034</v>
          </cell>
        </row>
        <row r="1719">
          <cell r="C1719" t="str">
            <v>CU6035</v>
          </cell>
        </row>
        <row r="1720">
          <cell r="C1720" t="str">
            <v>CU6036</v>
          </cell>
        </row>
        <row r="1721">
          <cell r="C1721" t="str">
            <v>CU6037</v>
          </cell>
        </row>
        <row r="1722">
          <cell r="C1722" t="str">
            <v>CU6059</v>
          </cell>
        </row>
        <row r="1723">
          <cell r="C1723" t="str">
            <v>CU6063</v>
          </cell>
        </row>
        <row r="1724">
          <cell r="C1724" t="str">
            <v>CU6064</v>
          </cell>
        </row>
        <row r="1725">
          <cell r="C1725" t="str">
            <v>CU6065</v>
          </cell>
        </row>
        <row r="1726">
          <cell r="C1726" t="str">
            <v>CU6076</v>
          </cell>
        </row>
        <row r="1727">
          <cell r="C1727" t="str">
            <v>CU6077</v>
          </cell>
        </row>
        <row r="1728">
          <cell r="C1728" t="str">
            <v>CU6079</v>
          </cell>
        </row>
        <row r="1729">
          <cell r="C1729" t="str">
            <v>CU6080</v>
          </cell>
        </row>
        <row r="1730">
          <cell r="C1730" t="str">
            <v>CU6082</v>
          </cell>
        </row>
        <row r="1731">
          <cell r="C1731" t="str">
            <v>CU6083</v>
          </cell>
        </row>
        <row r="1732">
          <cell r="C1732" t="str">
            <v>CU6085</v>
          </cell>
        </row>
        <row r="1733">
          <cell r="C1733" t="str">
            <v>CU6086</v>
          </cell>
        </row>
        <row r="1734">
          <cell r="C1734" t="str">
            <v>CU6087</v>
          </cell>
        </row>
        <row r="1735">
          <cell r="C1735" t="str">
            <v>CU6088</v>
          </cell>
        </row>
        <row r="1736">
          <cell r="C1736" t="str">
            <v>CU6089</v>
          </cell>
        </row>
        <row r="1737">
          <cell r="C1737" t="str">
            <v>CU6090</v>
          </cell>
        </row>
        <row r="1738">
          <cell r="C1738" t="str">
            <v>CU6091</v>
          </cell>
        </row>
        <row r="1739">
          <cell r="C1739" t="str">
            <v>CU6092</v>
          </cell>
        </row>
        <row r="1740">
          <cell r="C1740" t="str">
            <v>CU6093</v>
          </cell>
        </row>
        <row r="1741">
          <cell r="C1741" t="str">
            <v>CU6094</v>
          </cell>
        </row>
        <row r="1742">
          <cell r="C1742" t="str">
            <v>CU6096</v>
          </cell>
        </row>
        <row r="1743">
          <cell r="C1743" t="str">
            <v>CU6097</v>
          </cell>
        </row>
        <row r="1744">
          <cell r="C1744" t="str">
            <v>CU6098</v>
          </cell>
        </row>
        <row r="1745">
          <cell r="C1745" t="str">
            <v>CU6099</v>
          </cell>
        </row>
        <row r="1746">
          <cell r="C1746" t="str">
            <v>CU6100</v>
          </cell>
        </row>
        <row r="1747">
          <cell r="C1747" t="str">
            <v>CU6101</v>
          </cell>
        </row>
        <row r="1748">
          <cell r="C1748" t="str">
            <v>CU6102</v>
          </cell>
        </row>
        <row r="1749">
          <cell r="C1749" t="str">
            <v>CU6103</v>
          </cell>
        </row>
        <row r="1750">
          <cell r="C1750" t="str">
            <v>CU6104</v>
          </cell>
        </row>
        <row r="1751">
          <cell r="C1751" t="str">
            <v>CV6000</v>
          </cell>
        </row>
        <row r="1752">
          <cell r="C1752" t="str">
            <v>CV6000</v>
          </cell>
        </row>
        <row r="1753">
          <cell r="C1753" t="str">
            <v>CV6001</v>
          </cell>
        </row>
        <row r="1754">
          <cell r="C1754" t="str">
            <v>CV6002</v>
          </cell>
        </row>
        <row r="1755">
          <cell r="C1755" t="str">
            <v>CV6003</v>
          </cell>
        </row>
        <row r="1756">
          <cell r="C1756" t="str">
            <v>CV6004</v>
          </cell>
        </row>
        <row r="1757">
          <cell r="C1757" t="str">
            <v>CV6005</v>
          </cell>
        </row>
        <row r="1758">
          <cell r="C1758" t="str">
            <v>CX6000</v>
          </cell>
        </row>
        <row r="1759">
          <cell r="C1759" t="str">
            <v>CY6001</v>
          </cell>
        </row>
        <row r="1760">
          <cell r="C1760" t="str">
            <v>CY6003</v>
          </cell>
        </row>
        <row r="1761">
          <cell r="C1761" t="str">
            <v>CY6003</v>
          </cell>
        </row>
        <row r="1762">
          <cell r="C1762" t="str">
            <v>CY6005</v>
          </cell>
        </row>
        <row r="1763">
          <cell r="C1763" t="str">
            <v>CY6006</v>
          </cell>
        </row>
        <row r="1764">
          <cell r="C1764" t="str">
            <v>CY6007</v>
          </cell>
        </row>
        <row r="1765">
          <cell r="C1765" t="str">
            <v>CY6008</v>
          </cell>
        </row>
        <row r="1766">
          <cell r="C1766" t="str">
            <v>CY6009</v>
          </cell>
        </row>
        <row r="1767">
          <cell r="C1767" t="str">
            <v>CY6010</v>
          </cell>
        </row>
        <row r="1768">
          <cell r="C1768" t="str">
            <v>CY6011</v>
          </cell>
        </row>
        <row r="1769">
          <cell r="C1769" t="str">
            <v>CY6012</v>
          </cell>
        </row>
        <row r="1770">
          <cell r="C1770" t="str">
            <v>CY6013</v>
          </cell>
        </row>
        <row r="1771">
          <cell r="C1771" t="str">
            <v>CY6014</v>
          </cell>
        </row>
        <row r="1772">
          <cell r="C1772" t="str">
            <v>CY6015</v>
          </cell>
        </row>
        <row r="1773">
          <cell r="C1773" t="str">
            <v>CY6017</v>
          </cell>
        </row>
        <row r="1774">
          <cell r="C1774" t="str">
            <v>CY6018</v>
          </cell>
        </row>
        <row r="1775">
          <cell r="C1775" t="str">
            <v>CY6019</v>
          </cell>
        </row>
        <row r="1776">
          <cell r="C1776" t="str">
            <v>CY6021</v>
          </cell>
        </row>
        <row r="1777">
          <cell r="C1777" t="str">
            <v>CY6023</v>
          </cell>
        </row>
        <row r="1778">
          <cell r="C1778" t="str">
            <v>CY6025</v>
          </cell>
        </row>
        <row r="1779">
          <cell r="C1779" t="str">
            <v>CY6027</v>
          </cell>
        </row>
        <row r="1780">
          <cell r="C1780" t="str">
            <v>CY6029</v>
          </cell>
        </row>
        <row r="1781">
          <cell r="C1781" t="str">
            <v>CY6031</v>
          </cell>
        </row>
        <row r="1782">
          <cell r="C1782" t="str">
            <v>CY6033</v>
          </cell>
        </row>
        <row r="1783">
          <cell r="C1783" t="str">
            <v>CY6035</v>
          </cell>
        </row>
        <row r="1784">
          <cell r="C1784" t="str">
            <v>CY6037</v>
          </cell>
        </row>
        <row r="1785">
          <cell r="C1785" t="str">
            <v>CY6061</v>
          </cell>
        </row>
        <row r="1786">
          <cell r="C1786" t="str">
            <v>CY6073</v>
          </cell>
        </row>
        <row r="1787">
          <cell r="C1787" t="str">
            <v>CY6077</v>
          </cell>
        </row>
        <row r="1788">
          <cell r="C1788" t="str">
            <v>CY6096</v>
          </cell>
        </row>
        <row r="1789">
          <cell r="C1789" t="str">
            <v>CY6097</v>
          </cell>
        </row>
        <row r="1790">
          <cell r="C1790" t="str">
            <v>CY6098</v>
          </cell>
        </row>
        <row r="1791">
          <cell r="C1791" t="str">
            <v>CY6098</v>
          </cell>
        </row>
        <row r="1792">
          <cell r="C1792" t="str">
            <v>CY6105</v>
          </cell>
        </row>
        <row r="1793">
          <cell r="C1793" t="str">
            <v>CY6106</v>
          </cell>
        </row>
        <row r="1794">
          <cell r="C1794" t="str">
            <v>CY6107</v>
          </cell>
        </row>
        <row r="1795">
          <cell r="C1795" t="str">
            <v>CY6108</v>
          </cell>
        </row>
        <row r="1796">
          <cell r="C1796" t="str">
            <v>CY6109</v>
          </cell>
        </row>
        <row r="1797">
          <cell r="C1797" t="str">
            <v>CY6122</v>
          </cell>
        </row>
        <row r="1798">
          <cell r="C1798" t="str">
            <v>CY6123</v>
          </cell>
        </row>
        <row r="1799">
          <cell r="C1799" t="str">
            <v>CY6124</v>
          </cell>
        </row>
        <row r="1800">
          <cell r="C1800" t="str">
            <v>CY6125</v>
          </cell>
        </row>
        <row r="1801">
          <cell r="C1801" t="str">
            <v>CY6126</v>
          </cell>
        </row>
        <row r="1802">
          <cell r="C1802" t="str">
            <v>CY6132</v>
          </cell>
        </row>
        <row r="1803">
          <cell r="C1803" t="str">
            <v>CY6134</v>
          </cell>
        </row>
        <row r="1804">
          <cell r="C1804" t="str">
            <v>CY6135</v>
          </cell>
        </row>
        <row r="1805">
          <cell r="C1805" t="str">
            <v>CY6136</v>
          </cell>
        </row>
        <row r="1806">
          <cell r="C1806" t="str">
            <v>CY6137</v>
          </cell>
        </row>
        <row r="1807">
          <cell r="C1807" t="str">
            <v>CY6138</v>
          </cell>
        </row>
        <row r="1808">
          <cell r="C1808" t="str">
            <v>CY6146</v>
          </cell>
        </row>
        <row r="1809">
          <cell r="C1809" t="str">
            <v>CY6147</v>
          </cell>
        </row>
        <row r="1810">
          <cell r="C1810" t="str">
            <v>CY6148</v>
          </cell>
        </row>
        <row r="1811">
          <cell r="C1811" t="str">
            <v>CY6149</v>
          </cell>
        </row>
        <row r="1812">
          <cell r="C1812" t="str">
            <v>CY6150</v>
          </cell>
        </row>
        <row r="1813">
          <cell r="C1813" t="str">
            <v>CY6151</v>
          </cell>
        </row>
        <row r="1814">
          <cell r="C1814" t="str">
            <v>CY6152</v>
          </cell>
        </row>
        <row r="1815">
          <cell r="C1815" t="str">
            <v>CY6152</v>
          </cell>
        </row>
        <row r="1816">
          <cell r="B1816" t="str">
            <v>CG500000344</v>
          </cell>
          <cell r="C1816" t="str">
            <v>CY6152</v>
          </cell>
        </row>
        <row r="1817">
          <cell r="C1817" t="str">
            <v>CY6153</v>
          </cell>
        </row>
        <row r="1818">
          <cell r="C1818" t="str">
            <v>CY6154</v>
          </cell>
        </row>
        <row r="1819">
          <cell r="C1819" t="str">
            <v>CY6155</v>
          </cell>
        </row>
        <row r="1820">
          <cell r="C1820" t="str">
            <v>CY6156</v>
          </cell>
        </row>
        <row r="1821">
          <cell r="C1821" t="str">
            <v>CY6157</v>
          </cell>
        </row>
        <row r="1822">
          <cell r="B1822" t="str">
            <v>CG500000345</v>
          </cell>
          <cell r="C1822" t="str">
            <v>CY6158</v>
          </cell>
        </row>
        <row r="1823">
          <cell r="C1823" t="str">
            <v>CY6159</v>
          </cell>
        </row>
        <row r="1824">
          <cell r="C1824" t="str">
            <v>CY6161</v>
          </cell>
        </row>
        <row r="1825">
          <cell r="C1825" t="str">
            <v>CY6162</v>
          </cell>
        </row>
        <row r="1826">
          <cell r="C1826" t="str">
            <v>CY6163</v>
          </cell>
        </row>
        <row r="1827">
          <cell r="C1827" t="str">
            <v>CY6164</v>
          </cell>
        </row>
        <row r="1828">
          <cell r="C1828" t="str">
            <v>CY6165</v>
          </cell>
        </row>
        <row r="1829">
          <cell r="C1829" t="str">
            <v>CY6166</v>
          </cell>
        </row>
        <row r="1830">
          <cell r="C1830" t="str">
            <v>CY6167</v>
          </cell>
        </row>
        <row r="1831">
          <cell r="C1831" t="str">
            <v>CY6167</v>
          </cell>
        </row>
        <row r="1832">
          <cell r="C1832" t="str">
            <v>CY6168</v>
          </cell>
        </row>
        <row r="1833">
          <cell r="C1833" t="str">
            <v>CY6169</v>
          </cell>
        </row>
        <row r="1834">
          <cell r="C1834" t="str">
            <v>CY6170</v>
          </cell>
        </row>
        <row r="1835">
          <cell r="C1835" t="str">
            <v>CY6172</v>
          </cell>
        </row>
        <row r="1836">
          <cell r="C1836" t="str">
            <v>CY6173</v>
          </cell>
        </row>
        <row r="1837">
          <cell r="C1837" t="str">
            <v>CY6174</v>
          </cell>
        </row>
        <row r="1838">
          <cell r="C1838" t="str">
            <v>CY6175</v>
          </cell>
        </row>
        <row r="1839">
          <cell r="C1839" t="str">
            <v>CY6176</v>
          </cell>
        </row>
        <row r="1840">
          <cell r="C1840" t="str">
            <v>CY6178</v>
          </cell>
        </row>
        <row r="1841">
          <cell r="B1841" t="str">
            <v>CG500000346</v>
          </cell>
          <cell r="C1841" t="str">
            <v>CY6179</v>
          </cell>
        </row>
        <row r="1842">
          <cell r="C1842" t="str">
            <v>CY6180</v>
          </cell>
        </row>
        <row r="1843">
          <cell r="B1843" t="str">
            <v>CS000000015</v>
          </cell>
          <cell r="C1843" t="str">
            <v>IM6002</v>
          </cell>
        </row>
        <row r="1844">
          <cell r="B1844" t="str">
            <v>CS000000016</v>
          </cell>
          <cell r="C1844" t="str">
            <v>IM6003</v>
          </cell>
        </row>
        <row r="1845">
          <cell r="B1845" t="str">
            <v>CS000000018</v>
          </cell>
          <cell r="C1845" t="str">
            <v>IR6007</v>
          </cell>
        </row>
        <row r="1846">
          <cell r="B1846" t="str">
            <v>CG500000325</v>
          </cell>
          <cell r="C1846" t="str">
            <v>IR6008</v>
          </cell>
        </row>
        <row r="1847">
          <cell r="B1847" t="str">
            <v>CG500000326</v>
          </cell>
          <cell r="C1847" t="str">
            <v>IR6009</v>
          </cell>
        </row>
        <row r="1848">
          <cell r="B1848" t="str">
            <v>CS000000015</v>
          </cell>
          <cell r="C1848" t="str">
            <v>CS0015</v>
          </cell>
        </row>
        <row r="1849">
          <cell r="B1849" t="str">
            <v>CS000000016</v>
          </cell>
          <cell r="C1849" t="str">
            <v>CS0016</v>
          </cell>
        </row>
        <row r="1850">
          <cell r="B1850" t="str">
            <v>CS000000018</v>
          </cell>
          <cell r="C1850" t="str">
            <v>CS0018</v>
          </cell>
        </row>
        <row r="1851">
          <cell r="B1851" t="str">
            <v>CG500000325</v>
          </cell>
          <cell r="C1851" t="str">
            <v>CY5053</v>
          </cell>
        </row>
        <row r="1852">
          <cell r="B1852" t="str">
            <v>CG500000326</v>
          </cell>
          <cell r="C1852" t="str">
            <v>CY5054</v>
          </cell>
        </row>
        <row r="1853">
          <cell r="B1853" t="str">
            <v>CG500000327</v>
          </cell>
          <cell r="C1853" t="str">
            <v>CC5005</v>
          </cell>
        </row>
        <row r="1854">
          <cell r="B1854" t="str">
            <v>CG500000328</v>
          </cell>
          <cell r="C1854" t="str">
            <v>CB5037</v>
          </cell>
        </row>
        <row r="1855">
          <cell r="B1855" t="str">
            <v>CG500000329</v>
          </cell>
          <cell r="C1855" t="str">
            <v>CD5035</v>
          </cell>
        </row>
        <row r="1856">
          <cell r="B1856" t="str">
            <v>CG500000330</v>
          </cell>
          <cell r="C1856" t="str">
            <v>CV5167</v>
          </cell>
        </row>
        <row r="1857">
          <cell r="B1857" t="str">
            <v>CG500000331</v>
          </cell>
          <cell r="C1857" t="str">
            <v>CS5000</v>
          </cell>
        </row>
        <row r="1858">
          <cell r="B1858" t="str">
            <v>CG500000332</v>
          </cell>
          <cell r="C1858" t="str">
            <v>CD5036</v>
          </cell>
        </row>
        <row r="1859">
          <cell r="B1859" t="str">
            <v>CG500000333</v>
          </cell>
          <cell r="C1859" t="str">
            <v>CD5037</v>
          </cell>
        </row>
        <row r="1860">
          <cell r="B1860" t="str">
            <v>CG500000334</v>
          </cell>
          <cell r="C1860" t="str">
            <v>CY5055</v>
          </cell>
        </row>
        <row r="1861">
          <cell r="B1861" t="str">
            <v>CG500000335</v>
          </cell>
          <cell r="C1861" t="str">
            <v>CY5056</v>
          </cell>
        </row>
        <row r="1862">
          <cell r="B1862" t="str">
            <v>CG500000336</v>
          </cell>
          <cell r="C1862" t="str">
            <v>CY5057</v>
          </cell>
        </row>
        <row r="1863">
          <cell r="B1863" t="str">
            <v>CG500000337</v>
          </cell>
          <cell r="C1863" t="str">
            <v>CY5058</v>
          </cell>
        </row>
        <row r="1864">
          <cell r="B1864" t="str">
            <v>CG500000338</v>
          </cell>
          <cell r="C1864" t="str">
            <v>CY5059</v>
          </cell>
        </row>
        <row r="1865">
          <cell r="B1865" t="str">
            <v>CG500000339</v>
          </cell>
          <cell r="C1865" t="str">
            <v>CY5060</v>
          </cell>
        </row>
        <row r="1866">
          <cell r="B1866" t="str">
            <v>CG500000340</v>
          </cell>
          <cell r="C1866" t="str">
            <v>CY5061</v>
          </cell>
        </row>
        <row r="1867">
          <cell r="B1867" t="str">
            <v>CG500000341</v>
          </cell>
          <cell r="C1867" t="str">
            <v>CY5062</v>
          </cell>
        </row>
        <row r="1868">
          <cell r="B1868" t="str">
            <v>CG500000342</v>
          </cell>
          <cell r="C1868" t="str">
            <v>CU5052</v>
          </cell>
        </row>
        <row r="1869">
          <cell r="B1869" t="str">
            <v>CG500000343</v>
          </cell>
          <cell r="C1869" t="str">
            <v>CU5053</v>
          </cell>
        </row>
        <row r="1870">
          <cell r="B1870" t="str">
            <v>CG500000347</v>
          </cell>
          <cell r="C1870" t="str">
            <v>CY5063</v>
          </cell>
        </row>
        <row r="1871">
          <cell r="B1871" t="str">
            <v>CG500000348</v>
          </cell>
          <cell r="C1871" t="str">
            <v>CY5064</v>
          </cell>
        </row>
        <row r="1872">
          <cell r="B1872" t="str">
            <v>CG500000349</v>
          </cell>
          <cell r="C1872" t="str">
            <v>CY5065</v>
          </cell>
        </row>
        <row r="1873">
          <cell r="B1873" t="str">
            <v>CG500000350</v>
          </cell>
          <cell r="C1873" t="str">
            <v>CU5054</v>
          </cell>
        </row>
        <row r="1874">
          <cell r="B1874" t="str">
            <v>CG500000351</v>
          </cell>
          <cell r="C1874" t="str">
            <v>CU5055</v>
          </cell>
        </row>
        <row r="1875">
          <cell r="B1875" t="str">
            <v>CG500000352</v>
          </cell>
          <cell r="C1875" t="str">
            <v>CU5056</v>
          </cell>
        </row>
        <row r="1876">
          <cell r="B1876" t="str">
            <v>CG500000353</v>
          </cell>
          <cell r="C1876" t="str">
            <v>CU5057</v>
          </cell>
        </row>
        <row r="1877">
          <cell r="B1877" t="str">
            <v>CG500000354</v>
          </cell>
          <cell r="C1877" t="str">
            <v>CU5058</v>
          </cell>
        </row>
        <row r="1878">
          <cell r="B1878" t="str">
            <v>CG500000355</v>
          </cell>
          <cell r="C1878" t="str">
            <v>CU5059</v>
          </cell>
        </row>
        <row r="1879">
          <cell r="B1879" t="str">
            <v>CG500000356</v>
          </cell>
          <cell r="C1879" t="str">
            <v>CU5060</v>
          </cell>
        </row>
        <row r="1880">
          <cell r="B1880" t="str">
            <v>CG500000357</v>
          </cell>
          <cell r="C1880" t="str">
            <v>CU5061</v>
          </cell>
        </row>
        <row r="1881">
          <cell r="B1881" t="str">
            <v>CG500000358</v>
          </cell>
          <cell r="C1881" t="str">
            <v>CU5062</v>
          </cell>
        </row>
        <row r="1882">
          <cell r="B1882" t="str">
            <v>CG500000359</v>
          </cell>
          <cell r="C1882" t="str">
            <v>CU5063</v>
          </cell>
        </row>
        <row r="1883">
          <cell r="B1883" t="str">
            <v>CG500000360</v>
          </cell>
          <cell r="C1883" t="str">
            <v>CU5064</v>
          </cell>
        </row>
        <row r="1884">
          <cell r="B1884" t="str">
            <v>CG500000361</v>
          </cell>
          <cell r="C1884" t="str">
            <v>CU5065</v>
          </cell>
        </row>
        <row r="1885">
          <cell r="B1885" t="str">
            <v>CG500000362</v>
          </cell>
          <cell r="C1885" t="str">
            <v>CY5066</v>
          </cell>
        </row>
        <row r="1886">
          <cell r="B1886" t="str">
            <v>CG500000363</v>
          </cell>
          <cell r="C1886" t="str">
            <v>CU5066</v>
          </cell>
        </row>
        <row r="1887">
          <cell r="B1887" t="str">
            <v>CG500000364</v>
          </cell>
          <cell r="C1887" t="str">
            <v>CU5067</v>
          </cell>
        </row>
        <row r="1888">
          <cell r="B1888" t="str">
            <v>CG500000365</v>
          </cell>
          <cell r="C1888" t="str">
            <v>CU5068</v>
          </cell>
        </row>
        <row r="1889">
          <cell r="B1889" t="str">
            <v>CG500000366</v>
          </cell>
          <cell r="C1889" t="str">
            <v>CU5069</v>
          </cell>
        </row>
        <row r="1890">
          <cell r="B1890" t="str">
            <v>CG500000367</v>
          </cell>
          <cell r="C1890" t="str">
            <v>CA5002</v>
          </cell>
        </row>
        <row r="1891">
          <cell r="B1891" t="str">
            <v>CG500000368</v>
          </cell>
          <cell r="C1891" t="str">
            <v>CA5003</v>
          </cell>
        </row>
        <row r="1892">
          <cell r="B1892" t="str">
            <v>CG500000369</v>
          </cell>
          <cell r="C1892" t="str">
            <v>CY5067</v>
          </cell>
        </row>
        <row r="1893">
          <cell r="B1893" t="str">
            <v>CG500000370</v>
          </cell>
          <cell r="C1893" t="str">
            <v>CY5068</v>
          </cell>
        </row>
        <row r="1894">
          <cell r="B1894" t="str">
            <v>CG500000371</v>
          </cell>
          <cell r="C1894" t="str">
            <v>CY5069</v>
          </cell>
        </row>
        <row r="1895">
          <cell r="B1895" t="str">
            <v>CG500000372</v>
          </cell>
          <cell r="C1895" t="str">
            <v>CY5073</v>
          </cell>
        </row>
        <row r="1896">
          <cell r="B1896" t="str">
            <v>CG500000373</v>
          </cell>
          <cell r="C1896" t="str">
            <v>CY5074</v>
          </cell>
        </row>
        <row r="1897">
          <cell r="B1897" t="str">
            <v>CG500000374</v>
          </cell>
          <cell r="C1897" t="str">
            <v>CY5075</v>
          </cell>
        </row>
        <row r="1898">
          <cell r="B1898" t="str">
            <v>CG500000375</v>
          </cell>
          <cell r="C1898" t="str">
            <v>CY5076</v>
          </cell>
        </row>
        <row r="1899">
          <cell r="B1899" t="str">
            <v>CG500000376</v>
          </cell>
          <cell r="C1899" t="str">
            <v>CY5079</v>
          </cell>
        </row>
        <row r="1900">
          <cell r="B1900" t="str">
            <v>CG500000377</v>
          </cell>
          <cell r="C1900" t="str">
            <v>CY5080</v>
          </cell>
        </row>
        <row r="1901">
          <cell r="B1901" t="str">
            <v>CG500000378</v>
          </cell>
          <cell r="C1901" t="str">
            <v>CY5081</v>
          </cell>
        </row>
        <row r="1902">
          <cell r="B1902" t="str">
            <v>CG500000379</v>
          </cell>
          <cell r="C1902" t="str">
            <v>CY5082</v>
          </cell>
        </row>
        <row r="1903">
          <cell r="B1903" t="str">
            <v>CG500000380</v>
          </cell>
          <cell r="C1903" t="str">
            <v>CY5083</v>
          </cell>
        </row>
        <row r="1904">
          <cell r="B1904" t="str">
            <v>CG500000381</v>
          </cell>
          <cell r="C1904" t="str">
            <v>CY5084</v>
          </cell>
        </row>
        <row r="1905">
          <cell r="B1905" t="str">
            <v>CG500000382</v>
          </cell>
          <cell r="C1905" t="str">
            <v>CY5085</v>
          </cell>
        </row>
        <row r="1906">
          <cell r="B1906" t="str">
            <v>CG500000383</v>
          </cell>
          <cell r="C1906" t="str">
            <v>CY5086</v>
          </cell>
        </row>
        <row r="1907">
          <cell r="B1907" t="str">
            <v>CG500000384</v>
          </cell>
          <cell r="C1907" t="str">
            <v>CY5087</v>
          </cell>
        </row>
        <row r="1908">
          <cell r="B1908" t="str">
            <v>CG500000385</v>
          </cell>
          <cell r="C1908" t="str">
            <v>CY5070</v>
          </cell>
        </row>
        <row r="1909">
          <cell r="B1909" t="str">
            <v>CG500000386</v>
          </cell>
          <cell r="C1909" t="str">
            <v>CY5071</v>
          </cell>
        </row>
        <row r="1910">
          <cell r="B1910" t="str">
            <v>CG500000387</v>
          </cell>
          <cell r="C1910" t="str">
            <v>CY5072</v>
          </cell>
        </row>
        <row r="1911">
          <cell r="B1911" t="str">
            <v>CG500000388</v>
          </cell>
          <cell r="C1911" t="str">
            <v>CY5077</v>
          </cell>
        </row>
        <row r="1912">
          <cell r="B1912" t="str">
            <v>CG500000389</v>
          </cell>
          <cell r="C1912" t="str">
            <v>CY5078</v>
          </cell>
        </row>
        <row r="1913">
          <cell r="B1913" t="str">
            <v>CG500000390</v>
          </cell>
          <cell r="C1913" t="str">
            <v>CY5088</v>
          </cell>
        </row>
        <row r="1914">
          <cell r="B1914" t="str">
            <v>CG500000391</v>
          </cell>
          <cell r="C1914" t="str">
            <v>CY5089</v>
          </cell>
        </row>
        <row r="1915">
          <cell r="B1915" t="str">
            <v>CG500000392</v>
          </cell>
          <cell r="C1915" t="str">
            <v>CY5090</v>
          </cell>
        </row>
        <row r="1916">
          <cell r="B1916" t="str">
            <v>CG500000393</v>
          </cell>
          <cell r="C1916" t="str">
            <v>CY5091</v>
          </cell>
        </row>
        <row r="1917">
          <cell r="B1917" t="str">
            <v>CG500000394</v>
          </cell>
          <cell r="C1917" t="str">
            <v>CY5092</v>
          </cell>
        </row>
        <row r="1918">
          <cell r="B1918" t="str">
            <v>CG500000395</v>
          </cell>
          <cell r="C1918" t="str">
            <v>CY5093</v>
          </cell>
        </row>
        <row r="1919">
          <cell r="B1919" t="str">
            <v>CG500000396</v>
          </cell>
          <cell r="C1919" t="str">
            <v>CY5094</v>
          </cell>
        </row>
        <row r="1920">
          <cell r="B1920" t="str">
            <v>CG500000397</v>
          </cell>
          <cell r="C1920" t="str">
            <v>CY5095</v>
          </cell>
        </row>
        <row r="1921">
          <cell r="B1921" t="str">
            <v>CG500000398</v>
          </cell>
          <cell r="C1921" t="str">
            <v>CY5096</v>
          </cell>
        </row>
        <row r="1922">
          <cell r="B1922" t="str">
            <v>CG500000399</v>
          </cell>
          <cell r="C1922" t="str">
            <v>CY5097</v>
          </cell>
        </row>
        <row r="1923">
          <cell r="B1923" t="str">
            <v>CG500000400</v>
          </cell>
          <cell r="C1923" t="str">
            <v>CY5098</v>
          </cell>
        </row>
        <row r="1924">
          <cell r="B1924" t="str">
            <v>CG500000401</v>
          </cell>
          <cell r="C1924" t="str">
            <v>CY5099</v>
          </cell>
        </row>
        <row r="1925">
          <cell r="B1925" t="str">
            <v>CG500000402</v>
          </cell>
          <cell r="C1925" t="str">
            <v>CY5100</v>
          </cell>
        </row>
        <row r="1926">
          <cell r="B1926" t="str">
            <v>CG500000403</v>
          </cell>
          <cell r="C1926" t="str">
            <v>CY5101</v>
          </cell>
        </row>
        <row r="1927">
          <cell r="B1927" t="str">
            <v>CG500000404</v>
          </cell>
          <cell r="C1927" t="str">
            <v>CY5102</v>
          </cell>
        </row>
        <row r="1928">
          <cell r="B1928" t="str">
            <v>CG500000405</v>
          </cell>
          <cell r="C1928" t="str">
            <v>CY5103</v>
          </cell>
        </row>
        <row r="1929">
          <cell r="B1929" t="str">
            <v>CG500000406</v>
          </cell>
          <cell r="C1929" t="str">
            <v>CY5104</v>
          </cell>
        </row>
        <row r="1930">
          <cell r="B1930" t="str">
            <v>CG500000407</v>
          </cell>
          <cell r="C1930" t="str">
            <v>CY5105</v>
          </cell>
        </row>
        <row r="1931">
          <cell r="B1931" t="str">
            <v>CG500000408</v>
          </cell>
          <cell r="C1931" t="str">
            <v>CY5106</v>
          </cell>
        </row>
        <row r="1932">
          <cell r="B1932" t="str">
            <v>CG500000409</v>
          </cell>
          <cell r="C1932" t="str">
            <v>CY5107</v>
          </cell>
        </row>
        <row r="1933">
          <cell r="B1933" t="str">
            <v>CG500000410</v>
          </cell>
          <cell r="C1933" t="str">
            <v>CU5070</v>
          </cell>
        </row>
        <row r="1934">
          <cell r="B1934" t="str">
            <v>CG500000411</v>
          </cell>
          <cell r="C1934" t="str">
            <v>CU5071</v>
          </cell>
        </row>
        <row r="1935">
          <cell r="B1935" t="str">
            <v>CG500000412</v>
          </cell>
          <cell r="C1935" t="str">
            <v>CU5072</v>
          </cell>
        </row>
        <row r="1936">
          <cell r="B1936" t="str">
            <v>CG500000413</v>
          </cell>
          <cell r="C1936" t="str">
            <v>CU5073</v>
          </cell>
        </row>
        <row r="1937">
          <cell r="B1937" t="str">
            <v>CG500000414</v>
          </cell>
          <cell r="C1937" t="str">
            <v>CU5074</v>
          </cell>
        </row>
        <row r="1938">
          <cell r="B1938" t="str">
            <v>CG500000415</v>
          </cell>
          <cell r="C1938" t="str">
            <v>CU5075</v>
          </cell>
        </row>
        <row r="1939">
          <cell r="B1939" t="str">
            <v>CG500000416</v>
          </cell>
          <cell r="C1939" t="str">
            <v>CY5108</v>
          </cell>
        </row>
        <row r="1940">
          <cell r="B1940" t="str">
            <v>CG500000417</v>
          </cell>
          <cell r="C1940" t="str">
            <v>CY5109</v>
          </cell>
        </row>
        <row r="1941">
          <cell r="B1941" t="str">
            <v>CG500000418</v>
          </cell>
          <cell r="C1941" t="str">
            <v>CY5110</v>
          </cell>
        </row>
        <row r="1942">
          <cell r="B1942" t="str">
            <v>CG500000419</v>
          </cell>
          <cell r="C1942" t="str">
            <v>CY5111</v>
          </cell>
        </row>
        <row r="1943">
          <cell r="B1943" t="str">
            <v>CG500000420</v>
          </cell>
          <cell r="C1943" t="str">
            <v>CY5112</v>
          </cell>
        </row>
        <row r="1944">
          <cell r="B1944" t="str">
            <v>CG500000421</v>
          </cell>
          <cell r="C1944" t="str">
            <v>CY5113</v>
          </cell>
        </row>
        <row r="1945">
          <cell r="B1945" t="str">
            <v>CG500000422</v>
          </cell>
          <cell r="C1945" t="str">
            <v>CY5114</v>
          </cell>
        </row>
        <row r="1946">
          <cell r="B1946" t="str">
            <v>CG500000423</v>
          </cell>
          <cell r="C1946" t="str">
            <v>CY5115</v>
          </cell>
        </row>
        <row r="1947">
          <cell r="B1947" t="str">
            <v>CG500000424</v>
          </cell>
          <cell r="C1947" t="str">
            <v>CY5116</v>
          </cell>
        </row>
        <row r="1948">
          <cell r="B1948" t="str">
            <v>CG500000425</v>
          </cell>
          <cell r="C1948" t="str">
            <v>CY5117</v>
          </cell>
        </row>
        <row r="1949">
          <cell r="B1949" t="str">
            <v>CG500000426</v>
          </cell>
          <cell r="C1949" t="str">
            <v>CY5118</v>
          </cell>
        </row>
        <row r="1950">
          <cell r="B1950" t="str">
            <v>CG500000427</v>
          </cell>
          <cell r="C1950" t="str">
            <v>CY5119</v>
          </cell>
        </row>
        <row r="1951">
          <cell r="B1951" t="str">
            <v>CG500000428</v>
          </cell>
          <cell r="C1951" t="str">
            <v>CL5001</v>
          </cell>
        </row>
        <row r="1952">
          <cell r="B1952" t="str">
            <v>CG500000429</v>
          </cell>
          <cell r="C1952" t="str">
            <v>CL5002</v>
          </cell>
        </row>
        <row r="1953">
          <cell r="B1953" t="str">
            <v>CG500000430</v>
          </cell>
          <cell r="C1953" t="str">
            <v>CF5004</v>
          </cell>
        </row>
        <row r="1954">
          <cell r="B1954" t="str">
            <v>CG500000431</v>
          </cell>
          <cell r="C1954" t="str">
            <v>CG5002</v>
          </cell>
        </row>
        <row r="1955">
          <cell r="B1955" t="str">
            <v>CG500000432</v>
          </cell>
          <cell r="C1955" t="str">
            <v>CY9301</v>
          </cell>
        </row>
        <row r="1956">
          <cell r="B1956" t="str">
            <v>CG500000433</v>
          </cell>
          <cell r="C1956" t="str">
            <v>CY9302</v>
          </cell>
        </row>
        <row r="1957">
          <cell r="B1957" t="str">
            <v>CG500000434</v>
          </cell>
          <cell r="C1957" t="str">
            <v>CH9300</v>
          </cell>
        </row>
        <row r="1958">
          <cell r="B1958" t="str">
            <v>CG500000435</v>
          </cell>
          <cell r="C1958" t="str">
            <v>CY9304</v>
          </cell>
        </row>
        <row r="1959">
          <cell r="B1959" t="str">
            <v>CG500000436</v>
          </cell>
          <cell r="C1959" t="str">
            <v>CY9305</v>
          </cell>
        </row>
        <row r="1960">
          <cell r="B1960" t="str">
            <v>CG500000442</v>
          </cell>
          <cell r="C1960" t="str">
            <v>CY9306</v>
          </cell>
        </row>
        <row r="1961">
          <cell r="B1961" t="str">
            <v>CG500000443</v>
          </cell>
          <cell r="C1961" t="str">
            <v>CY9307</v>
          </cell>
        </row>
        <row r="1962">
          <cell r="B1962" t="str">
            <v>CG500000444</v>
          </cell>
          <cell r="C1962" t="str">
            <v>CY9308</v>
          </cell>
        </row>
        <row r="1963">
          <cell r="B1963" t="str">
            <v>CG500000445</v>
          </cell>
          <cell r="C1963" t="str">
            <v>CY9309</v>
          </cell>
        </row>
        <row r="1964">
          <cell r="B1964" t="str">
            <v>CG500000446</v>
          </cell>
          <cell r="C1964" t="str">
            <v>CY9310</v>
          </cell>
        </row>
        <row r="1965">
          <cell r="B1965" t="str">
            <v>CG500000447</v>
          </cell>
          <cell r="C1965" t="str">
            <v>CY9311</v>
          </cell>
        </row>
        <row r="1966">
          <cell r="B1966" t="str">
            <v>CG500000448</v>
          </cell>
          <cell r="C1966" t="str">
            <v>CY9312</v>
          </cell>
        </row>
        <row r="1967">
          <cell r="B1967" t="str">
            <v>CG500000449</v>
          </cell>
          <cell r="C1967" t="str">
            <v>CY9313</v>
          </cell>
        </row>
        <row r="1968">
          <cell r="B1968" t="str">
            <v>CG500000450</v>
          </cell>
          <cell r="C1968" t="str">
            <v>CY9314</v>
          </cell>
        </row>
        <row r="1969">
          <cell r="B1969" t="str">
            <v>CG500000451</v>
          </cell>
          <cell r="C1969" t="str">
            <v>CY9315</v>
          </cell>
        </row>
        <row r="1970">
          <cell r="B1970" t="str">
            <v>CG500000452</v>
          </cell>
          <cell r="C1970" t="str">
            <v>CY9316</v>
          </cell>
        </row>
        <row r="1971">
          <cell r="B1971" t="str">
            <v>CG500000453</v>
          </cell>
          <cell r="C1971" t="str">
            <v>CY9317</v>
          </cell>
        </row>
        <row r="1972">
          <cell r="B1972" t="str">
            <v>CG500000454</v>
          </cell>
          <cell r="C1972" t="str">
            <v>CU9301</v>
          </cell>
        </row>
        <row r="1973">
          <cell r="B1973" t="str">
            <v>CG500000455</v>
          </cell>
          <cell r="C1973" t="str">
            <v>CU9302</v>
          </cell>
        </row>
        <row r="1974">
          <cell r="B1974" t="str">
            <v>CG500000456</v>
          </cell>
          <cell r="C1974" t="str">
            <v>CU9303</v>
          </cell>
        </row>
        <row r="1975">
          <cell r="B1975" t="str">
            <v>CG500000457</v>
          </cell>
          <cell r="C1975" t="str">
            <v>CU9304</v>
          </cell>
        </row>
        <row r="1976">
          <cell r="B1976" t="str">
            <v>CG500000458</v>
          </cell>
          <cell r="C1976" t="str">
            <v>CU9305</v>
          </cell>
        </row>
        <row r="1977">
          <cell r="B1977" t="str">
            <v>CG500000459</v>
          </cell>
          <cell r="C1977" t="str">
            <v>CU9306</v>
          </cell>
        </row>
        <row r="1978">
          <cell r="B1978" t="str">
            <v>CG500000460</v>
          </cell>
          <cell r="C1978" t="str">
            <v>CU9307</v>
          </cell>
        </row>
        <row r="1979">
          <cell r="B1979" t="str">
            <v>CG500000461</v>
          </cell>
          <cell r="C1979" t="str">
            <v>CU9308</v>
          </cell>
        </row>
        <row r="1980">
          <cell r="B1980" t="str">
            <v>CG500000462</v>
          </cell>
          <cell r="C1980" t="str">
            <v>CU9309</v>
          </cell>
        </row>
        <row r="1981">
          <cell r="B1981" t="str">
            <v>CG500000463</v>
          </cell>
          <cell r="C1981" t="str">
            <v>CU9310</v>
          </cell>
        </row>
        <row r="1982">
          <cell r="B1982" t="str">
            <v>CG500000464</v>
          </cell>
          <cell r="C1982" t="str">
            <v>CU9311</v>
          </cell>
        </row>
        <row r="1983">
          <cell r="B1983" t="str">
            <v>CG500000465</v>
          </cell>
          <cell r="C1983" t="str">
            <v>CU9312</v>
          </cell>
        </row>
        <row r="1984">
          <cell r="B1984" t="str">
            <v>CG500000466</v>
          </cell>
          <cell r="C1984" t="str">
            <v>CU9313</v>
          </cell>
        </row>
        <row r="1985">
          <cell r="B1985" t="str">
            <v>CG500000467</v>
          </cell>
          <cell r="C1985" t="str">
            <v>CC9301</v>
          </cell>
        </row>
        <row r="1986">
          <cell r="B1986" t="str">
            <v>CG500000468</v>
          </cell>
          <cell r="C1986" t="str">
            <v>CV9301</v>
          </cell>
        </row>
        <row r="1987">
          <cell r="B1987" t="str">
            <v>CG500000469</v>
          </cell>
          <cell r="C1987" t="str">
            <v>CY9318</v>
          </cell>
        </row>
        <row r="1988">
          <cell r="B1988" t="str">
            <v>CG500000470</v>
          </cell>
          <cell r="C1988" t="str">
            <v>CU9317</v>
          </cell>
        </row>
        <row r="1989">
          <cell r="B1989" t="str">
            <v>CG500000471</v>
          </cell>
          <cell r="C1989" t="str">
            <v>CU9318</v>
          </cell>
        </row>
        <row r="1990">
          <cell r="B1990" t="str">
            <v>CG500000472</v>
          </cell>
          <cell r="C1990" t="str">
            <v>CU9319</v>
          </cell>
        </row>
        <row r="1991">
          <cell r="B1991" t="str">
            <v>CG500000473</v>
          </cell>
          <cell r="C1991" t="str">
            <v>CE9301</v>
          </cell>
        </row>
        <row r="1992">
          <cell r="B1992" t="str">
            <v>CG500000474</v>
          </cell>
          <cell r="C1992" t="str">
            <v>CU9300</v>
          </cell>
        </row>
        <row r="1993">
          <cell r="B1993" t="str">
            <v>CG500000475</v>
          </cell>
          <cell r="C1993" t="str">
            <v>CU9314</v>
          </cell>
        </row>
        <row r="1994">
          <cell r="B1994" t="str">
            <v>CG500000476</v>
          </cell>
          <cell r="C1994" t="str">
            <v>CD9301</v>
          </cell>
        </row>
        <row r="1995">
          <cell r="B1995" t="str">
            <v>CG500000477</v>
          </cell>
          <cell r="C1995" t="str">
            <v>CD9302</v>
          </cell>
        </row>
        <row r="1996">
          <cell r="B1996" t="str">
            <v>CG500000478</v>
          </cell>
          <cell r="C1996" t="str">
            <v>CY9323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onabasica"/>
      <sheetName val="Engenharia"/>
      <sheetName val="Acionamento"/>
      <sheetName val="Motores"/>
      <sheetName val="Voith"/>
      <sheetName val="Fluidrive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Quadro Funcional"/>
    </sheetNames>
    <sheetDataSet>
      <sheetData sheetId="0"/>
      <sheetData sheetId="1"/>
      <sheetData sheetId="2"/>
      <sheetData sheetId="3" refreshError="1">
        <row r="1">
          <cell r="A1" t="str">
            <v>POT.</v>
          </cell>
          <cell r="B1" t="str">
            <v>CARC.</v>
          </cell>
          <cell r="C1" t="str">
            <v>EIXO</v>
          </cell>
          <cell r="D1" t="str">
            <v>RPM</v>
          </cell>
          <cell r="E1" t="str">
            <v>PICO</v>
          </cell>
          <cell r="F1" t="str">
            <v>J</v>
          </cell>
          <cell r="G1" t="str">
            <v>PESO</v>
          </cell>
          <cell r="I1" t="str">
            <v>POT.</v>
          </cell>
          <cell r="J1" t="str">
            <v>CARC.</v>
          </cell>
          <cell r="K1" t="str">
            <v>EIXO</v>
          </cell>
          <cell r="L1" t="str">
            <v>RPM</v>
          </cell>
          <cell r="M1" t="str">
            <v>PICO</v>
          </cell>
          <cell r="N1" t="str">
            <v>J</v>
          </cell>
          <cell r="O1" t="str">
            <v>PESO</v>
          </cell>
        </row>
        <row r="2">
          <cell r="A2" t="str">
            <v>CV</v>
          </cell>
          <cell r="F2" t="str">
            <v>KG.M2</v>
          </cell>
          <cell r="G2" t="str">
            <v>KG</v>
          </cell>
          <cell r="I2" t="str">
            <v>CV</v>
          </cell>
          <cell r="N2" t="str">
            <v>KG.M2</v>
          </cell>
          <cell r="O2" t="str">
            <v>KG</v>
          </cell>
        </row>
        <row r="3">
          <cell r="A3">
            <v>2</v>
          </cell>
          <cell r="B3" t="str">
            <v>90S</v>
          </cell>
          <cell r="C3">
            <v>24</v>
          </cell>
          <cell r="D3">
            <v>1715</v>
          </cell>
          <cell r="E3">
            <v>3.2</v>
          </cell>
          <cell r="F3">
            <v>4.4999999999999997E-3</v>
          </cell>
          <cell r="G3">
            <v>19</v>
          </cell>
          <cell r="I3">
            <v>2</v>
          </cell>
          <cell r="J3" t="str">
            <v>100L</v>
          </cell>
          <cell r="K3">
            <v>28</v>
          </cell>
          <cell r="L3">
            <v>1150</v>
          </cell>
          <cell r="M3">
            <v>2.25</v>
          </cell>
          <cell r="N3">
            <v>1.03E-2</v>
          </cell>
          <cell r="O3">
            <v>27</v>
          </cell>
        </row>
        <row r="4">
          <cell r="A4">
            <v>3</v>
          </cell>
          <cell r="B4" t="str">
            <v>90L</v>
          </cell>
          <cell r="C4">
            <v>24</v>
          </cell>
          <cell r="D4">
            <v>1710</v>
          </cell>
          <cell r="E4">
            <v>3.2</v>
          </cell>
          <cell r="F4">
            <v>5.7999999999999996E-3</v>
          </cell>
          <cell r="G4">
            <v>23</v>
          </cell>
          <cell r="I4">
            <v>3</v>
          </cell>
          <cell r="J4" t="str">
            <v>100L</v>
          </cell>
          <cell r="K4">
            <v>28</v>
          </cell>
          <cell r="L4">
            <v>1150</v>
          </cell>
          <cell r="M4">
            <v>2.5499999999999998</v>
          </cell>
          <cell r="N4">
            <v>1.1599999999999999E-2</v>
          </cell>
          <cell r="O4">
            <v>30</v>
          </cell>
        </row>
        <row r="5">
          <cell r="A5">
            <v>5</v>
          </cell>
          <cell r="B5" t="str">
            <v>100L</v>
          </cell>
          <cell r="C5">
            <v>28</v>
          </cell>
          <cell r="D5">
            <v>1730</v>
          </cell>
          <cell r="E5">
            <v>3.1</v>
          </cell>
          <cell r="F5">
            <v>9.1000000000000004E-3</v>
          </cell>
          <cell r="G5">
            <v>33</v>
          </cell>
          <cell r="I5">
            <v>5</v>
          </cell>
          <cell r="J5" t="str">
            <v>132S</v>
          </cell>
          <cell r="K5">
            <v>38</v>
          </cell>
          <cell r="L5">
            <v>1160</v>
          </cell>
          <cell r="M5">
            <v>2.2999999999999998</v>
          </cell>
          <cell r="N5">
            <v>3.2399999999999998E-2</v>
          </cell>
          <cell r="O5">
            <v>51</v>
          </cell>
        </row>
        <row r="6">
          <cell r="A6">
            <v>7.5</v>
          </cell>
          <cell r="B6" t="str">
            <v>112M</v>
          </cell>
          <cell r="C6">
            <v>28</v>
          </cell>
          <cell r="D6">
            <v>1730</v>
          </cell>
          <cell r="E6">
            <v>3.1</v>
          </cell>
          <cell r="F6">
            <v>1.77E-2</v>
          </cell>
          <cell r="G6">
            <v>46</v>
          </cell>
          <cell r="I6">
            <v>7.5</v>
          </cell>
          <cell r="J6" t="str">
            <v>132M</v>
          </cell>
          <cell r="K6">
            <v>38</v>
          </cell>
          <cell r="L6">
            <v>1160</v>
          </cell>
          <cell r="M6">
            <v>2.35</v>
          </cell>
          <cell r="N6">
            <v>4.3900000000000002E-2</v>
          </cell>
          <cell r="O6">
            <v>62</v>
          </cell>
        </row>
        <row r="7">
          <cell r="A7">
            <v>10</v>
          </cell>
          <cell r="B7" t="str">
            <v>132S</v>
          </cell>
          <cell r="C7">
            <v>38</v>
          </cell>
          <cell r="D7">
            <v>1760</v>
          </cell>
          <cell r="E7">
            <v>2.65</v>
          </cell>
          <cell r="F7">
            <v>4.07E-2</v>
          </cell>
          <cell r="G7">
            <v>58</v>
          </cell>
          <cell r="I7">
            <v>10</v>
          </cell>
          <cell r="J7" t="str">
            <v>132M</v>
          </cell>
          <cell r="K7">
            <v>38</v>
          </cell>
          <cell r="L7">
            <v>1160</v>
          </cell>
          <cell r="M7">
            <v>2.75</v>
          </cell>
          <cell r="N7">
            <v>5.2600000000000001E-2</v>
          </cell>
          <cell r="O7">
            <v>72</v>
          </cell>
        </row>
        <row r="8">
          <cell r="A8">
            <v>12.5</v>
          </cell>
          <cell r="B8" t="str">
            <v>132M</v>
          </cell>
          <cell r="C8">
            <v>38</v>
          </cell>
          <cell r="D8">
            <v>1755</v>
          </cell>
          <cell r="E8">
            <v>2.75</v>
          </cell>
          <cell r="F8">
            <v>4.65E-2</v>
          </cell>
          <cell r="G8">
            <v>66</v>
          </cell>
          <cell r="I8">
            <v>12.5</v>
          </cell>
          <cell r="J8" t="str">
            <v>160M</v>
          </cell>
          <cell r="K8">
            <v>42</v>
          </cell>
          <cell r="L8">
            <v>1160</v>
          </cell>
          <cell r="M8">
            <v>2.1</v>
          </cell>
          <cell r="N8">
            <v>7.8799999999999995E-2</v>
          </cell>
          <cell r="O8">
            <v>112</v>
          </cell>
        </row>
        <row r="9">
          <cell r="A9">
            <v>15</v>
          </cell>
          <cell r="B9" t="str">
            <v>132M</v>
          </cell>
          <cell r="C9">
            <v>38</v>
          </cell>
          <cell r="D9">
            <v>1755</v>
          </cell>
          <cell r="E9">
            <v>2.5499999999999998</v>
          </cell>
          <cell r="F9">
            <v>5.2200000000000003E-2</v>
          </cell>
          <cell r="G9">
            <v>70</v>
          </cell>
          <cell r="I9">
            <v>15</v>
          </cell>
          <cell r="J9" t="str">
            <v>160M</v>
          </cell>
          <cell r="K9">
            <v>42</v>
          </cell>
          <cell r="L9">
            <v>1160</v>
          </cell>
          <cell r="M9">
            <v>2.15</v>
          </cell>
          <cell r="N9">
            <v>9.7000000000000003E-2</v>
          </cell>
          <cell r="O9">
            <v>120</v>
          </cell>
        </row>
        <row r="10">
          <cell r="A10">
            <v>20</v>
          </cell>
          <cell r="B10" t="str">
            <v>160M</v>
          </cell>
          <cell r="C10">
            <v>42</v>
          </cell>
          <cell r="D10">
            <v>1760</v>
          </cell>
          <cell r="E10">
            <v>2.4500000000000002</v>
          </cell>
          <cell r="F10">
            <v>7.22E-2</v>
          </cell>
          <cell r="G10">
            <v>111</v>
          </cell>
          <cell r="I10">
            <v>20</v>
          </cell>
          <cell r="J10" t="str">
            <v>160L</v>
          </cell>
          <cell r="K10">
            <v>42</v>
          </cell>
          <cell r="L10">
            <v>1160</v>
          </cell>
          <cell r="M10">
            <v>2.7</v>
          </cell>
          <cell r="N10">
            <v>0.1079</v>
          </cell>
          <cell r="O10">
            <v>139</v>
          </cell>
        </row>
        <row r="11">
          <cell r="A11">
            <v>25</v>
          </cell>
          <cell r="B11" t="str">
            <v>160L</v>
          </cell>
          <cell r="C11">
            <v>42</v>
          </cell>
          <cell r="D11">
            <v>1760</v>
          </cell>
          <cell r="E11">
            <v>2.85</v>
          </cell>
          <cell r="F11">
            <v>8.3199999999999996E-2</v>
          </cell>
          <cell r="G11">
            <v>121</v>
          </cell>
          <cell r="I11">
            <v>25</v>
          </cell>
          <cell r="J11" t="str">
            <v>180L</v>
          </cell>
          <cell r="K11">
            <v>48</v>
          </cell>
          <cell r="L11">
            <v>1165</v>
          </cell>
          <cell r="M11">
            <v>2.7</v>
          </cell>
          <cell r="N11">
            <v>0.26960000000000001</v>
          </cell>
          <cell r="O11">
            <v>180</v>
          </cell>
        </row>
        <row r="12">
          <cell r="A12">
            <v>30</v>
          </cell>
          <cell r="B12" t="str">
            <v>180M</v>
          </cell>
          <cell r="C12">
            <v>48</v>
          </cell>
          <cell r="D12">
            <v>1765</v>
          </cell>
          <cell r="E12">
            <v>2.8</v>
          </cell>
          <cell r="F12">
            <v>0.17730000000000001</v>
          </cell>
          <cell r="G12">
            <v>150</v>
          </cell>
          <cell r="I12">
            <v>30</v>
          </cell>
          <cell r="J12" t="str">
            <v>200L</v>
          </cell>
          <cell r="K12">
            <v>55</v>
          </cell>
          <cell r="L12">
            <v>1180</v>
          </cell>
          <cell r="M12">
            <v>2.4500000000000002</v>
          </cell>
          <cell r="N12">
            <v>0.35539999999999999</v>
          </cell>
          <cell r="O12">
            <v>232</v>
          </cell>
        </row>
        <row r="13">
          <cell r="A13">
            <v>40</v>
          </cell>
          <cell r="B13" t="str">
            <v>200M</v>
          </cell>
          <cell r="C13">
            <v>55</v>
          </cell>
          <cell r="D13">
            <v>1775</v>
          </cell>
          <cell r="E13">
            <v>2.4</v>
          </cell>
          <cell r="F13">
            <v>0.25319999999999998</v>
          </cell>
          <cell r="G13">
            <v>211</v>
          </cell>
          <cell r="I13">
            <v>40</v>
          </cell>
          <cell r="J13" t="str">
            <v>200L</v>
          </cell>
          <cell r="K13">
            <v>55</v>
          </cell>
          <cell r="L13">
            <v>1180</v>
          </cell>
          <cell r="M13">
            <v>2.6</v>
          </cell>
          <cell r="N13">
            <v>0.3821</v>
          </cell>
          <cell r="O13">
            <v>244</v>
          </cell>
        </row>
        <row r="14">
          <cell r="A14">
            <v>50</v>
          </cell>
          <cell r="B14" t="str">
            <v>200L</v>
          </cell>
          <cell r="C14">
            <v>55</v>
          </cell>
          <cell r="D14">
            <v>1775</v>
          </cell>
          <cell r="E14">
            <v>2.4</v>
          </cell>
          <cell r="F14">
            <v>0.29360000000000003</v>
          </cell>
          <cell r="G14">
            <v>244</v>
          </cell>
          <cell r="I14">
            <v>50</v>
          </cell>
          <cell r="J14" t="str">
            <v>225S/M</v>
          </cell>
          <cell r="K14">
            <v>60</v>
          </cell>
          <cell r="L14">
            <v>1180</v>
          </cell>
          <cell r="M14">
            <v>3.2</v>
          </cell>
          <cell r="N14">
            <v>0.96350000000000002</v>
          </cell>
          <cell r="O14">
            <v>370</v>
          </cell>
        </row>
        <row r="15">
          <cell r="A15">
            <v>60</v>
          </cell>
          <cell r="B15" t="str">
            <v>225S/M</v>
          </cell>
          <cell r="C15">
            <v>60</v>
          </cell>
          <cell r="D15">
            <v>1775</v>
          </cell>
          <cell r="E15">
            <v>2.9</v>
          </cell>
          <cell r="F15">
            <v>0.67589999999999995</v>
          </cell>
          <cell r="G15">
            <v>345</v>
          </cell>
          <cell r="I15">
            <v>60</v>
          </cell>
          <cell r="J15" t="str">
            <v>250S/M</v>
          </cell>
          <cell r="K15">
            <v>65</v>
          </cell>
          <cell r="L15">
            <v>1180</v>
          </cell>
          <cell r="M15">
            <v>3</v>
          </cell>
          <cell r="N15">
            <v>1.1559999999999999</v>
          </cell>
          <cell r="O15">
            <v>425</v>
          </cell>
        </row>
        <row r="16">
          <cell r="A16">
            <v>75</v>
          </cell>
          <cell r="B16" t="str">
            <v>225S/M</v>
          </cell>
          <cell r="C16">
            <v>60</v>
          </cell>
          <cell r="D16">
            <v>1770</v>
          </cell>
          <cell r="E16">
            <v>2.7</v>
          </cell>
          <cell r="F16">
            <v>0.78659999999999997</v>
          </cell>
          <cell r="G16">
            <v>379</v>
          </cell>
          <cell r="I16">
            <v>75</v>
          </cell>
          <cell r="J16" t="str">
            <v>250S/M</v>
          </cell>
          <cell r="K16">
            <v>65</v>
          </cell>
          <cell r="L16">
            <v>1185</v>
          </cell>
          <cell r="M16">
            <v>3</v>
          </cell>
          <cell r="N16">
            <v>1.2686999999999999</v>
          </cell>
          <cell r="O16">
            <v>453</v>
          </cell>
        </row>
        <row r="17">
          <cell r="A17">
            <v>100</v>
          </cell>
          <cell r="B17" t="str">
            <v>250S/M</v>
          </cell>
          <cell r="C17">
            <v>65</v>
          </cell>
          <cell r="D17">
            <v>1775</v>
          </cell>
          <cell r="E17">
            <v>3.2</v>
          </cell>
          <cell r="F17">
            <v>0.98429999999999995</v>
          </cell>
          <cell r="G17">
            <v>442</v>
          </cell>
          <cell r="I17">
            <v>100</v>
          </cell>
          <cell r="J17" t="str">
            <v>280S/M</v>
          </cell>
          <cell r="K17">
            <v>75</v>
          </cell>
          <cell r="L17">
            <v>1185</v>
          </cell>
          <cell r="M17">
            <v>2.85</v>
          </cell>
          <cell r="N17">
            <v>2.5289999999999999</v>
          </cell>
          <cell r="O17">
            <v>648</v>
          </cell>
        </row>
        <row r="18">
          <cell r="A18">
            <v>125</v>
          </cell>
          <cell r="B18" t="str">
            <v>280S/M</v>
          </cell>
          <cell r="C18">
            <v>75</v>
          </cell>
          <cell r="D18">
            <v>1780</v>
          </cell>
          <cell r="E18">
            <v>2.35</v>
          </cell>
          <cell r="F18">
            <v>1.8494999999999999</v>
          </cell>
          <cell r="G18">
            <v>638</v>
          </cell>
          <cell r="I18">
            <v>125</v>
          </cell>
          <cell r="J18" t="str">
            <v>280S/M</v>
          </cell>
          <cell r="K18">
            <v>75</v>
          </cell>
          <cell r="L18">
            <v>1185</v>
          </cell>
          <cell r="M18">
            <v>2.75</v>
          </cell>
          <cell r="N18">
            <v>2.9020999999999999</v>
          </cell>
          <cell r="O18">
            <v>700</v>
          </cell>
        </row>
        <row r="19">
          <cell r="A19">
            <v>150</v>
          </cell>
          <cell r="B19" t="str">
            <v>280S/M</v>
          </cell>
          <cell r="C19">
            <v>75</v>
          </cell>
          <cell r="D19">
            <v>1785</v>
          </cell>
          <cell r="E19">
            <v>2.75</v>
          </cell>
          <cell r="F19">
            <v>2.2305999999999999</v>
          </cell>
          <cell r="G19">
            <v>725</v>
          </cell>
          <cell r="I19">
            <v>150</v>
          </cell>
          <cell r="J19" t="str">
            <v>315S/M</v>
          </cell>
          <cell r="K19">
            <v>80</v>
          </cell>
          <cell r="L19">
            <v>1185</v>
          </cell>
          <cell r="M19">
            <v>2.8</v>
          </cell>
          <cell r="N19">
            <v>3.3363999999999998</v>
          </cell>
          <cell r="O19">
            <v>820</v>
          </cell>
        </row>
        <row r="20">
          <cell r="A20">
            <v>200</v>
          </cell>
          <cell r="B20" t="str">
            <v>315S/M</v>
          </cell>
          <cell r="C20">
            <v>80</v>
          </cell>
          <cell r="D20">
            <v>1785</v>
          </cell>
          <cell r="E20">
            <v>2.6</v>
          </cell>
          <cell r="F20">
            <v>2.5985</v>
          </cell>
          <cell r="G20">
            <v>868</v>
          </cell>
          <cell r="I20">
            <v>200</v>
          </cell>
          <cell r="J20" t="str">
            <v>315S/M</v>
          </cell>
          <cell r="K20">
            <v>80</v>
          </cell>
          <cell r="L20">
            <v>1185</v>
          </cell>
          <cell r="M20">
            <v>2.6</v>
          </cell>
          <cell r="N20">
            <v>4.6245000000000003</v>
          </cell>
          <cell r="O20">
            <v>987</v>
          </cell>
        </row>
        <row r="21">
          <cell r="A21">
            <v>250</v>
          </cell>
          <cell r="B21" t="str">
            <v>315S/M</v>
          </cell>
          <cell r="C21">
            <v>80</v>
          </cell>
          <cell r="D21">
            <v>1785</v>
          </cell>
          <cell r="E21">
            <v>2.9</v>
          </cell>
          <cell r="F21">
            <v>3.3536000000000001</v>
          </cell>
          <cell r="G21">
            <v>1005</v>
          </cell>
          <cell r="I21">
            <v>250</v>
          </cell>
          <cell r="J21" t="str">
            <v>355M/L</v>
          </cell>
          <cell r="K21">
            <v>100</v>
          </cell>
          <cell r="L21">
            <v>1190</v>
          </cell>
          <cell r="M21">
            <v>2</v>
          </cell>
          <cell r="N21">
            <v>8.56</v>
          </cell>
          <cell r="O21">
            <v>1367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der"/>
      <sheetName val="Indice do Orçamento"/>
      <sheetName val="dados"/>
      <sheetName val="A.2- RESUMO"/>
      <sheetName val="1-MOD"/>
      <sheetName val="13-MAT-FERR"/>
      <sheetName val="14-MAT.SEG "/>
      <sheetName val="15-DIVERSOS"/>
      <sheetName val="16-EQUIP."/>
      <sheetName val="16-Custo"/>
      <sheetName val="17-MOI"/>
      <sheetName val="18-CANTEIRO"/>
      <sheetName val="19-TRANSP.PESSOAL"/>
      <sheetName val="20-MOB-DESMOB "/>
      <sheetName val="21-REFEICAO"/>
      <sheetName val="22-VARIOS"/>
      <sheetName val="23-TERCEIROS"/>
      <sheetName val="anexo 1 cro"/>
      <sheetName val="anexo 2 hhd"/>
      <sheetName val="anexo 3 mod"/>
      <sheetName val="anexo 4 moi"/>
      <sheetName val="anexo 5 mod"/>
      <sheetName val="anexo 5 moi"/>
      <sheetName val="anexo 7 eq"/>
      <sheetName val="anexo 6 org"/>
      <sheetName val="anexo 7.1"/>
      <sheetName val="anexo 10 Matriz Resp"/>
      <sheetName val="A- coef definido Serviços"/>
      <sheetName val="A1-coef definido  Terceiros"/>
      <sheetName val="A1-coef defin. Resumo(Ser+Terc)"/>
      <sheetName val="A1-venda definida"/>
      <sheetName val="A.3 - CASH_FLOW"/>
      <sheetName val="A.3 GRAF-CASH-FLOW"/>
      <sheetName val="CURVA-S"/>
      <sheetName val="GRÁF-RESUMO"/>
      <sheetName val="DADOS (2)"/>
      <sheetName val="BDI"/>
      <sheetName val="BDI1"/>
      <sheetName val="BDI2"/>
      <sheetName val="A_2_ RESUMO"/>
      <sheetName val="16_EQUIP_"/>
      <sheetName val="17_MOI"/>
      <sheetName val="Completa"/>
      <sheetName val="Indice_do_Orçamento"/>
      <sheetName val="A_2-_RESUMO"/>
      <sheetName val="14-MAT_SEG_"/>
      <sheetName val="16-EQUIP_"/>
      <sheetName val="19-TRANSP_PESSOAL"/>
      <sheetName val="20-MOB-DESMOB_"/>
      <sheetName val="anexo_1_cro"/>
      <sheetName val="anexo_2_hhd"/>
      <sheetName val="anexo_3_mod"/>
      <sheetName val="anexo_4_moi"/>
      <sheetName val="anexo_5_mod"/>
      <sheetName val="anexo_5_moi"/>
      <sheetName val="anexo_7_eq"/>
      <sheetName val="anexo_6_org"/>
      <sheetName val="anexo_7_1"/>
      <sheetName val="anexo_10_Matriz_Resp"/>
      <sheetName val="A-_coef_definido_Serviços"/>
      <sheetName val="A1-coef_definido__Terceiros"/>
      <sheetName val="A1-coef_defin__Resumo(Ser+Terc)"/>
      <sheetName val="A1-venda_definida"/>
      <sheetName val="A_3_-_CASH_FLOW"/>
      <sheetName val="A_3_GRAF-CASH-FLOW"/>
      <sheetName val="DADOS_(2)"/>
      <sheetName val="A_2__RESUMO"/>
      <sheetName val="composicao"/>
      <sheetName val="Presenta1"/>
      <sheetName val="ESTAD_ACC_99"/>
      <sheetName val="G2TempSheet"/>
      <sheetName val="Indice_do_Orçamento1"/>
      <sheetName val="A_2-_RESUMO1"/>
      <sheetName val="14-MAT_SEG_1"/>
      <sheetName val="16-EQUIP_1"/>
      <sheetName val="19-TRANSP_PESSOAL1"/>
      <sheetName val="20-MOB-DESMOB_1"/>
      <sheetName val="anexo_1_cro1"/>
      <sheetName val="anexo_2_hhd1"/>
      <sheetName val="anexo_3_mod1"/>
      <sheetName val="anexo_4_moi1"/>
      <sheetName val="anexo_5_mod1"/>
      <sheetName val="anexo_5_moi1"/>
      <sheetName val="anexo_7_eq1"/>
      <sheetName val="anexo_6_org1"/>
      <sheetName val="anexo_7_11"/>
      <sheetName val="anexo_10_Matriz_Resp1"/>
      <sheetName val="A-_coef_definido_Serviços1"/>
      <sheetName val="A1-coef_definido__Terceiros1"/>
      <sheetName val="A1-coef_defin__Resumo(Ser+Terc1"/>
      <sheetName val="A1-venda_definida1"/>
      <sheetName val="A_3_-_CASH_FLOW1"/>
      <sheetName val="A_3_GRAF-CASH-FLOW1"/>
      <sheetName val="DADOS_(2)1"/>
      <sheetName val="A_2__RESUMO1"/>
      <sheetName val="Acionamento"/>
      <sheetName val="GEMIN"/>
      <sheetName val="Resumo Hh"/>
      <sheetName val="Preços_BSTC"/>
      <sheetName val="Tabela"/>
      <sheetName val="encarreagados"/>
      <sheetName val="Plan3"/>
      <sheetName val="DCF"/>
      <sheetName val="Indice_do_Orçamento2"/>
      <sheetName val="A_2-_RESUMO2"/>
      <sheetName val="14-MAT_SEG_2"/>
      <sheetName val="16-EQUIP_2"/>
      <sheetName val="19-TRANSP_PESSOAL2"/>
      <sheetName val="20-MOB-DESMOB_2"/>
      <sheetName val="anexo_1_cro2"/>
      <sheetName val="anexo_2_hhd2"/>
      <sheetName val="anexo_3_mod2"/>
      <sheetName val="anexo_4_moi2"/>
      <sheetName val="anexo_5_mod2"/>
      <sheetName val="anexo_5_moi2"/>
      <sheetName val="anexo_7_eq2"/>
      <sheetName val="anexo_6_org2"/>
      <sheetName val="anexo_7_12"/>
      <sheetName val="anexo_10_Matriz_Resp2"/>
      <sheetName val="A-_coef_definido_Serviços2"/>
      <sheetName val="A1-coef_definido__Terceiros2"/>
      <sheetName val="A1-coef_defin__Resumo(Ser+Terc2"/>
      <sheetName val="A1-venda_definida2"/>
      <sheetName val="A_3_-_CASH_FLOW2"/>
      <sheetName val="A_3_GRAF-CASH-FLOW2"/>
      <sheetName val="DADOS_(2)2"/>
      <sheetName val="A_2__RESUMO2"/>
      <sheetName val="FAP"/>
      <sheetName val="Motores"/>
      <sheetName val=" PIPEWORK 1  "/>
      <sheetName val="Constante"/>
      <sheetName val="valas"/>
      <sheetName val="P&amp;L  Cashflow"/>
      <sheetName val="Plan1"/>
      <sheetName val="Check List- Gerrot"/>
      <sheetName val="Tabelas"/>
      <sheetName val="MOB"/>
      <sheetName val="CAPA -1"/>
      <sheetName val="Flotação"/>
      <sheetName val="EAP"/>
      <sheetName val="GERAL"/>
      <sheetName val="Variáveis"/>
      <sheetName val="XXXX"/>
      <sheetName val="Lay-Out"/>
      <sheetName val="Crono_Equip-CFE"/>
      <sheetName val="Curva&quot;S&quot;"/>
      <sheetName val="Crono-Mo"/>
      <sheetName val="calculo1"/>
      <sheetName val="PPU Rhodia"/>
      <sheetName val="PPU MCE"/>
      <sheetName val="Tarifa MO"/>
      <sheetName val="Tarifa EQUIP"/>
      <sheetName val="ORG_PRO"/>
      <sheetName val="Indice_do_Orçamento3"/>
      <sheetName val="A_2-_RESUMO3"/>
      <sheetName val="14-MAT_SEG_3"/>
      <sheetName val="16-EQUIP_3"/>
      <sheetName val="19-TRANSP_PESSOAL3"/>
      <sheetName val="20-MOB-DESMOB_3"/>
      <sheetName val="anexo_1_cro3"/>
      <sheetName val="anexo_2_hhd3"/>
      <sheetName val="anexo_3_mod3"/>
      <sheetName val="anexo_4_moi3"/>
      <sheetName val="anexo_5_mod3"/>
      <sheetName val="anexo_5_moi3"/>
      <sheetName val="anexo_7_eq3"/>
      <sheetName val="anexo_6_org3"/>
      <sheetName val="anexo_7_13"/>
      <sheetName val="anexo_10_Matriz_Resp3"/>
      <sheetName val="A-_coef_definido_Serviços3"/>
      <sheetName val="A1-coef_definido__Terceiros3"/>
      <sheetName val="A1-coef_defin__Resumo(Ser+Terc3"/>
      <sheetName val="A1-venda_definida3"/>
      <sheetName val="A_3_-_CASH_FLOW3"/>
      <sheetName val="A_3_GRAF-CASH-FLOW3"/>
      <sheetName val="DADOS_(2)3"/>
      <sheetName val="A_2__RESUMO3"/>
      <sheetName val="Currencies"/>
      <sheetName val="Catalogo totale"/>
      <sheetName val="Ubicazioni"/>
      <sheetName val="Indice Precos Mes"/>
      <sheetName val="RESUMO-DV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C"/>
      <sheetName val="FINAME-LEASING  TJLP"/>
      <sheetName val="FINAME"/>
      <sheetName val="Plan2"/>
      <sheetName val="Plan3"/>
      <sheetName val="Acionamento"/>
      <sheetName val="Motores"/>
      <sheetName val="Adm Local"/>
      <sheetName val="Fresagem de Pista Ago-98"/>
      <sheetName val="Valor mens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97"/>
    </sheetNames>
    <definedNames>
      <definedName name="telaC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 ACIONAMENTO"/>
      <sheetName val="Motores"/>
      <sheetName val="Voith"/>
      <sheetName val="henfel"/>
      <sheetName val="Fluidrive"/>
      <sheetName val="ACOPL ENG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FUNCOES_PQ"/>
      <sheetName val="Efetivo BD"/>
    </sheetNames>
    <sheetDataSet>
      <sheetData sheetId="0" refreshError="1"/>
      <sheetData sheetId="1" refreshError="1"/>
      <sheetData sheetId="2" refreshError="1">
        <row r="1">
          <cell r="A1" t="str">
            <v>POT.</v>
          </cell>
          <cell r="B1" t="str">
            <v>Tipo</v>
          </cell>
          <cell r="C1" t="str">
            <v>D.Furo</v>
          </cell>
          <cell r="D1" t="str">
            <v>PESO</v>
          </cell>
          <cell r="F1" t="str">
            <v>POT.</v>
          </cell>
          <cell r="G1" t="str">
            <v>Tipo</v>
          </cell>
          <cell r="H1" t="str">
            <v>D.Furo</v>
          </cell>
          <cell r="I1" t="str">
            <v>PESO</v>
          </cell>
        </row>
        <row r="2">
          <cell r="A2" t="str">
            <v>CV</v>
          </cell>
          <cell r="C2" t="str">
            <v>(mm)</v>
          </cell>
          <cell r="D2" t="str">
            <v>KG</v>
          </cell>
          <cell r="F2" t="str">
            <v>CV</v>
          </cell>
          <cell r="H2" t="str">
            <v>(mm)</v>
          </cell>
          <cell r="I2" t="str">
            <v>KG</v>
          </cell>
        </row>
        <row r="3">
          <cell r="A3">
            <v>2</v>
          </cell>
          <cell r="B3" t="str">
            <v>154D</v>
          </cell>
          <cell r="C3" t="str">
            <v>-</v>
          </cell>
          <cell r="D3">
            <v>19</v>
          </cell>
          <cell r="F3">
            <v>2</v>
          </cell>
          <cell r="G3" t="str">
            <v>206D</v>
          </cell>
          <cell r="H3" t="str">
            <v xml:space="preserve"> -</v>
          </cell>
          <cell r="I3">
            <v>33</v>
          </cell>
        </row>
        <row r="4">
          <cell r="A4">
            <v>3</v>
          </cell>
          <cell r="B4" t="str">
            <v>206</v>
          </cell>
          <cell r="C4" t="str">
            <v>-</v>
          </cell>
          <cell r="D4">
            <v>23</v>
          </cell>
          <cell r="F4">
            <v>3</v>
          </cell>
          <cell r="G4">
            <v>274</v>
          </cell>
          <cell r="H4" t="str">
            <v>-</v>
          </cell>
          <cell r="I4">
            <v>35</v>
          </cell>
        </row>
        <row r="5">
          <cell r="A5">
            <v>5</v>
          </cell>
          <cell r="B5" t="str">
            <v>206D</v>
          </cell>
          <cell r="C5" t="str">
            <v>-</v>
          </cell>
          <cell r="D5">
            <v>33</v>
          </cell>
          <cell r="F5">
            <v>5</v>
          </cell>
          <cell r="G5">
            <v>274</v>
          </cell>
          <cell r="H5" t="str">
            <v>-</v>
          </cell>
          <cell r="I5">
            <v>35</v>
          </cell>
        </row>
        <row r="6">
          <cell r="A6">
            <v>7.5</v>
          </cell>
          <cell r="B6" t="str">
            <v>206D</v>
          </cell>
          <cell r="C6" t="str">
            <v>-</v>
          </cell>
          <cell r="D6">
            <v>33</v>
          </cell>
          <cell r="F6">
            <v>7.5</v>
          </cell>
          <cell r="G6" t="str">
            <v>274D</v>
          </cell>
          <cell r="H6" t="str">
            <v>-</v>
          </cell>
          <cell r="I6">
            <v>45</v>
          </cell>
        </row>
        <row r="7">
          <cell r="A7">
            <v>10</v>
          </cell>
          <cell r="B7" t="str">
            <v>274</v>
          </cell>
          <cell r="C7" t="str">
            <v>-</v>
          </cell>
          <cell r="D7">
            <v>35</v>
          </cell>
          <cell r="F7">
            <v>10</v>
          </cell>
          <cell r="G7" t="str">
            <v>274D</v>
          </cell>
          <cell r="H7" t="str">
            <v>-</v>
          </cell>
          <cell r="I7">
            <v>45</v>
          </cell>
        </row>
        <row r="8">
          <cell r="A8">
            <v>12.5</v>
          </cell>
          <cell r="B8" t="str">
            <v>274</v>
          </cell>
          <cell r="C8" t="str">
            <v>-</v>
          </cell>
          <cell r="D8">
            <v>35</v>
          </cell>
          <cell r="F8">
            <v>12.5</v>
          </cell>
          <cell r="G8">
            <v>366</v>
          </cell>
          <cell r="H8">
            <v>55</v>
          </cell>
          <cell r="I8">
            <v>53</v>
          </cell>
        </row>
        <row r="9">
          <cell r="A9">
            <v>15</v>
          </cell>
          <cell r="B9" t="str">
            <v>274</v>
          </cell>
          <cell r="C9" t="str">
            <v>-</v>
          </cell>
          <cell r="D9">
            <v>35</v>
          </cell>
          <cell r="F9">
            <v>15</v>
          </cell>
          <cell r="G9">
            <v>366</v>
          </cell>
          <cell r="H9">
            <v>55</v>
          </cell>
          <cell r="I9">
            <v>53</v>
          </cell>
        </row>
        <row r="10">
          <cell r="A10">
            <v>20</v>
          </cell>
          <cell r="B10" t="str">
            <v>274D</v>
          </cell>
          <cell r="C10" t="str">
            <v>-</v>
          </cell>
          <cell r="D10">
            <v>45</v>
          </cell>
          <cell r="F10">
            <v>20</v>
          </cell>
          <cell r="G10">
            <v>366</v>
          </cell>
          <cell r="H10">
            <v>55</v>
          </cell>
          <cell r="I10">
            <v>53</v>
          </cell>
        </row>
        <row r="11">
          <cell r="A11">
            <v>25</v>
          </cell>
          <cell r="B11" t="str">
            <v>274D</v>
          </cell>
          <cell r="C11" t="str">
            <v>-</v>
          </cell>
          <cell r="D11">
            <v>45</v>
          </cell>
          <cell r="F11">
            <v>25</v>
          </cell>
          <cell r="G11">
            <v>422</v>
          </cell>
          <cell r="H11">
            <v>65</v>
          </cell>
          <cell r="I11">
            <v>88</v>
          </cell>
        </row>
        <row r="12">
          <cell r="A12">
            <v>30</v>
          </cell>
          <cell r="B12" t="str">
            <v>274D</v>
          </cell>
          <cell r="C12" t="str">
            <v>-</v>
          </cell>
          <cell r="D12">
            <v>45</v>
          </cell>
          <cell r="F12">
            <v>30</v>
          </cell>
          <cell r="G12">
            <v>422</v>
          </cell>
          <cell r="H12">
            <v>65</v>
          </cell>
          <cell r="I12">
            <v>88</v>
          </cell>
        </row>
        <row r="13">
          <cell r="A13">
            <v>40</v>
          </cell>
          <cell r="B13" t="str">
            <v>366</v>
          </cell>
          <cell r="C13">
            <v>55</v>
          </cell>
          <cell r="D13">
            <v>53</v>
          </cell>
          <cell r="F13">
            <v>40</v>
          </cell>
          <cell r="G13">
            <v>422</v>
          </cell>
          <cell r="H13">
            <v>65</v>
          </cell>
          <cell r="I13">
            <v>88</v>
          </cell>
        </row>
        <row r="14">
          <cell r="A14">
            <v>50</v>
          </cell>
          <cell r="B14" t="str">
            <v>366</v>
          </cell>
          <cell r="C14">
            <v>55</v>
          </cell>
          <cell r="D14">
            <v>53</v>
          </cell>
          <cell r="F14">
            <v>50</v>
          </cell>
          <cell r="G14">
            <v>487</v>
          </cell>
          <cell r="H14">
            <v>80</v>
          </cell>
          <cell r="I14">
            <v>127</v>
          </cell>
        </row>
        <row r="15">
          <cell r="A15">
            <v>60</v>
          </cell>
          <cell r="B15" t="str">
            <v>366</v>
          </cell>
          <cell r="C15">
            <v>55</v>
          </cell>
          <cell r="D15">
            <v>53</v>
          </cell>
          <cell r="F15">
            <v>60</v>
          </cell>
          <cell r="G15">
            <v>487</v>
          </cell>
          <cell r="H15">
            <v>80</v>
          </cell>
          <cell r="I15">
            <v>127</v>
          </cell>
        </row>
        <row r="16">
          <cell r="A16">
            <v>75</v>
          </cell>
          <cell r="B16" t="str">
            <v>366</v>
          </cell>
          <cell r="C16">
            <v>55</v>
          </cell>
          <cell r="D16">
            <v>53</v>
          </cell>
          <cell r="F16">
            <v>75</v>
          </cell>
          <cell r="G16">
            <v>487</v>
          </cell>
          <cell r="H16">
            <v>80</v>
          </cell>
          <cell r="I16">
            <v>127</v>
          </cell>
        </row>
        <row r="17">
          <cell r="A17">
            <v>100</v>
          </cell>
          <cell r="B17" t="str">
            <v>422</v>
          </cell>
          <cell r="C17">
            <v>65</v>
          </cell>
          <cell r="D17">
            <v>88</v>
          </cell>
          <cell r="F17">
            <v>100</v>
          </cell>
          <cell r="G17">
            <v>562</v>
          </cell>
          <cell r="H17">
            <v>90</v>
          </cell>
          <cell r="I17">
            <v>175</v>
          </cell>
        </row>
        <row r="18">
          <cell r="A18">
            <v>125</v>
          </cell>
          <cell r="B18" t="str">
            <v>422</v>
          </cell>
          <cell r="C18">
            <v>65</v>
          </cell>
          <cell r="D18">
            <v>88</v>
          </cell>
          <cell r="F18">
            <v>125</v>
          </cell>
          <cell r="G18">
            <v>562</v>
          </cell>
          <cell r="H18">
            <v>90</v>
          </cell>
          <cell r="I18">
            <v>175</v>
          </cell>
        </row>
        <row r="19">
          <cell r="A19">
            <v>150</v>
          </cell>
          <cell r="B19" t="str">
            <v>422</v>
          </cell>
          <cell r="C19">
            <v>65</v>
          </cell>
          <cell r="D19">
            <v>88</v>
          </cell>
          <cell r="F19">
            <v>150</v>
          </cell>
          <cell r="G19">
            <v>562</v>
          </cell>
          <cell r="H19">
            <v>90</v>
          </cell>
          <cell r="I19">
            <v>175</v>
          </cell>
        </row>
        <row r="20">
          <cell r="A20">
            <v>200</v>
          </cell>
          <cell r="B20" t="str">
            <v>487</v>
          </cell>
          <cell r="C20">
            <v>80</v>
          </cell>
          <cell r="D20">
            <v>127</v>
          </cell>
          <cell r="F20">
            <v>200</v>
          </cell>
          <cell r="G20">
            <v>650</v>
          </cell>
          <cell r="H20">
            <v>100</v>
          </cell>
          <cell r="I20">
            <v>301</v>
          </cell>
        </row>
        <row r="21">
          <cell r="A21">
            <v>250</v>
          </cell>
          <cell r="B21" t="str">
            <v>487</v>
          </cell>
          <cell r="C21">
            <v>80</v>
          </cell>
          <cell r="D21">
            <v>127</v>
          </cell>
          <cell r="F21">
            <v>250</v>
          </cell>
          <cell r="G21">
            <v>650</v>
          </cell>
          <cell r="H21">
            <v>100</v>
          </cell>
          <cell r="I21">
            <v>301</v>
          </cell>
        </row>
        <row r="22">
          <cell r="A22">
            <v>300</v>
          </cell>
          <cell r="B22" t="str">
            <v>562</v>
          </cell>
          <cell r="C22">
            <v>90</v>
          </cell>
          <cell r="D22">
            <v>175</v>
          </cell>
          <cell r="F22">
            <v>300</v>
          </cell>
          <cell r="G22">
            <v>650</v>
          </cell>
          <cell r="H22">
            <v>100</v>
          </cell>
          <cell r="I22">
            <v>301</v>
          </cell>
        </row>
        <row r="23">
          <cell r="A23">
            <v>350</v>
          </cell>
          <cell r="B23" t="str">
            <v>562</v>
          </cell>
          <cell r="C23">
            <v>90</v>
          </cell>
          <cell r="D23">
            <v>175</v>
          </cell>
          <cell r="F23">
            <v>350</v>
          </cell>
          <cell r="G23">
            <v>650</v>
          </cell>
          <cell r="H23">
            <v>100</v>
          </cell>
          <cell r="I23">
            <v>301</v>
          </cell>
        </row>
        <row r="24">
          <cell r="A24">
            <v>400</v>
          </cell>
          <cell r="B24" t="str">
            <v>562</v>
          </cell>
          <cell r="C24">
            <v>90</v>
          </cell>
          <cell r="D24">
            <v>175</v>
          </cell>
          <cell r="F24">
            <v>400</v>
          </cell>
          <cell r="G24">
            <v>650</v>
          </cell>
          <cell r="H24">
            <v>100</v>
          </cell>
          <cell r="I24">
            <v>301</v>
          </cell>
        </row>
        <row r="25">
          <cell r="A25">
            <v>450</v>
          </cell>
          <cell r="B25" t="str">
            <v>650</v>
          </cell>
          <cell r="C25">
            <v>100</v>
          </cell>
          <cell r="D25">
            <v>301</v>
          </cell>
          <cell r="F25">
            <v>450</v>
          </cell>
          <cell r="G25">
            <v>750</v>
          </cell>
          <cell r="I25">
            <v>400</v>
          </cell>
        </row>
        <row r="26">
          <cell r="A26">
            <v>500</v>
          </cell>
          <cell r="B26" t="str">
            <v>650</v>
          </cell>
          <cell r="C26">
            <v>100</v>
          </cell>
          <cell r="D26">
            <v>301</v>
          </cell>
          <cell r="F26">
            <v>500</v>
          </cell>
          <cell r="G26">
            <v>750</v>
          </cell>
          <cell r="I26">
            <v>400</v>
          </cell>
        </row>
        <row r="27">
          <cell r="A27">
            <v>600</v>
          </cell>
          <cell r="B27" t="str">
            <v>650</v>
          </cell>
          <cell r="C27">
            <v>100</v>
          </cell>
          <cell r="D27">
            <v>301</v>
          </cell>
          <cell r="F27">
            <v>600</v>
          </cell>
          <cell r="G27">
            <v>750</v>
          </cell>
          <cell r="I27">
            <v>400</v>
          </cell>
        </row>
        <row r="28">
          <cell r="A28">
            <v>700</v>
          </cell>
          <cell r="B28" t="str">
            <v>650</v>
          </cell>
          <cell r="C28">
            <v>100</v>
          </cell>
          <cell r="D28">
            <v>301</v>
          </cell>
          <cell r="F28">
            <v>700</v>
          </cell>
          <cell r="G28">
            <v>866</v>
          </cell>
        </row>
      </sheetData>
      <sheetData sheetId="3" refreshError="1">
        <row r="1">
          <cell r="A1" t="str">
            <v>POT.</v>
          </cell>
          <cell r="B1" t="str">
            <v>Tipo</v>
          </cell>
          <cell r="C1" t="str">
            <v>D.Furo</v>
          </cell>
          <cell r="D1" t="str">
            <v>PESO</v>
          </cell>
          <cell r="F1" t="str">
            <v>POT.</v>
          </cell>
          <cell r="G1" t="str">
            <v>Tipo</v>
          </cell>
          <cell r="H1" t="str">
            <v>D.Furo</v>
          </cell>
          <cell r="I1" t="str">
            <v>PESO</v>
          </cell>
        </row>
        <row r="2">
          <cell r="A2" t="str">
            <v>CV</v>
          </cell>
          <cell r="C2" t="str">
            <v>(mm)</v>
          </cell>
          <cell r="D2" t="str">
            <v>KG</v>
          </cell>
          <cell r="F2" t="str">
            <v>CV</v>
          </cell>
          <cell r="H2" t="str">
            <v>(mm)</v>
          </cell>
          <cell r="I2" t="str">
            <v>KG</v>
          </cell>
        </row>
        <row r="3">
          <cell r="A3">
            <v>2</v>
          </cell>
          <cell r="B3" t="str">
            <v>HLE 05</v>
          </cell>
          <cell r="C3">
            <v>40</v>
          </cell>
          <cell r="D3">
            <v>7</v>
          </cell>
          <cell r="F3">
            <v>2</v>
          </cell>
          <cell r="G3" t="str">
            <v>HLE 10</v>
          </cell>
          <cell r="H3">
            <v>42</v>
          </cell>
          <cell r="I3">
            <v>11</v>
          </cell>
        </row>
        <row r="4">
          <cell r="A4">
            <v>3</v>
          </cell>
          <cell r="B4" t="str">
            <v>HLE 05</v>
          </cell>
          <cell r="C4">
            <v>40</v>
          </cell>
          <cell r="D4">
            <v>7</v>
          </cell>
          <cell r="F4">
            <v>3</v>
          </cell>
          <cell r="G4" t="str">
            <v>HLE 10</v>
          </cell>
          <cell r="H4">
            <v>55</v>
          </cell>
          <cell r="I4">
            <v>20</v>
          </cell>
        </row>
        <row r="5">
          <cell r="A5">
            <v>5</v>
          </cell>
          <cell r="B5" t="str">
            <v>HLE 05</v>
          </cell>
          <cell r="C5">
            <v>40</v>
          </cell>
          <cell r="D5">
            <v>7</v>
          </cell>
          <cell r="F5">
            <v>5</v>
          </cell>
          <cell r="G5" t="str">
            <v>HLE 15</v>
          </cell>
          <cell r="H5">
            <v>55</v>
          </cell>
          <cell r="I5">
            <v>20</v>
          </cell>
        </row>
        <row r="6">
          <cell r="A6">
            <v>7.5</v>
          </cell>
          <cell r="B6" t="str">
            <v>HLE 10</v>
          </cell>
          <cell r="C6">
            <v>42</v>
          </cell>
          <cell r="D6">
            <v>11</v>
          </cell>
          <cell r="F6">
            <v>7.5</v>
          </cell>
          <cell r="G6" t="str">
            <v>HLE 30</v>
          </cell>
          <cell r="H6">
            <v>55</v>
          </cell>
          <cell r="I6">
            <v>25</v>
          </cell>
        </row>
        <row r="7">
          <cell r="A7">
            <v>10</v>
          </cell>
          <cell r="B7" t="str">
            <v>HLE 10</v>
          </cell>
          <cell r="C7">
            <v>42</v>
          </cell>
          <cell r="D7">
            <v>11</v>
          </cell>
          <cell r="F7">
            <v>10</v>
          </cell>
          <cell r="G7" t="str">
            <v>HLE 30</v>
          </cell>
          <cell r="H7">
            <v>55</v>
          </cell>
          <cell r="I7">
            <v>25</v>
          </cell>
        </row>
        <row r="8">
          <cell r="A8">
            <v>12.5</v>
          </cell>
          <cell r="B8" t="str">
            <v>HLE 15</v>
          </cell>
          <cell r="C8">
            <v>55</v>
          </cell>
          <cell r="D8">
            <v>20</v>
          </cell>
          <cell r="F8">
            <v>12.5</v>
          </cell>
          <cell r="G8" t="str">
            <v>HLE 30</v>
          </cell>
          <cell r="H8">
            <v>55</v>
          </cell>
          <cell r="I8">
            <v>37</v>
          </cell>
        </row>
        <row r="9">
          <cell r="A9">
            <v>15</v>
          </cell>
          <cell r="B9" t="str">
            <v>HLE 15</v>
          </cell>
          <cell r="C9">
            <v>55</v>
          </cell>
          <cell r="D9">
            <v>20</v>
          </cell>
          <cell r="F9">
            <v>15</v>
          </cell>
          <cell r="G9" t="str">
            <v>HLE 50R</v>
          </cell>
          <cell r="H9">
            <v>55</v>
          </cell>
          <cell r="I9">
            <v>37</v>
          </cell>
        </row>
        <row r="10">
          <cell r="A10">
            <v>20</v>
          </cell>
          <cell r="B10" t="str">
            <v>HLE 30</v>
          </cell>
          <cell r="C10">
            <v>55</v>
          </cell>
          <cell r="D10">
            <v>25</v>
          </cell>
          <cell r="F10">
            <v>20</v>
          </cell>
          <cell r="G10" t="str">
            <v>HLE 50R</v>
          </cell>
          <cell r="H10">
            <v>65</v>
          </cell>
          <cell r="I10">
            <v>45</v>
          </cell>
        </row>
        <row r="11">
          <cell r="A11">
            <v>25</v>
          </cell>
          <cell r="B11" t="str">
            <v>HLE 30</v>
          </cell>
          <cell r="C11">
            <v>55</v>
          </cell>
          <cell r="D11">
            <v>25</v>
          </cell>
          <cell r="F11">
            <v>25</v>
          </cell>
          <cell r="G11" t="str">
            <v>HLE 75R</v>
          </cell>
          <cell r="H11">
            <v>65</v>
          </cell>
          <cell r="I11">
            <v>45</v>
          </cell>
        </row>
        <row r="12">
          <cell r="A12">
            <v>30</v>
          </cell>
          <cell r="B12" t="str">
            <v>HLE 30</v>
          </cell>
          <cell r="C12">
            <v>55</v>
          </cell>
          <cell r="D12">
            <v>25</v>
          </cell>
          <cell r="F12">
            <v>30</v>
          </cell>
          <cell r="G12" t="str">
            <v>HLE 75R</v>
          </cell>
          <cell r="H12">
            <v>65</v>
          </cell>
          <cell r="I12">
            <v>45</v>
          </cell>
        </row>
        <row r="13">
          <cell r="A13">
            <v>40</v>
          </cell>
          <cell r="B13" t="str">
            <v>HLE 50R</v>
          </cell>
          <cell r="C13">
            <v>55</v>
          </cell>
          <cell r="D13">
            <v>37</v>
          </cell>
          <cell r="F13">
            <v>40</v>
          </cell>
          <cell r="G13" t="str">
            <v>HLE 100R</v>
          </cell>
          <cell r="H13">
            <v>80</v>
          </cell>
          <cell r="I13">
            <v>70</v>
          </cell>
        </row>
        <row r="14">
          <cell r="A14">
            <v>50</v>
          </cell>
          <cell r="B14" t="str">
            <v>HLE 75R</v>
          </cell>
          <cell r="C14">
            <v>55</v>
          </cell>
          <cell r="D14">
            <v>37</v>
          </cell>
          <cell r="F14">
            <v>50</v>
          </cell>
          <cell r="G14" t="str">
            <v>HLE 100R</v>
          </cell>
          <cell r="H14">
            <v>80</v>
          </cell>
          <cell r="I14">
            <v>70</v>
          </cell>
        </row>
        <row r="15">
          <cell r="A15">
            <v>60</v>
          </cell>
          <cell r="B15" t="str">
            <v>HLE 75R</v>
          </cell>
          <cell r="C15">
            <v>65</v>
          </cell>
          <cell r="D15">
            <v>45</v>
          </cell>
          <cell r="F15">
            <v>60</v>
          </cell>
          <cell r="G15" t="str">
            <v>HLE 150R</v>
          </cell>
          <cell r="H15">
            <v>80</v>
          </cell>
          <cell r="I15">
            <v>85</v>
          </cell>
        </row>
        <row r="16">
          <cell r="A16">
            <v>75</v>
          </cell>
          <cell r="B16" t="str">
            <v>HLE 100R</v>
          </cell>
          <cell r="C16">
            <v>65</v>
          </cell>
          <cell r="D16">
            <v>45</v>
          </cell>
          <cell r="F16">
            <v>75</v>
          </cell>
          <cell r="G16" t="str">
            <v>HLE 150R</v>
          </cell>
          <cell r="H16">
            <v>80</v>
          </cell>
          <cell r="I16">
            <v>85</v>
          </cell>
        </row>
        <row r="17">
          <cell r="A17">
            <v>100</v>
          </cell>
          <cell r="B17" t="str">
            <v>HLE 100R</v>
          </cell>
          <cell r="C17">
            <v>80</v>
          </cell>
          <cell r="D17">
            <v>70</v>
          </cell>
          <cell r="F17">
            <v>100</v>
          </cell>
          <cell r="G17" t="str">
            <v>HLE 250R</v>
          </cell>
          <cell r="H17">
            <v>80</v>
          </cell>
          <cell r="I17">
            <v>125</v>
          </cell>
        </row>
        <row r="18">
          <cell r="A18">
            <v>125</v>
          </cell>
          <cell r="B18" t="str">
            <v>HLE 150R</v>
          </cell>
          <cell r="C18">
            <v>80</v>
          </cell>
          <cell r="D18">
            <v>85</v>
          </cell>
          <cell r="F18">
            <v>125</v>
          </cell>
          <cell r="G18" t="str">
            <v>HLE 350R</v>
          </cell>
          <cell r="H18">
            <v>100</v>
          </cell>
          <cell r="I18">
            <v>135</v>
          </cell>
        </row>
        <row r="19">
          <cell r="A19">
            <v>150</v>
          </cell>
          <cell r="B19" t="str">
            <v>HLE 150R</v>
          </cell>
          <cell r="C19">
            <v>80</v>
          </cell>
          <cell r="D19">
            <v>125</v>
          </cell>
          <cell r="F19">
            <v>150</v>
          </cell>
          <cell r="G19" t="str">
            <v>HLE 350R</v>
          </cell>
          <cell r="H19">
            <v>100</v>
          </cell>
          <cell r="I19">
            <v>135</v>
          </cell>
        </row>
        <row r="20">
          <cell r="A20">
            <v>200</v>
          </cell>
          <cell r="B20" t="str">
            <v>HLE 250R</v>
          </cell>
          <cell r="C20">
            <v>80</v>
          </cell>
          <cell r="D20">
            <v>125</v>
          </cell>
          <cell r="F20">
            <v>200</v>
          </cell>
          <cell r="G20" t="str">
            <v>HLE 350R</v>
          </cell>
          <cell r="H20">
            <v>125</v>
          </cell>
          <cell r="I20">
            <v>230</v>
          </cell>
        </row>
        <row r="21">
          <cell r="A21">
            <v>250</v>
          </cell>
          <cell r="B21" t="str">
            <v>HLE 250R</v>
          </cell>
          <cell r="C21">
            <v>80</v>
          </cell>
          <cell r="D21">
            <v>125</v>
          </cell>
          <cell r="F21">
            <v>250</v>
          </cell>
          <cell r="G21" t="str">
            <v>HLE 500R</v>
          </cell>
          <cell r="H21">
            <v>125</v>
          </cell>
          <cell r="I21">
            <v>230</v>
          </cell>
        </row>
        <row r="22">
          <cell r="A22">
            <v>300</v>
          </cell>
          <cell r="B22" t="str">
            <v>HLE 350R</v>
          </cell>
          <cell r="C22">
            <v>100</v>
          </cell>
          <cell r="D22">
            <v>135</v>
          </cell>
          <cell r="F22">
            <v>300</v>
          </cell>
          <cell r="G22" t="str">
            <v>HLE 500R</v>
          </cell>
          <cell r="H22">
            <v>125</v>
          </cell>
          <cell r="I22">
            <v>230</v>
          </cell>
        </row>
        <row r="23">
          <cell r="A23">
            <v>350</v>
          </cell>
          <cell r="B23" t="str">
            <v>HLE 350R</v>
          </cell>
          <cell r="C23">
            <v>100</v>
          </cell>
          <cell r="D23">
            <v>135</v>
          </cell>
          <cell r="F23">
            <v>350</v>
          </cell>
          <cell r="G23" t="str">
            <v>HLE 750R</v>
          </cell>
          <cell r="H23">
            <v>125</v>
          </cell>
          <cell r="I23">
            <v>260</v>
          </cell>
        </row>
        <row r="24">
          <cell r="A24">
            <v>400</v>
          </cell>
          <cell r="B24" t="str">
            <v>HLE 500R</v>
          </cell>
          <cell r="C24">
            <v>125</v>
          </cell>
          <cell r="D24">
            <v>230</v>
          </cell>
          <cell r="F24">
            <v>400</v>
          </cell>
          <cell r="G24" t="str">
            <v>HLE 750R</v>
          </cell>
          <cell r="H24">
            <v>125</v>
          </cell>
          <cell r="I24">
            <v>260</v>
          </cell>
        </row>
        <row r="25">
          <cell r="A25">
            <v>450</v>
          </cell>
          <cell r="B25" t="str">
            <v>HLE 500R</v>
          </cell>
          <cell r="C25">
            <v>125</v>
          </cell>
          <cell r="D25">
            <v>230</v>
          </cell>
          <cell r="F25">
            <v>450</v>
          </cell>
          <cell r="G25" t="str">
            <v>HLE 750R</v>
          </cell>
          <cell r="H25">
            <v>125</v>
          </cell>
          <cell r="I25">
            <v>260</v>
          </cell>
        </row>
        <row r="26">
          <cell r="A26">
            <v>500</v>
          </cell>
          <cell r="B26" t="str">
            <v>HLE 500R</v>
          </cell>
          <cell r="C26">
            <v>125</v>
          </cell>
          <cell r="D26">
            <v>230</v>
          </cell>
          <cell r="F26">
            <v>500</v>
          </cell>
          <cell r="G26" t="str">
            <v>HLE 1000R</v>
          </cell>
          <cell r="H26">
            <v>140</v>
          </cell>
          <cell r="I26">
            <v>350</v>
          </cell>
        </row>
        <row r="27">
          <cell r="A27">
            <v>600</v>
          </cell>
          <cell r="B27" t="str">
            <v>HLE 500R</v>
          </cell>
          <cell r="C27">
            <v>125</v>
          </cell>
          <cell r="D27">
            <v>230</v>
          </cell>
          <cell r="F27">
            <v>600</v>
          </cell>
          <cell r="G27" t="str">
            <v>HLE 1000R</v>
          </cell>
          <cell r="H27">
            <v>140</v>
          </cell>
          <cell r="I27">
            <v>350</v>
          </cell>
        </row>
        <row r="28">
          <cell r="A28">
            <v>700</v>
          </cell>
          <cell r="B28" t="str">
            <v>HLE 750R</v>
          </cell>
          <cell r="C28">
            <v>125</v>
          </cell>
          <cell r="D28">
            <v>260</v>
          </cell>
          <cell r="F28">
            <v>700</v>
          </cell>
          <cell r="G28" t="str">
            <v>HLE 1000R</v>
          </cell>
          <cell r="H28">
            <v>140</v>
          </cell>
          <cell r="I28">
            <v>350</v>
          </cell>
        </row>
      </sheetData>
      <sheetData sheetId="4" refreshError="1"/>
      <sheetData sheetId="5" refreshError="1">
        <row r="3">
          <cell r="A3">
            <v>0</v>
          </cell>
          <cell r="B3">
            <v>620</v>
          </cell>
          <cell r="C3" t="str">
            <v>NVD110</v>
          </cell>
          <cell r="D3">
            <v>44</v>
          </cell>
          <cell r="E3">
            <v>4</v>
          </cell>
          <cell r="F3">
            <v>0</v>
          </cell>
          <cell r="G3">
            <v>1140</v>
          </cell>
          <cell r="H3" t="str">
            <v>1010G20</v>
          </cell>
          <cell r="I3">
            <v>50</v>
          </cell>
          <cell r="J3">
            <v>4.54</v>
          </cell>
        </row>
        <row r="4">
          <cell r="A4">
            <v>621</v>
          </cell>
          <cell r="B4">
            <v>1950</v>
          </cell>
          <cell r="C4" t="str">
            <v>NVD115</v>
          </cell>
          <cell r="D4">
            <v>65</v>
          </cell>
          <cell r="E4">
            <v>9.1</v>
          </cell>
          <cell r="F4">
            <v>1141</v>
          </cell>
          <cell r="G4">
            <v>2350</v>
          </cell>
          <cell r="H4" t="str">
            <v>1015G20</v>
          </cell>
          <cell r="I4">
            <v>65</v>
          </cell>
          <cell r="J4">
            <v>9.07</v>
          </cell>
        </row>
        <row r="5">
          <cell r="A5">
            <v>1951</v>
          </cell>
          <cell r="B5">
            <v>3500</v>
          </cell>
          <cell r="C5" t="str">
            <v>NVD120</v>
          </cell>
          <cell r="D5">
            <v>77</v>
          </cell>
          <cell r="E5">
            <v>15</v>
          </cell>
          <cell r="F5">
            <v>2351</v>
          </cell>
          <cell r="G5">
            <v>4270</v>
          </cell>
          <cell r="H5" t="str">
            <v>1020G20</v>
          </cell>
          <cell r="I5">
            <v>78</v>
          </cell>
          <cell r="J5">
            <v>15.9</v>
          </cell>
        </row>
        <row r="6">
          <cell r="A6">
            <v>3501</v>
          </cell>
          <cell r="B6">
            <v>6500</v>
          </cell>
          <cell r="C6" t="str">
            <v>NVD125</v>
          </cell>
          <cell r="D6">
            <v>100</v>
          </cell>
          <cell r="E6">
            <v>27</v>
          </cell>
          <cell r="F6">
            <v>4271</v>
          </cell>
          <cell r="G6">
            <v>7470</v>
          </cell>
          <cell r="H6" t="str">
            <v>1025G20</v>
          </cell>
          <cell r="I6">
            <v>98</v>
          </cell>
          <cell r="J6">
            <v>29.5</v>
          </cell>
        </row>
        <row r="7">
          <cell r="A7">
            <v>6501</v>
          </cell>
          <cell r="B7">
            <v>11000</v>
          </cell>
          <cell r="C7" t="str">
            <v>NVD130</v>
          </cell>
          <cell r="D7">
            <v>119</v>
          </cell>
          <cell r="E7">
            <v>41</v>
          </cell>
          <cell r="F7">
            <v>7471</v>
          </cell>
          <cell r="G7">
            <v>12100</v>
          </cell>
          <cell r="H7" t="str">
            <v>1030G20</v>
          </cell>
          <cell r="I7">
            <v>111</v>
          </cell>
          <cell r="J7">
            <v>43.1</v>
          </cell>
        </row>
        <row r="8">
          <cell r="A8">
            <v>11001</v>
          </cell>
          <cell r="B8">
            <v>16500</v>
          </cell>
          <cell r="C8" t="str">
            <v>NVD135</v>
          </cell>
          <cell r="D8">
            <v>132</v>
          </cell>
          <cell r="E8">
            <v>65</v>
          </cell>
          <cell r="F8">
            <v>12101</v>
          </cell>
          <cell r="G8">
            <v>18500</v>
          </cell>
          <cell r="H8" t="str">
            <v>1035G20</v>
          </cell>
          <cell r="I8">
            <v>134</v>
          </cell>
          <cell r="J8">
            <v>68</v>
          </cell>
        </row>
        <row r="9">
          <cell r="A9">
            <v>16501</v>
          </cell>
          <cell r="B9">
            <v>25000</v>
          </cell>
          <cell r="C9" t="str">
            <v>NVD140</v>
          </cell>
          <cell r="D9">
            <v>164</v>
          </cell>
          <cell r="E9">
            <v>97</v>
          </cell>
          <cell r="F9">
            <v>18501</v>
          </cell>
          <cell r="G9">
            <v>30600</v>
          </cell>
          <cell r="H9" t="str">
            <v>1040G20</v>
          </cell>
          <cell r="I9">
            <v>160</v>
          </cell>
          <cell r="J9">
            <v>97.5</v>
          </cell>
        </row>
        <row r="10">
          <cell r="A10">
            <v>25001</v>
          </cell>
          <cell r="B10">
            <v>35000</v>
          </cell>
          <cell r="C10" t="str">
            <v>NVD145</v>
          </cell>
          <cell r="D10">
            <v>182</v>
          </cell>
          <cell r="E10">
            <v>132</v>
          </cell>
          <cell r="F10">
            <v>30601</v>
          </cell>
          <cell r="G10">
            <v>42000</v>
          </cell>
          <cell r="H10" t="str">
            <v>1045G20</v>
          </cell>
          <cell r="I10">
            <v>183</v>
          </cell>
          <cell r="J10">
            <v>136</v>
          </cell>
        </row>
        <row r="11">
          <cell r="A11">
            <v>35001</v>
          </cell>
          <cell r="B11">
            <v>47000</v>
          </cell>
          <cell r="C11" t="str">
            <v>NVD150</v>
          </cell>
          <cell r="D11">
            <v>200</v>
          </cell>
          <cell r="E11">
            <v>193</v>
          </cell>
          <cell r="F11">
            <v>42001</v>
          </cell>
          <cell r="G11">
            <v>56600</v>
          </cell>
          <cell r="H11" t="str">
            <v>1050G20</v>
          </cell>
          <cell r="I11">
            <v>200</v>
          </cell>
          <cell r="J11">
            <v>191</v>
          </cell>
        </row>
        <row r="12">
          <cell r="A12">
            <v>47001</v>
          </cell>
          <cell r="B12">
            <v>61000</v>
          </cell>
          <cell r="C12" t="str">
            <v>NVD155</v>
          </cell>
          <cell r="D12">
            <v>225</v>
          </cell>
          <cell r="E12">
            <v>256</v>
          </cell>
          <cell r="F12">
            <v>56601</v>
          </cell>
          <cell r="G12">
            <v>74000</v>
          </cell>
          <cell r="H12" t="str">
            <v>1055G20</v>
          </cell>
          <cell r="I12">
            <v>220</v>
          </cell>
          <cell r="J12">
            <v>249</v>
          </cell>
        </row>
        <row r="13">
          <cell r="A13">
            <v>61001</v>
          </cell>
          <cell r="B13">
            <v>80000</v>
          </cell>
          <cell r="C13" t="str">
            <v>NVD160</v>
          </cell>
          <cell r="D13">
            <v>238</v>
          </cell>
          <cell r="E13">
            <v>312</v>
          </cell>
          <cell r="F13">
            <v>74001</v>
          </cell>
          <cell r="G13">
            <v>90400</v>
          </cell>
          <cell r="H13" t="str">
            <v>1060G20</v>
          </cell>
          <cell r="I13">
            <v>244</v>
          </cell>
          <cell r="J13">
            <v>306</v>
          </cell>
        </row>
        <row r="14">
          <cell r="A14">
            <v>80001</v>
          </cell>
          <cell r="B14">
            <v>115000</v>
          </cell>
          <cell r="C14" t="str">
            <v>NVD170</v>
          </cell>
          <cell r="D14">
            <v>290</v>
          </cell>
          <cell r="E14">
            <v>500</v>
          </cell>
          <cell r="F14">
            <v>90401</v>
          </cell>
          <cell r="G14">
            <v>135000</v>
          </cell>
          <cell r="H14" t="str">
            <v>1070G20</v>
          </cell>
          <cell r="I14">
            <v>289</v>
          </cell>
          <cell r="J14">
            <v>485</v>
          </cell>
        </row>
        <row r="15">
          <cell r="A15">
            <v>115001</v>
          </cell>
          <cell r="B15">
            <v>150000</v>
          </cell>
          <cell r="C15" t="str">
            <v>NVD180</v>
          </cell>
          <cell r="D15">
            <v>290</v>
          </cell>
          <cell r="E15">
            <v>680</v>
          </cell>
          <cell r="F15">
            <v>135001</v>
          </cell>
          <cell r="G15">
            <v>170213</v>
          </cell>
          <cell r="H15" t="str">
            <v>1080G20</v>
          </cell>
          <cell r="I15">
            <v>266.7</v>
          </cell>
          <cell r="J15">
            <v>703</v>
          </cell>
        </row>
        <row r="16">
          <cell r="A16">
            <v>150001</v>
          </cell>
          <cell r="B16">
            <v>200000</v>
          </cell>
          <cell r="C16" t="str">
            <v>NVD190</v>
          </cell>
          <cell r="D16">
            <v>330</v>
          </cell>
          <cell r="E16">
            <v>950</v>
          </cell>
          <cell r="F16">
            <v>170214</v>
          </cell>
          <cell r="G16">
            <v>225707</v>
          </cell>
          <cell r="H16" t="str">
            <v>1090G20</v>
          </cell>
          <cell r="I16">
            <v>285.75</v>
          </cell>
          <cell r="J16">
            <v>984</v>
          </cell>
        </row>
        <row r="17">
          <cell r="A17">
            <v>200001</v>
          </cell>
          <cell r="B17">
            <v>280000</v>
          </cell>
          <cell r="C17" t="str">
            <v>NVD200</v>
          </cell>
          <cell r="D17">
            <v>380</v>
          </cell>
          <cell r="E17">
            <v>1220</v>
          </cell>
          <cell r="F17">
            <v>225708</v>
          </cell>
          <cell r="G17">
            <v>310475</v>
          </cell>
          <cell r="H17" t="str">
            <v>1100G20</v>
          </cell>
          <cell r="I17">
            <v>323.84999999999997</v>
          </cell>
          <cell r="J17">
            <v>1302</v>
          </cell>
        </row>
        <row r="18">
          <cell r="A18">
            <v>280001</v>
          </cell>
          <cell r="B18">
            <v>390000</v>
          </cell>
          <cell r="C18" t="str">
            <v>NVD210</v>
          </cell>
          <cell r="D18">
            <v>400</v>
          </cell>
          <cell r="E18">
            <v>1590</v>
          </cell>
          <cell r="F18">
            <v>310476</v>
          </cell>
          <cell r="G18">
            <v>412987</v>
          </cell>
          <cell r="H18" t="str">
            <v>1110G20</v>
          </cell>
          <cell r="I18">
            <v>355.59999999999997</v>
          </cell>
          <cell r="J18">
            <v>1678</v>
          </cell>
        </row>
        <row r="19">
          <cell r="A19">
            <v>390001</v>
          </cell>
          <cell r="B19">
            <v>500000</v>
          </cell>
          <cell r="C19" t="str">
            <v>NVD220</v>
          </cell>
          <cell r="D19">
            <v>450</v>
          </cell>
          <cell r="E19">
            <v>2040</v>
          </cell>
          <cell r="F19">
            <v>412988</v>
          </cell>
          <cell r="G19">
            <v>555736</v>
          </cell>
          <cell r="H19" t="str">
            <v>1120G20</v>
          </cell>
          <cell r="I19">
            <v>387.34999999999997</v>
          </cell>
          <cell r="J19">
            <v>2113</v>
          </cell>
        </row>
        <row r="20">
          <cell r="A20">
            <v>501000</v>
          </cell>
          <cell r="B20">
            <v>501000</v>
          </cell>
          <cell r="C20" t="str">
            <v>N.A.</v>
          </cell>
          <cell r="D20">
            <v>0</v>
          </cell>
          <cell r="E20">
            <v>0</v>
          </cell>
          <cell r="F20">
            <v>555737</v>
          </cell>
          <cell r="G20">
            <v>719168</v>
          </cell>
          <cell r="H20" t="str">
            <v>1130G20</v>
          </cell>
          <cell r="I20">
            <v>412.75</v>
          </cell>
          <cell r="J20">
            <v>2595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ario"/>
      <sheetName val="Pendencias"/>
      <sheetName val="BD_Distritos"/>
      <sheetName val="DIFERENÇAS "/>
      <sheetName val="Instruções para Tabelas Din."/>
      <sheetName val="BM-GERAL CC"/>
      <sheetName val="BM_GERAL"/>
      <sheetName val="BM_ AAL"/>
      <sheetName val="BM_NVD"/>
      <sheetName val="BM_BJS"/>
      <sheetName val="BD_HE"/>
      <sheetName val="BM_ACD"/>
      <sheetName val="BM_CID"/>
      <sheetName val="BM-  AAL velho"/>
      <sheetName val="BM- NVD velho"/>
      <sheetName val="BM-BJS velho"/>
      <sheetName val="BM-ACD velho"/>
      <sheetName val="BM-CID Velho"/>
      <sheetName val="Instruções GERAIS"/>
      <sheetName val="BM_SPBA"/>
      <sheetName val="BM- SPBA velho"/>
      <sheetName val="CORRETIVA_MC"/>
      <sheetName val="BASE_EGP"/>
      <sheetName val="RDE TODOS"/>
      <sheetName val="PLSE"/>
      <sheetName val="CONTRATO SAP - ACD"/>
      <sheetName val="cadastros"/>
      <sheetName val="RDO CORRETIVAS"/>
      <sheetName val="Performance_OM"/>
      <sheetName val="OS"/>
      <sheetName val="Planilha1"/>
      <sheetName val="Mov_Pont"/>
      <sheetName val="QQP_Man_Equip_MPPS"/>
      <sheetName val="HE_Fonte"/>
      <sheetName val="Price_List_Material nova"/>
      <sheetName val="SLA"/>
      <sheetName val="ATA REUNIÃO "/>
      <sheetName val="Linha de serviço"/>
      <sheetName val="BM 3 INFRA III CUSTEIO MARÇO Co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_Distritos"/>
      <sheetName val="BD_HE"/>
      <sheetName val="BOLETIM MEDIÇÃO"/>
      <sheetName val="BME - GERAL"/>
      <sheetName val="BME - AAP"/>
      <sheetName val="BME - NVD"/>
      <sheetName val="BME - BJS"/>
      <sheetName val="BME - ACD"/>
      <sheetName val="BME - CID"/>
      <sheetName val="BME - SPAB"/>
      <sheetName val="MPPs (2)"/>
      <sheetName val="PLSE"/>
      <sheetName val="RDE TODOS"/>
      <sheetName val="CONSOLIDADO TERRAPLENAGEM"/>
      <sheetName val="HE - TERRAPLENAGEM"/>
      <sheetName val="MOBILIZAÇÃO CORRETIVA"/>
      <sheetName val="MANUTENÇÃO CORRETIVA (AAL)"/>
      <sheetName val="MANUTENÇÃO CORRETIVA (NVD)"/>
      <sheetName val="MANUTENÇÃO CORRETIVA (BJS)"/>
      <sheetName val="MANUTENÇÃO CORRETIVA (ACD)"/>
      <sheetName val="MANUTENÇÃO CORRETIVA (CID)"/>
      <sheetName val="MANUTENÇÃO CORRETIVA (SPAB)"/>
      <sheetName val="MPPs"/>
      <sheetName val="Planilha3"/>
      <sheetName val="MAT. PRICELIST - CORRETIVAS"/>
      <sheetName val="HE - CORRETIVA"/>
      <sheetName val="MANUTENÇÃO PREVENTIVA"/>
      <sheetName val="PLANO PREVENTIVO NVD"/>
      <sheetName val="PLANO PREVENTIVO AAP"/>
      <sheetName val="PLANO PREVENTIVO BJS (ok)"/>
      <sheetName val="PLANO PREVENTIVO ACD (ok)"/>
      <sheetName val="PLANO PREVENTIVO CID (ok)"/>
      <sheetName val="PLANO PREVENTIVO SPAB (ok)"/>
      <sheetName val="HE-PREVENTIVAS"/>
      <sheetName val="MAT. PRICELIST-PREVENTIVAS"/>
      <sheetName val="MOV_PONTUAL"/>
      <sheetName val="PRICE LIST MATERIAL GERAL"/>
      <sheetName val="MOB CORRETIVA 2 SIS"/>
      <sheetName val="CORRETIVA MECÂNIZADA VTM_SIS"/>
      <sheetName val="MANUTENÇÃO CORRETIVA (Modelo)"/>
      <sheetName val="SERVIÇOS EVENTUAIS - PRICE LIST"/>
      <sheetName val="SLA"/>
      <sheetName val="BM 19_INFRA_II_AGOSTO_REV1 - I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Pendencias"/>
      <sheetName val="BD_Distritos"/>
      <sheetName val="BD_HE"/>
      <sheetName val="DIFERENÇAS "/>
      <sheetName val="Instruções para Tabelas Din."/>
      <sheetName val="BM-GERAL CC"/>
      <sheetName val="BM_GERAL"/>
      <sheetName val="Instruções GERAIS"/>
      <sheetName val="PLSE"/>
      <sheetName val="RDO"/>
      <sheetName val="CORRETIVA_MC"/>
      <sheetName val="QQP_Man_Equip_MPPS"/>
      <sheetName val="Manut_BD"/>
      <sheetName val="Forn_BD"/>
      <sheetName val="Performance_OM"/>
      <sheetName val="Equi. Hab. Event"/>
      <sheetName val="Performance_CORRETIVA"/>
      <sheetName val="OS"/>
      <sheetName val="Manutenção"/>
      <sheetName val="Operaçoes"/>
      <sheetName val="Oper_BD"/>
      <sheetName val="Gráficos de DF"/>
      <sheetName val="HE_Fonte"/>
      <sheetName val="Price_List_Material nova"/>
      <sheetName val="Mov_Pont"/>
      <sheetName val="SLA"/>
      <sheetName val="ATA REUNIÃO "/>
      <sheetName val="Linha de serviço"/>
      <sheetName val="BM- 12  AGOSTO - REVISAO 04 -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Principal"/>
      <sheetName val="Pessoal CVRD"/>
      <sheetName val="configuracao"/>
      <sheetName val="#REF"/>
      <sheetName val="Solução"/>
      <sheetName val="Cronograma"/>
      <sheetName val="Macro6"/>
      <sheetName val="Trens-Corredor"/>
      <sheetName val="BD"/>
      <sheetName val="RESUMO"/>
      <sheetName val="OUT PUT"/>
      <sheetName val="PREMISSAS"/>
      <sheetName val="Transit Time"/>
      <sheetName val="CUSTO ZONA SUL"/>
      <sheetName val="Check Farol"/>
      <sheetName val="1.Pgm"/>
      <sheetName val="Plan1"/>
      <sheetName val="4.Painel"/>
      <sheetName val="Anx7_Listas"/>
      <sheetName val="IC-Efeito"/>
      <sheetName val="Gerrot"/>
      <sheetName val="GLOPER_30abril"/>
      <sheetName val="CARACTVP.XLS"/>
      <sheetName val="Crono Físico (medições)"/>
      <sheetName val="Descrição_Negócio"/>
      <sheetName val="Anexo_B"/>
      <sheetName val="Anexo_C"/>
      <sheetName val="PA-Fev_Frat_3º2004"/>
      <sheetName val="PA-Fev_Frat_4º2004"/>
      <sheetName val="PA-Fev_HE_4º2004_1"/>
      <sheetName val="PA-Mar_Restrição_2ºT2004_"/>
      <sheetName val="PA-Mar_Acid_SPT_4º2004"/>
      <sheetName val="SISCOM_ABAST"/>
      <sheetName val="SISCOM_DESC_BR"/>
      <sheetName val="Acid_Ferrov-PA_ABR_(2)"/>
      <sheetName val="MELHORIAS E OPÇÕES"/>
      <sheetName val="Compras"/>
      <sheetName val="Check List- Gerrot"/>
      <sheetName val="Plan3"/>
      <sheetName val="MUG"/>
      <sheetName val="Caract. Contratos - Dez-00"/>
      <sheetName val="Crono Diret Operações"/>
      <sheetName val="MACRO2"/>
      <sheetName val="Auxiliar"/>
      <sheetName val="MOVIMENTAÇÃO"/>
      <sheetName val="Indicadores"/>
      <sheetName val="Resumo EFVM"/>
      <sheetName val="Tabela"/>
      <sheetName val="Descrição_Negócio1"/>
      <sheetName val="Anexo_B1"/>
      <sheetName val="Anexo_C1"/>
      <sheetName val="PA-Fev_Frat_3º20041"/>
      <sheetName val="PA-Fev_Frat_4º20041"/>
      <sheetName val="PA-Fev_HE_4º2004_11"/>
      <sheetName val="PA-Mar_Restrição_2ºT2004_1"/>
      <sheetName val="PA-Mar_Acid_SPT_4º20041"/>
      <sheetName val="SISCOM_ABAST1"/>
      <sheetName val="SISCOM_DESC_BR1"/>
      <sheetName val="Acid_Ferrov-PA_ABR_(2)1"/>
      <sheetName val="Pessoal_CVRD"/>
      <sheetName val="OUT_PUT"/>
      <sheetName val="Transit_Time"/>
      <sheetName val="CUSTO_ZONA_SUL"/>
      <sheetName val="Check_Farol"/>
      <sheetName val="1_Pgm"/>
      <sheetName val="4_Painel"/>
      <sheetName val="CARACTVP_XLS"/>
      <sheetName val="Crono_Físico_(medições)"/>
      <sheetName val="MELHORIAS_E_OPÇÕES"/>
      <sheetName val="Check_List-_Gerrot"/>
      <sheetName val="Caract__Contratos_-_Dez-00"/>
      <sheetName val="Crono_Diret_Operações"/>
      <sheetName val="composicao"/>
      <sheetName val="Validação"/>
      <sheetName val="Plan de Acompanhamento"/>
      <sheetName val="Dados-Cadam"/>
      <sheetName val="Mes"/>
      <sheetName val="Areas"/>
      <sheetName val="Calendar"/>
      <sheetName val="Dados"/>
      <sheetName val="Local de Insta."/>
      <sheetName val="QL"/>
      <sheetName val="BDI"/>
      <sheetName val=""/>
      <sheetName val="Planilha2"/>
      <sheetName val="Base ativos"/>
      <sheetName val="Status geral"/>
      <sheetName val="Dashboard geral"/>
      <sheetName val="Dashboard semanal"/>
      <sheetName val="Visão geral"/>
      <sheetName val="FMDS"/>
      <sheetName val="Equip. auxiliar"/>
      <sheetName val="CM5217"/>
      <sheetName val="CM5219"/>
      <sheetName val="CM5218"/>
      <sheetName val="MS2401"/>
      <sheetName val="Montagem T1655"/>
      <sheetName val="Equip"/>
      <sheetName val="anual"/>
      <sheetName val="detalhado"/>
      <sheetName val="entr. mensal"/>
      <sheetName val="Acumulado"/>
      <sheetName val="ITENS"/>
      <sheetName val="SOMAS"/>
      <sheetName val="11 ao 19"/>
      <sheetName val="BaseConta"/>
      <sheetName val="BaseCtr"/>
      <sheetName val="Indicators"/>
      <sheetName val="Dev.SAC "/>
      <sheetName val="Despesas"/>
      <sheetName val="VAR"/>
      <sheetName val="CD"/>
      <sheetName val="EPI"/>
      <sheetName val="&gt;&gt;&gt;"/>
      <sheetName val="MOD"/>
      <sheetName val="&gt;&gt;&gt;&gt;"/>
      <sheetName val="SALARIO 04-97"/>
      <sheetName val="Módulo1"/>
      <sheetName val="Módulo2"/>
      <sheetName val="cronohistogramas"/>
      <sheetName val="COMP_ROLO"/>
      <sheetName val="CONTROLE 2004"/>
      <sheetName val="Input Dados"/>
      <sheetName val="IMP-96"/>
    </sheetNames>
    <definedNames>
      <definedName name="Macro10"/>
      <definedName name="Macro11"/>
      <definedName name="Macro12"/>
      <definedName name="Macro13"/>
      <definedName name="Macro14"/>
      <definedName name="Macro15"/>
      <definedName name="Macro16"/>
      <definedName name="Macro17"/>
      <definedName name="Macro18"/>
      <definedName name="Macro19"/>
      <definedName name="Macro2"/>
      <definedName name="Macro20"/>
      <definedName name="Macro21"/>
      <definedName name="Macro22"/>
      <definedName name="Macro23"/>
      <definedName name="Macro24"/>
      <definedName name="Macro25"/>
      <definedName name="Macro26"/>
      <definedName name="Macro28"/>
      <definedName name="Macro4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L"/>
      <sheetName val="Check Farol"/>
      <sheetName val="2007"/>
      <sheetName val="Check List"/>
      <sheetName val="Principal"/>
      <sheetName val="Premissas"/>
      <sheetName val="PJ2 STURA"/>
      <sheetName val="FEVEREIRO - DORM-LARGA"/>
      <sheetName val="Macro, inputs"/>
      <sheetName val="MatrizDILN"/>
      <sheetName val="MatrizDILN (2)"/>
      <sheetName val="BaseTela"/>
      <sheetName val="CEARA"/>
      <sheetName val="Service Assumptions"/>
      <sheetName val="configuracao"/>
      <sheetName val="Check_Farol"/>
      <sheetName val="#REF"/>
      <sheetName val="Trens-Corredor"/>
      <sheetName val="Pareto Programa do Mês"/>
      <sheetName val="DPL.XLS"/>
      <sheetName val="Tabela de Vencimentos"/>
      <sheetName val="Acionamento"/>
      <sheetName val="Motores"/>
      <sheetName val="Stock Chart"/>
      <sheetName val="Check_Farol1"/>
      <sheetName val="Check_List"/>
      <sheetName val="PJ2_STURA"/>
      <sheetName val="Service_Assumptions"/>
      <sheetName val="FEVEREIRO_-_DORM-LARGA"/>
      <sheetName val="Macro,_inputs"/>
      <sheetName val="MatrizDILN_(2)"/>
      <sheetName val="Pareto_Programa_do_Mês"/>
      <sheetName val="DPL_XLS"/>
      <sheetName val="Tabela_de_Vencimentos"/>
      <sheetName val="Check List- Gerrot"/>
      <sheetName val="Crono Diret Operações"/>
      <sheetName val="DataSummary"/>
      <sheetName val="ScenarioControl"/>
      <sheetName val="pendências"/>
      <sheetName val="Dinâmica"/>
      <sheetName val="Dinâmica (att)"/>
      <sheetName val="ExportarPlanilha"/>
      <sheetName val="Matriz Total PPB3"/>
      <sheetName val="Matriz PPB3 (RENOVAÇÃO 21)"/>
      <sheetName val="Matriz PPB3 (P0)"/>
      <sheetName val="Matriz PPB3 (P1)"/>
      <sheetName val="Matriz PPB3 (P1F)"/>
      <sheetName val="Matriz PPB3 (P2)"/>
      <sheetName val="Matriz PPB3 (CORRETIVA)"/>
      <sheetName val="Tab_Din"/>
      <sheetName val="Resumo"/>
      <sheetName val="Graficos_1"/>
      <sheetName val="Plano atendimento"/>
      <sheetName val="TD_clientes_ativo"/>
      <sheetName val="TD_Ind_NConforme"/>
      <sheetName val="G_Itens CEG"/>
      <sheetName val="G_PA"/>
      <sheetName val="STAZIONE_ITA1"/>
      <sheetName val="Controle"/>
      <sheetName val=""/>
      <sheetName val="acompanhamento"/>
      <sheetName val="henfel"/>
      <sheetName val="ACOPL ENG"/>
      <sheetName val="Voith"/>
      <sheetName val="DBS"/>
      <sheetName val="Geral"/>
      <sheetName val="GERAL I"/>
      <sheetName val="Estacas Escavadas "/>
      <sheetName val="Calcinacao"/>
      <sheetName val="Estacas Pre-Moldadas"/>
      <sheetName val="GERAL_I"/>
      <sheetName val="Estacas_Escavadas_"/>
      <sheetName val="Estacas_Pre-Moldadas"/>
      <sheetName val="CONTROLE 2004"/>
      <sheetName val="COMP_ROLO"/>
      <sheetName val="tab_apoio_validação"/>
      <sheetName val="CD"/>
      <sheetName val="Input Dados"/>
      <sheetName val="Desembolso Financeiro"/>
      <sheetName val="GERAL_I1"/>
      <sheetName val="Estacas_Escavadas_1"/>
      <sheetName val="Estacas_Pre-Moldadas1"/>
      <sheetName val="CONTROLE_2004"/>
      <sheetName val="Template"/>
      <sheetName val="SEMANA"/>
      <sheetName val="CUSTO"/>
      <sheetName val="PLANILHA DE QUANT. E CUSTOS A"/>
      <sheetName val="Serviços"/>
      <sheetName val="4. Planilha Cotação"/>
      <sheetName val="WACC Input"/>
      <sheetName val="Parâmetros"/>
      <sheetName val="G_Itens_CEG"/>
      <sheetName val="Stock_Chart"/>
      <sheetName val="Poço"/>
      <sheetName val="Threshold Table"/>
    </sheetNames>
    <definedNames>
      <definedName name="Módulo1.Macro1"/>
      <definedName name="Módulo1.Macro2"/>
      <definedName name="Módulo1.Macro3"/>
      <definedName name="Módulo1.Macro4"/>
      <definedName name="Módulo1.Macro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BM_ENGECON_5900086402"/>
    </sheetNames>
    <sheetDataSet>
      <sheetData sheetId="0">
        <row r="2">
          <cell r="K2"/>
        </row>
        <row r="3">
          <cell r="K3"/>
        </row>
        <row r="4">
          <cell r="K4"/>
        </row>
        <row r="5">
          <cell r="K5"/>
        </row>
        <row r="6">
          <cell r="K6"/>
        </row>
        <row r="7">
          <cell r="K7"/>
        </row>
        <row r="9">
          <cell r="K9"/>
        </row>
        <row r="10">
          <cell r="K10"/>
        </row>
        <row r="12">
          <cell r="K12"/>
        </row>
        <row r="13">
          <cell r="K13"/>
        </row>
        <row r="15">
          <cell r="K15"/>
        </row>
        <row r="16">
          <cell r="K16"/>
        </row>
        <row r="17">
          <cell r="K17"/>
        </row>
        <row r="19">
          <cell r="K19" t="str">
            <v>VALOR TOTAL</v>
          </cell>
        </row>
        <row r="20">
          <cell r="K20" t="str">
            <v/>
          </cell>
        </row>
        <row r="21">
          <cell r="K21" t="str">
            <v/>
          </cell>
        </row>
        <row r="22">
          <cell r="K22" t="str">
            <v/>
          </cell>
        </row>
        <row r="23">
          <cell r="K23" t="str">
            <v/>
          </cell>
        </row>
        <row r="24">
          <cell r="K24" t="str">
            <v/>
          </cell>
        </row>
        <row r="25">
          <cell r="K25" t="str">
            <v/>
          </cell>
        </row>
        <row r="26">
          <cell r="K26" t="str">
            <v/>
          </cell>
        </row>
        <row r="27">
          <cell r="K27" t="str">
            <v/>
          </cell>
        </row>
        <row r="28">
          <cell r="K28" t="str">
            <v/>
          </cell>
        </row>
        <row r="29">
          <cell r="K29" t="str">
            <v/>
          </cell>
        </row>
        <row r="30">
          <cell r="K30" t="str">
            <v/>
          </cell>
        </row>
        <row r="31">
          <cell r="K31" t="str">
            <v/>
          </cell>
        </row>
        <row r="32">
          <cell r="K32" t="str">
            <v/>
          </cell>
        </row>
        <row r="33">
          <cell r="K33" t="str">
            <v/>
          </cell>
        </row>
        <row r="34">
          <cell r="K34" t="str">
            <v/>
          </cell>
        </row>
        <row r="35">
          <cell r="K35" t="str">
            <v/>
          </cell>
        </row>
        <row r="36">
          <cell r="K36" t="str">
            <v/>
          </cell>
        </row>
        <row r="37">
          <cell r="K37" t="str">
            <v/>
          </cell>
        </row>
        <row r="38">
          <cell r="K38" t="str">
            <v/>
          </cell>
        </row>
        <row r="39">
          <cell r="K39" t="str">
            <v/>
          </cell>
        </row>
        <row r="40">
          <cell r="K40" t="str">
            <v/>
          </cell>
        </row>
        <row r="41">
          <cell r="K41" t="str">
            <v/>
          </cell>
        </row>
        <row r="42">
          <cell r="K42" t="str">
            <v/>
          </cell>
        </row>
        <row r="43">
          <cell r="K43" t="str">
            <v/>
          </cell>
        </row>
        <row r="44">
          <cell r="K44" t="str">
            <v/>
          </cell>
        </row>
        <row r="45">
          <cell r="K45" t="str">
            <v/>
          </cell>
        </row>
        <row r="46">
          <cell r="K46" t="str">
            <v/>
          </cell>
        </row>
        <row r="47">
          <cell r="K47" t="str">
            <v/>
          </cell>
        </row>
        <row r="48">
          <cell r="K48" t="str">
            <v/>
          </cell>
        </row>
        <row r="49">
          <cell r="K49" t="str">
            <v/>
          </cell>
        </row>
        <row r="50">
          <cell r="K50" t="str">
            <v/>
          </cell>
        </row>
        <row r="51">
          <cell r="K51" t="str">
            <v/>
          </cell>
        </row>
        <row r="52">
          <cell r="K52" t="str">
            <v/>
          </cell>
        </row>
        <row r="53">
          <cell r="K53" t="str">
            <v/>
          </cell>
        </row>
        <row r="54">
          <cell r="K54" t="str">
            <v/>
          </cell>
        </row>
        <row r="55">
          <cell r="K55" t="str">
            <v/>
          </cell>
        </row>
        <row r="56">
          <cell r="K56" t="str">
            <v/>
          </cell>
        </row>
        <row r="57">
          <cell r="K57" t="str">
            <v/>
          </cell>
        </row>
        <row r="58">
          <cell r="K58" t="str">
            <v/>
          </cell>
        </row>
        <row r="59">
          <cell r="K59" t="str">
            <v/>
          </cell>
        </row>
        <row r="60">
          <cell r="K60" t="str">
            <v/>
          </cell>
        </row>
        <row r="61">
          <cell r="K61" t="str">
            <v/>
          </cell>
        </row>
        <row r="62">
          <cell r="K62" t="str">
            <v/>
          </cell>
        </row>
        <row r="63">
          <cell r="K63" t="str">
            <v/>
          </cell>
        </row>
        <row r="64">
          <cell r="K64" t="str">
            <v/>
          </cell>
        </row>
        <row r="65">
          <cell r="K65" t="str">
            <v/>
          </cell>
        </row>
        <row r="66">
          <cell r="K66" t="str">
            <v/>
          </cell>
        </row>
        <row r="67">
          <cell r="K67" t="str">
            <v/>
          </cell>
        </row>
        <row r="68">
          <cell r="K68" t="str">
            <v/>
          </cell>
        </row>
        <row r="69">
          <cell r="K69" t="str">
            <v/>
          </cell>
        </row>
        <row r="70">
          <cell r="K70" t="str">
            <v/>
          </cell>
        </row>
        <row r="71">
          <cell r="K71" t="str">
            <v/>
          </cell>
        </row>
        <row r="72">
          <cell r="K72" t="str">
            <v/>
          </cell>
        </row>
        <row r="73">
          <cell r="K73" t="str">
            <v/>
          </cell>
        </row>
        <row r="74">
          <cell r="K74" t="str">
            <v/>
          </cell>
        </row>
        <row r="75">
          <cell r="K75" t="str">
            <v/>
          </cell>
        </row>
        <row r="76">
          <cell r="K76" t="str">
            <v/>
          </cell>
        </row>
        <row r="77">
          <cell r="K77" t="str">
            <v/>
          </cell>
        </row>
        <row r="78">
          <cell r="K78" t="str">
            <v/>
          </cell>
        </row>
        <row r="79">
          <cell r="K79" t="str">
            <v/>
          </cell>
        </row>
        <row r="80">
          <cell r="K80" t="str">
            <v/>
          </cell>
        </row>
        <row r="81">
          <cell r="K81" t="str">
            <v/>
          </cell>
        </row>
        <row r="82">
          <cell r="K82" t="str">
            <v/>
          </cell>
        </row>
        <row r="83">
          <cell r="K83" t="str">
            <v/>
          </cell>
        </row>
        <row r="84">
          <cell r="K84" t="str">
            <v/>
          </cell>
        </row>
        <row r="85">
          <cell r="K85" t="str">
            <v/>
          </cell>
        </row>
        <row r="86">
          <cell r="K86" t="str">
            <v/>
          </cell>
        </row>
        <row r="87">
          <cell r="K87" t="str">
            <v/>
          </cell>
        </row>
        <row r="88">
          <cell r="K88" t="str">
            <v/>
          </cell>
        </row>
        <row r="89">
          <cell r="K89" t="str">
            <v/>
          </cell>
        </row>
        <row r="90">
          <cell r="K90" t="str">
            <v/>
          </cell>
        </row>
        <row r="91">
          <cell r="K91" t="str">
            <v/>
          </cell>
        </row>
        <row r="92">
          <cell r="K92" t="str">
            <v/>
          </cell>
        </row>
        <row r="93">
          <cell r="K93" t="str">
            <v/>
          </cell>
        </row>
        <row r="94">
          <cell r="K94" t="str">
            <v/>
          </cell>
        </row>
        <row r="95">
          <cell r="K95" t="str">
            <v/>
          </cell>
        </row>
        <row r="96">
          <cell r="K96" t="str">
            <v/>
          </cell>
        </row>
        <row r="97">
          <cell r="K97" t="str">
            <v/>
          </cell>
        </row>
        <row r="98">
          <cell r="K98" t="str">
            <v/>
          </cell>
        </row>
        <row r="99">
          <cell r="K99" t="str">
            <v/>
          </cell>
        </row>
        <row r="100">
          <cell r="K100" t="str">
            <v/>
          </cell>
        </row>
        <row r="101">
          <cell r="K101" t="str">
            <v/>
          </cell>
        </row>
        <row r="102">
          <cell r="K102" t="str">
            <v/>
          </cell>
        </row>
        <row r="103">
          <cell r="K103" t="str">
            <v/>
          </cell>
        </row>
        <row r="104">
          <cell r="K104" t="str">
            <v/>
          </cell>
        </row>
        <row r="105">
          <cell r="K105" t="str">
            <v/>
          </cell>
        </row>
        <row r="106">
          <cell r="K106" t="str">
            <v/>
          </cell>
        </row>
        <row r="107">
          <cell r="K107" t="str">
            <v/>
          </cell>
        </row>
        <row r="108">
          <cell r="K108" t="str">
            <v/>
          </cell>
        </row>
        <row r="109">
          <cell r="K109" t="str">
            <v/>
          </cell>
        </row>
        <row r="110">
          <cell r="K110" t="str">
            <v/>
          </cell>
        </row>
        <row r="111">
          <cell r="K111" t="str">
            <v/>
          </cell>
        </row>
        <row r="112">
          <cell r="K112" t="str">
            <v/>
          </cell>
        </row>
        <row r="113">
          <cell r="K113" t="str">
            <v/>
          </cell>
        </row>
        <row r="114">
          <cell r="K114" t="str">
            <v/>
          </cell>
        </row>
        <row r="115">
          <cell r="K115" t="str">
            <v/>
          </cell>
        </row>
        <row r="116">
          <cell r="K116" t="str">
            <v/>
          </cell>
        </row>
        <row r="117">
          <cell r="K117" t="str">
            <v/>
          </cell>
        </row>
        <row r="118">
          <cell r="K118" t="str">
            <v/>
          </cell>
        </row>
        <row r="119">
          <cell r="K119" t="str">
            <v/>
          </cell>
        </row>
        <row r="120">
          <cell r="K120" t="str">
            <v/>
          </cell>
        </row>
        <row r="121">
          <cell r="K121" t="str">
            <v/>
          </cell>
        </row>
        <row r="122">
          <cell r="K122" t="str">
            <v/>
          </cell>
        </row>
        <row r="123">
          <cell r="K123" t="str">
            <v/>
          </cell>
        </row>
        <row r="124">
          <cell r="K124" t="str">
            <v/>
          </cell>
        </row>
        <row r="125">
          <cell r="K125" t="str">
            <v/>
          </cell>
        </row>
        <row r="126">
          <cell r="K126" t="str">
            <v/>
          </cell>
        </row>
        <row r="127">
          <cell r="K127" t="str">
            <v/>
          </cell>
        </row>
        <row r="128">
          <cell r="K128" t="str">
            <v/>
          </cell>
        </row>
        <row r="129">
          <cell r="K129" t="str">
            <v/>
          </cell>
        </row>
        <row r="130">
          <cell r="K130" t="str">
            <v/>
          </cell>
        </row>
        <row r="131">
          <cell r="K131" t="str">
            <v/>
          </cell>
        </row>
        <row r="132">
          <cell r="K132" t="str">
            <v/>
          </cell>
        </row>
        <row r="133">
          <cell r="K133" t="str">
            <v/>
          </cell>
        </row>
        <row r="134">
          <cell r="K134" t="str">
            <v/>
          </cell>
        </row>
        <row r="135">
          <cell r="K135" t="str">
            <v/>
          </cell>
        </row>
        <row r="136">
          <cell r="K136" t="str">
            <v/>
          </cell>
        </row>
        <row r="137">
          <cell r="K137" t="str">
            <v/>
          </cell>
        </row>
        <row r="138">
          <cell r="K138" t="str">
            <v/>
          </cell>
        </row>
        <row r="139">
          <cell r="K139" t="str">
            <v/>
          </cell>
        </row>
        <row r="140">
          <cell r="K140" t="str">
            <v/>
          </cell>
        </row>
        <row r="141">
          <cell r="K141" t="str">
            <v/>
          </cell>
        </row>
        <row r="142">
          <cell r="K142" t="str">
            <v/>
          </cell>
        </row>
        <row r="143">
          <cell r="K143" t="str">
            <v/>
          </cell>
        </row>
        <row r="144">
          <cell r="K144" t="str">
            <v/>
          </cell>
        </row>
        <row r="145">
          <cell r="K145" t="str">
            <v/>
          </cell>
        </row>
        <row r="146">
          <cell r="K146" t="str">
            <v/>
          </cell>
        </row>
        <row r="147">
          <cell r="K147" t="str">
            <v/>
          </cell>
        </row>
        <row r="148">
          <cell r="K148" t="str">
            <v/>
          </cell>
        </row>
        <row r="149">
          <cell r="K149" t="str">
            <v/>
          </cell>
        </row>
        <row r="150">
          <cell r="K150" t="str">
            <v/>
          </cell>
        </row>
        <row r="151">
          <cell r="K151" t="str">
            <v/>
          </cell>
        </row>
        <row r="152">
          <cell r="K152" t="str">
            <v/>
          </cell>
        </row>
        <row r="153">
          <cell r="K153" t="str">
            <v/>
          </cell>
        </row>
        <row r="154">
          <cell r="K154" t="str">
            <v/>
          </cell>
        </row>
        <row r="155">
          <cell r="K155" t="str">
            <v/>
          </cell>
        </row>
        <row r="156">
          <cell r="K156" t="str">
            <v/>
          </cell>
        </row>
        <row r="157">
          <cell r="K157" t="str">
            <v/>
          </cell>
        </row>
        <row r="158">
          <cell r="K158" t="str">
            <v/>
          </cell>
        </row>
        <row r="159">
          <cell r="K159" t="str">
            <v/>
          </cell>
        </row>
        <row r="160">
          <cell r="K160" t="str">
            <v/>
          </cell>
        </row>
        <row r="161">
          <cell r="K161" t="str">
            <v/>
          </cell>
        </row>
        <row r="162">
          <cell r="K162" t="str">
            <v/>
          </cell>
        </row>
        <row r="163">
          <cell r="K163" t="str">
            <v/>
          </cell>
        </row>
        <row r="164">
          <cell r="K164" t="str">
            <v/>
          </cell>
        </row>
        <row r="165">
          <cell r="K165" t="str">
            <v/>
          </cell>
        </row>
        <row r="166">
          <cell r="K166" t="str">
            <v/>
          </cell>
        </row>
        <row r="167">
          <cell r="K167" t="str">
            <v/>
          </cell>
        </row>
        <row r="168">
          <cell r="K168" t="str">
            <v/>
          </cell>
        </row>
        <row r="169">
          <cell r="K169" t="str">
            <v/>
          </cell>
        </row>
        <row r="170">
          <cell r="K170" t="str">
            <v/>
          </cell>
        </row>
        <row r="171">
          <cell r="K171" t="str">
            <v/>
          </cell>
        </row>
        <row r="172">
          <cell r="K172" t="str">
            <v/>
          </cell>
        </row>
        <row r="173">
          <cell r="K173" t="str">
            <v/>
          </cell>
        </row>
        <row r="174">
          <cell r="K174" t="str">
            <v/>
          </cell>
        </row>
        <row r="175">
          <cell r="K175" t="str">
            <v/>
          </cell>
        </row>
        <row r="176">
          <cell r="K176" t="str">
            <v/>
          </cell>
        </row>
        <row r="177">
          <cell r="K177" t="str">
            <v/>
          </cell>
        </row>
        <row r="178">
          <cell r="K178" t="str">
            <v/>
          </cell>
        </row>
        <row r="179">
          <cell r="K179" t="str">
            <v/>
          </cell>
        </row>
        <row r="180">
          <cell r="K180" t="str">
            <v/>
          </cell>
        </row>
        <row r="181">
          <cell r="K181" t="str">
            <v/>
          </cell>
        </row>
        <row r="182">
          <cell r="K182" t="str">
            <v/>
          </cell>
        </row>
        <row r="183">
          <cell r="K183" t="str">
            <v/>
          </cell>
        </row>
        <row r="184">
          <cell r="K184" t="str">
            <v/>
          </cell>
        </row>
        <row r="185">
          <cell r="K185" t="str">
            <v/>
          </cell>
        </row>
        <row r="186">
          <cell r="K186" t="str">
            <v/>
          </cell>
        </row>
        <row r="187">
          <cell r="K187" t="str">
            <v/>
          </cell>
        </row>
        <row r="188">
          <cell r="K188" t="str">
            <v/>
          </cell>
        </row>
        <row r="189">
          <cell r="K189" t="str">
            <v/>
          </cell>
        </row>
        <row r="190">
          <cell r="K190" t="str">
            <v/>
          </cell>
        </row>
        <row r="191">
          <cell r="K191" t="str">
            <v/>
          </cell>
        </row>
        <row r="192">
          <cell r="K192" t="str">
            <v/>
          </cell>
        </row>
        <row r="193">
          <cell r="K193" t="str">
            <v/>
          </cell>
        </row>
        <row r="194">
          <cell r="K194" t="str">
            <v/>
          </cell>
        </row>
        <row r="195">
          <cell r="K195" t="str">
            <v/>
          </cell>
        </row>
        <row r="196">
          <cell r="K196" t="str">
            <v/>
          </cell>
        </row>
        <row r="197">
          <cell r="K197" t="str">
            <v/>
          </cell>
        </row>
        <row r="198">
          <cell r="K198" t="str">
            <v/>
          </cell>
        </row>
        <row r="199">
          <cell r="K199" t="str">
            <v/>
          </cell>
        </row>
        <row r="200">
          <cell r="K200" t="str">
            <v/>
          </cell>
        </row>
        <row r="201">
          <cell r="K201" t="str">
            <v/>
          </cell>
        </row>
        <row r="202">
          <cell r="K202" t="str">
            <v/>
          </cell>
        </row>
        <row r="203">
          <cell r="K203" t="str">
            <v/>
          </cell>
        </row>
        <row r="204">
          <cell r="K204" t="str">
            <v/>
          </cell>
        </row>
        <row r="205">
          <cell r="K205" t="str">
            <v/>
          </cell>
        </row>
        <row r="206">
          <cell r="K206" t="str">
            <v/>
          </cell>
        </row>
        <row r="207">
          <cell r="K207" t="str">
            <v/>
          </cell>
        </row>
        <row r="208">
          <cell r="K208" t="str">
            <v/>
          </cell>
        </row>
        <row r="209">
          <cell r="K209" t="str">
            <v/>
          </cell>
        </row>
        <row r="210">
          <cell r="K210" t="str">
            <v/>
          </cell>
        </row>
        <row r="211">
          <cell r="K211" t="str">
            <v/>
          </cell>
        </row>
        <row r="212">
          <cell r="K212" t="str">
            <v/>
          </cell>
        </row>
        <row r="213">
          <cell r="K213" t="str">
            <v/>
          </cell>
        </row>
        <row r="214">
          <cell r="K214" t="str">
            <v/>
          </cell>
        </row>
        <row r="215">
          <cell r="K215" t="str">
            <v/>
          </cell>
        </row>
        <row r="216">
          <cell r="K216" t="str">
            <v/>
          </cell>
        </row>
        <row r="217">
          <cell r="K217" t="str">
            <v/>
          </cell>
        </row>
        <row r="218">
          <cell r="K218" t="str">
            <v/>
          </cell>
        </row>
        <row r="219">
          <cell r="K219" t="str">
            <v/>
          </cell>
        </row>
        <row r="220">
          <cell r="K220" t="str">
            <v/>
          </cell>
        </row>
        <row r="221">
          <cell r="K221" t="str">
            <v/>
          </cell>
        </row>
        <row r="222">
          <cell r="K222" t="str">
            <v/>
          </cell>
        </row>
        <row r="223">
          <cell r="K223" t="str">
            <v/>
          </cell>
        </row>
        <row r="224">
          <cell r="K224" t="str">
            <v/>
          </cell>
        </row>
        <row r="225">
          <cell r="K225" t="str">
            <v/>
          </cell>
        </row>
        <row r="226">
          <cell r="K226" t="str">
            <v/>
          </cell>
        </row>
        <row r="227">
          <cell r="K227" t="str">
            <v/>
          </cell>
        </row>
        <row r="228">
          <cell r="K228" t="str">
            <v/>
          </cell>
        </row>
        <row r="229">
          <cell r="K229" t="str">
            <v/>
          </cell>
        </row>
        <row r="230">
          <cell r="K230" t="str">
            <v/>
          </cell>
        </row>
        <row r="231">
          <cell r="K231" t="str">
            <v/>
          </cell>
        </row>
        <row r="232">
          <cell r="K232" t="str">
            <v/>
          </cell>
        </row>
        <row r="233">
          <cell r="K233" t="str">
            <v/>
          </cell>
        </row>
        <row r="234">
          <cell r="K234" t="str">
            <v/>
          </cell>
        </row>
        <row r="235">
          <cell r="K235" t="str">
            <v/>
          </cell>
        </row>
        <row r="236">
          <cell r="K236" t="str">
            <v/>
          </cell>
        </row>
        <row r="237">
          <cell r="K237" t="str">
            <v/>
          </cell>
        </row>
        <row r="238">
          <cell r="K238" t="str">
            <v/>
          </cell>
        </row>
        <row r="239">
          <cell r="K239" t="str">
            <v/>
          </cell>
        </row>
        <row r="240">
          <cell r="K240" t="str">
            <v/>
          </cell>
        </row>
        <row r="241">
          <cell r="K241" t="str">
            <v/>
          </cell>
        </row>
        <row r="242">
          <cell r="K242" t="str">
            <v/>
          </cell>
        </row>
        <row r="243">
          <cell r="K243" t="str">
            <v/>
          </cell>
        </row>
        <row r="244">
          <cell r="K244" t="str">
            <v/>
          </cell>
        </row>
        <row r="245">
          <cell r="K245" t="str">
            <v/>
          </cell>
        </row>
        <row r="246">
          <cell r="K246" t="str">
            <v/>
          </cell>
        </row>
        <row r="247">
          <cell r="K247" t="str">
            <v/>
          </cell>
        </row>
        <row r="248">
          <cell r="K248" t="str">
            <v/>
          </cell>
        </row>
        <row r="249">
          <cell r="K249" t="str">
            <v/>
          </cell>
        </row>
        <row r="250">
          <cell r="K250" t="str">
            <v/>
          </cell>
        </row>
        <row r="251">
          <cell r="K251" t="str">
            <v/>
          </cell>
        </row>
        <row r="252">
          <cell r="K252" t="str">
            <v/>
          </cell>
        </row>
        <row r="253">
          <cell r="K253" t="str">
            <v/>
          </cell>
        </row>
        <row r="254">
          <cell r="K254" t="str">
            <v/>
          </cell>
        </row>
        <row r="255">
          <cell r="K255" t="str">
            <v/>
          </cell>
        </row>
        <row r="256">
          <cell r="K256" t="str">
            <v/>
          </cell>
        </row>
        <row r="257">
          <cell r="K257" t="str">
            <v/>
          </cell>
        </row>
        <row r="258">
          <cell r="K258" t="str">
            <v/>
          </cell>
        </row>
        <row r="259">
          <cell r="K259" t="str">
            <v/>
          </cell>
        </row>
        <row r="260">
          <cell r="K260" t="str">
            <v/>
          </cell>
        </row>
        <row r="261">
          <cell r="K261" t="str">
            <v/>
          </cell>
        </row>
        <row r="262">
          <cell r="K262" t="str">
            <v/>
          </cell>
        </row>
        <row r="263">
          <cell r="K263" t="str">
            <v/>
          </cell>
        </row>
        <row r="264">
          <cell r="K264" t="str">
            <v/>
          </cell>
        </row>
        <row r="265">
          <cell r="K265" t="str">
            <v/>
          </cell>
        </row>
        <row r="266">
          <cell r="K266" t="str">
            <v/>
          </cell>
        </row>
        <row r="267">
          <cell r="K267" t="str">
            <v/>
          </cell>
        </row>
        <row r="268">
          <cell r="K268" t="str">
            <v/>
          </cell>
        </row>
        <row r="269">
          <cell r="K269" t="str">
            <v/>
          </cell>
        </row>
        <row r="270">
          <cell r="K270" t="str">
            <v/>
          </cell>
        </row>
        <row r="271">
          <cell r="K271" t="str">
            <v/>
          </cell>
        </row>
        <row r="272">
          <cell r="K272" t="str">
            <v/>
          </cell>
        </row>
        <row r="273">
          <cell r="K273" t="str">
            <v/>
          </cell>
        </row>
        <row r="274">
          <cell r="K274" t="str">
            <v/>
          </cell>
        </row>
        <row r="275">
          <cell r="K275" t="str">
            <v/>
          </cell>
        </row>
        <row r="276">
          <cell r="K276" t="str">
            <v/>
          </cell>
        </row>
        <row r="277">
          <cell r="K277" t="str">
            <v/>
          </cell>
        </row>
        <row r="278">
          <cell r="K278" t="str">
            <v/>
          </cell>
        </row>
        <row r="279">
          <cell r="K279" t="str">
            <v/>
          </cell>
        </row>
        <row r="280">
          <cell r="K280" t="str">
            <v/>
          </cell>
        </row>
        <row r="281">
          <cell r="K281" t="str">
            <v/>
          </cell>
        </row>
        <row r="282">
          <cell r="K282" t="str">
            <v/>
          </cell>
        </row>
        <row r="283">
          <cell r="K283" t="str">
            <v/>
          </cell>
        </row>
        <row r="284">
          <cell r="K284" t="str">
            <v/>
          </cell>
        </row>
        <row r="285">
          <cell r="K285" t="str">
            <v/>
          </cell>
        </row>
        <row r="286">
          <cell r="K286" t="str">
            <v/>
          </cell>
        </row>
        <row r="287">
          <cell r="K287" t="str">
            <v/>
          </cell>
        </row>
        <row r="288">
          <cell r="K288" t="str">
            <v/>
          </cell>
        </row>
        <row r="289">
          <cell r="K289" t="str">
            <v/>
          </cell>
        </row>
        <row r="290">
          <cell r="K290" t="str">
            <v/>
          </cell>
        </row>
        <row r="291">
          <cell r="K291" t="str">
            <v/>
          </cell>
        </row>
        <row r="292">
          <cell r="K292" t="str">
            <v/>
          </cell>
        </row>
        <row r="293">
          <cell r="K293" t="str">
            <v/>
          </cell>
        </row>
        <row r="294">
          <cell r="K294" t="str">
            <v/>
          </cell>
        </row>
        <row r="295">
          <cell r="K295" t="str">
            <v/>
          </cell>
        </row>
        <row r="296">
          <cell r="K296" t="str">
            <v/>
          </cell>
        </row>
        <row r="297">
          <cell r="K297" t="str">
            <v/>
          </cell>
        </row>
        <row r="298">
          <cell r="K298" t="str">
            <v/>
          </cell>
        </row>
        <row r="299">
          <cell r="K299" t="str">
            <v/>
          </cell>
        </row>
        <row r="300">
          <cell r="K300" t="str">
            <v/>
          </cell>
        </row>
        <row r="301">
          <cell r="K301" t="str">
            <v/>
          </cell>
        </row>
        <row r="302">
          <cell r="K302" t="str">
            <v/>
          </cell>
        </row>
        <row r="303">
          <cell r="K303" t="str">
            <v/>
          </cell>
        </row>
        <row r="304">
          <cell r="K304" t="str">
            <v/>
          </cell>
        </row>
        <row r="305">
          <cell r="K305" t="str">
            <v/>
          </cell>
        </row>
        <row r="306">
          <cell r="K306" t="str">
            <v/>
          </cell>
        </row>
        <row r="307">
          <cell r="K307" t="str">
            <v/>
          </cell>
        </row>
        <row r="308">
          <cell r="K308" t="str">
            <v/>
          </cell>
        </row>
        <row r="309">
          <cell r="K309" t="str">
            <v/>
          </cell>
        </row>
        <row r="310">
          <cell r="K310" t="str">
            <v/>
          </cell>
        </row>
        <row r="311">
          <cell r="K311" t="str">
            <v/>
          </cell>
        </row>
        <row r="312">
          <cell r="K312" t="str">
            <v/>
          </cell>
        </row>
        <row r="313">
          <cell r="K313" t="str">
            <v/>
          </cell>
        </row>
        <row r="314">
          <cell r="K314" t="str">
            <v/>
          </cell>
        </row>
        <row r="315">
          <cell r="K315" t="str">
            <v/>
          </cell>
        </row>
        <row r="316">
          <cell r="K316" t="str">
            <v/>
          </cell>
        </row>
        <row r="317">
          <cell r="K317" t="str">
            <v/>
          </cell>
        </row>
        <row r="318">
          <cell r="K318" t="str">
            <v/>
          </cell>
        </row>
        <row r="319">
          <cell r="K319" t="str">
            <v/>
          </cell>
        </row>
        <row r="320">
          <cell r="K320" t="str">
            <v/>
          </cell>
        </row>
        <row r="321">
          <cell r="K321" t="str">
            <v/>
          </cell>
        </row>
        <row r="322">
          <cell r="K322" t="str">
            <v/>
          </cell>
        </row>
        <row r="323">
          <cell r="K323" t="str">
            <v/>
          </cell>
        </row>
        <row r="324">
          <cell r="K324" t="str">
            <v/>
          </cell>
        </row>
        <row r="325">
          <cell r="K325" t="str">
            <v/>
          </cell>
        </row>
        <row r="326">
          <cell r="K326" t="str">
            <v/>
          </cell>
        </row>
        <row r="327">
          <cell r="K327" t="str">
            <v/>
          </cell>
        </row>
        <row r="328">
          <cell r="K328" t="str">
            <v/>
          </cell>
        </row>
        <row r="329">
          <cell r="K329" t="str">
            <v/>
          </cell>
        </row>
        <row r="330">
          <cell r="K330" t="str">
            <v/>
          </cell>
        </row>
        <row r="331">
          <cell r="K331" t="str">
            <v/>
          </cell>
        </row>
        <row r="332">
          <cell r="K332" t="str">
            <v/>
          </cell>
        </row>
        <row r="333">
          <cell r="K333" t="str">
            <v/>
          </cell>
        </row>
        <row r="334">
          <cell r="K334" t="str">
            <v/>
          </cell>
        </row>
        <row r="335">
          <cell r="K335" t="str">
            <v/>
          </cell>
        </row>
        <row r="336">
          <cell r="K336" t="str">
            <v/>
          </cell>
        </row>
        <row r="337">
          <cell r="K337" t="str">
            <v/>
          </cell>
        </row>
        <row r="338">
          <cell r="K338" t="str">
            <v/>
          </cell>
        </row>
        <row r="339">
          <cell r="K339" t="str">
            <v/>
          </cell>
        </row>
        <row r="340">
          <cell r="K340" t="str">
            <v/>
          </cell>
        </row>
        <row r="341">
          <cell r="K341" t="str">
            <v/>
          </cell>
        </row>
        <row r="342">
          <cell r="K342" t="str">
            <v/>
          </cell>
        </row>
        <row r="343">
          <cell r="K343" t="str">
            <v/>
          </cell>
        </row>
        <row r="344">
          <cell r="K344" t="str">
            <v/>
          </cell>
        </row>
        <row r="345">
          <cell r="K345" t="str">
            <v/>
          </cell>
        </row>
        <row r="346">
          <cell r="K346" t="str">
            <v/>
          </cell>
        </row>
        <row r="347">
          <cell r="K347" t="str">
            <v/>
          </cell>
        </row>
        <row r="348">
          <cell r="K348" t="str">
            <v/>
          </cell>
        </row>
        <row r="349">
          <cell r="K349" t="str">
            <v/>
          </cell>
        </row>
        <row r="350">
          <cell r="K350" t="str">
            <v/>
          </cell>
        </row>
        <row r="351">
          <cell r="K351" t="str">
            <v/>
          </cell>
        </row>
        <row r="352">
          <cell r="K352" t="str">
            <v/>
          </cell>
        </row>
        <row r="353">
          <cell r="K353" t="str">
            <v/>
          </cell>
        </row>
        <row r="354">
          <cell r="K354" t="str">
            <v/>
          </cell>
        </row>
        <row r="355">
          <cell r="K355" t="str">
            <v/>
          </cell>
        </row>
        <row r="356">
          <cell r="K356" t="str">
            <v/>
          </cell>
        </row>
        <row r="357">
          <cell r="K357" t="str">
            <v/>
          </cell>
        </row>
        <row r="358">
          <cell r="K358" t="str">
            <v/>
          </cell>
        </row>
        <row r="359">
          <cell r="K359" t="str">
            <v/>
          </cell>
        </row>
        <row r="360">
          <cell r="K360" t="str">
            <v/>
          </cell>
        </row>
        <row r="361">
          <cell r="K361" t="str">
            <v/>
          </cell>
        </row>
        <row r="362">
          <cell r="K362" t="str">
            <v/>
          </cell>
        </row>
        <row r="363">
          <cell r="K363" t="str">
            <v/>
          </cell>
        </row>
        <row r="364">
          <cell r="K364" t="str">
            <v/>
          </cell>
        </row>
        <row r="365">
          <cell r="K365" t="str">
            <v/>
          </cell>
        </row>
        <row r="366">
          <cell r="K366" t="str">
            <v/>
          </cell>
        </row>
        <row r="367">
          <cell r="K367" t="str">
            <v/>
          </cell>
        </row>
        <row r="368">
          <cell r="K368" t="str">
            <v/>
          </cell>
        </row>
        <row r="369">
          <cell r="K369" t="str">
            <v/>
          </cell>
        </row>
        <row r="370">
          <cell r="K370" t="str">
            <v/>
          </cell>
        </row>
        <row r="371">
          <cell r="K371" t="str">
            <v/>
          </cell>
        </row>
        <row r="372">
          <cell r="K372" t="str">
            <v/>
          </cell>
        </row>
        <row r="373">
          <cell r="K373" t="str">
            <v/>
          </cell>
        </row>
        <row r="374">
          <cell r="K374" t="str">
            <v/>
          </cell>
        </row>
        <row r="375">
          <cell r="K375" t="str">
            <v/>
          </cell>
        </row>
        <row r="376">
          <cell r="K376" t="str">
            <v/>
          </cell>
        </row>
        <row r="377">
          <cell r="K377" t="str">
            <v/>
          </cell>
        </row>
        <row r="378">
          <cell r="K378" t="str">
            <v/>
          </cell>
        </row>
        <row r="379">
          <cell r="K379" t="str">
            <v/>
          </cell>
        </row>
        <row r="380">
          <cell r="K380" t="str">
            <v/>
          </cell>
        </row>
        <row r="381">
          <cell r="K381" t="str">
            <v/>
          </cell>
        </row>
        <row r="382">
          <cell r="K382" t="str">
            <v/>
          </cell>
        </row>
        <row r="383">
          <cell r="K383" t="str">
            <v/>
          </cell>
        </row>
        <row r="384">
          <cell r="K384" t="str">
            <v/>
          </cell>
        </row>
        <row r="385">
          <cell r="K385" t="str">
            <v/>
          </cell>
        </row>
        <row r="386">
          <cell r="K386" t="str">
            <v/>
          </cell>
        </row>
        <row r="387">
          <cell r="K387" t="str">
            <v/>
          </cell>
        </row>
        <row r="388">
          <cell r="K388" t="str">
            <v/>
          </cell>
        </row>
        <row r="389">
          <cell r="K389" t="str">
            <v/>
          </cell>
        </row>
        <row r="390">
          <cell r="K390" t="str">
            <v/>
          </cell>
        </row>
        <row r="391">
          <cell r="K391" t="str">
            <v/>
          </cell>
        </row>
        <row r="392">
          <cell r="K392" t="str">
            <v/>
          </cell>
        </row>
        <row r="393">
          <cell r="K393" t="str">
            <v/>
          </cell>
        </row>
        <row r="394">
          <cell r="K394" t="str">
            <v/>
          </cell>
        </row>
        <row r="395">
          <cell r="K395" t="str">
            <v/>
          </cell>
        </row>
        <row r="396">
          <cell r="K396" t="str">
            <v/>
          </cell>
        </row>
        <row r="397">
          <cell r="K397" t="str">
            <v/>
          </cell>
        </row>
        <row r="398">
          <cell r="K398" t="str">
            <v/>
          </cell>
        </row>
        <row r="399">
          <cell r="K399" t="str">
            <v/>
          </cell>
        </row>
        <row r="400">
          <cell r="K400" t="str">
            <v/>
          </cell>
        </row>
        <row r="401">
          <cell r="K401" t="str">
            <v/>
          </cell>
        </row>
        <row r="402">
          <cell r="K402" t="str">
            <v/>
          </cell>
        </row>
        <row r="403">
          <cell r="K403" t="str">
            <v/>
          </cell>
        </row>
        <row r="404">
          <cell r="K404" t="str">
            <v/>
          </cell>
        </row>
        <row r="405">
          <cell r="K405" t="str">
            <v/>
          </cell>
        </row>
        <row r="406">
          <cell r="K406" t="str">
            <v/>
          </cell>
        </row>
        <row r="407">
          <cell r="K407" t="str">
            <v/>
          </cell>
        </row>
        <row r="408">
          <cell r="K408" t="str">
            <v/>
          </cell>
        </row>
        <row r="409">
          <cell r="K409" t="str">
            <v/>
          </cell>
        </row>
        <row r="410">
          <cell r="K410" t="str">
            <v/>
          </cell>
        </row>
        <row r="411">
          <cell r="K411" t="str">
            <v/>
          </cell>
        </row>
        <row r="412">
          <cell r="K412" t="str">
            <v/>
          </cell>
        </row>
        <row r="413">
          <cell r="K413" t="str">
            <v/>
          </cell>
        </row>
        <row r="414">
          <cell r="K414" t="str">
            <v/>
          </cell>
        </row>
        <row r="415">
          <cell r="K415" t="str">
            <v/>
          </cell>
        </row>
        <row r="416">
          <cell r="K416" t="str">
            <v/>
          </cell>
        </row>
        <row r="417">
          <cell r="K417" t="str">
            <v/>
          </cell>
        </row>
        <row r="418">
          <cell r="K418" t="str">
            <v/>
          </cell>
        </row>
        <row r="419">
          <cell r="K419" t="str">
            <v/>
          </cell>
        </row>
        <row r="420">
          <cell r="K420" t="str">
            <v/>
          </cell>
        </row>
        <row r="421">
          <cell r="K421" t="str">
            <v/>
          </cell>
        </row>
        <row r="422">
          <cell r="K422" t="str">
            <v/>
          </cell>
        </row>
        <row r="423">
          <cell r="K423" t="str">
            <v/>
          </cell>
        </row>
        <row r="424">
          <cell r="K424" t="str">
            <v/>
          </cell>
        </row>
        <row r="425">
          <cell r="K425" t="str">
            <v/>
          </cell>
        </row>
        <row r="426">
          <cell r="K426" t="str">
            <v/>
          </cell>
        </row>
        <row r="427">
          <cell r="K427" t="str">
            <v/>
          </cell>
        </row>
        <row r="428">
          <cell r="K428" t="str">
            <v/>
          </cell>
        </row>
        <row r="429">
          <cell r="K429" t="str">
            <v/>
          </cell>
        </row>
        <row r="430">
          <cell r="K430" t="str">
            <v/>
          </cell>
        </row>
      </sheetData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P"/>
      <sheetName val="PLCT"/>
      <sheetName val="ITENS"/>
      <sheetName val="SOMAS"/>
      <sheetName val="Dado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960887"/>
      <sheetName val="OR960887.XLS"/>
      <sheetName val="\\DFBSA00535\dyna01\ClaudioFerr"/>
      <sheetName val="PROJETO"/>
      <sheetName val="Capa"/>
      <sheetName val="Sumário"/>
      <sheetName val="Capa Apres"/>
      <sheetName val="Apres"/>
      <sheetName val="Capa Mapa"/>
      <sheetName val="Mapa"/>
      <sheetName val="Capa Premissas"/>
      <sheetName val="Premissas"/>
      <sheetName val="Capa Caract. Seg."/>
      <sheetName val="Áreas gramadas"/>
      <sheetName val="OAE"/>
      <sheetName val="Drenagem"/>
      <sheetName val="Capa Memória de Calc"/>
      <sheetName val="Características"/>
      <sheetName val="Percentual"/>
      <sheetName val="M2"/>
      <sheetName val="Quantitativos"/>
      <sheetName val="CMB"/>
      <sheetName val="ESP"/>
      <sheetName val="Fresagem"/>
      <sheetName val="Capa Resumo"/>
      <sheetName val="Unifilar"/>
      <sheetName val="Orçamento Total"/>
      <sheetName val="Crono. Financ. (kmf) (2)"/>
      <sheetName val="Orçamento por Kmf"/>
      <sheetName val="Orçamento por solução"/>
      <sheetName val="Orçamento Kmf"/>
      <sheetName val="Orçam. Resumo"/>
      <sheetName val="Crono. Financ."/>
      <sheetName val="Canteiro"/>
      <sheetName val="Capa Documentação"/>
      <sheetName val="Capa Anexo I"/>
      <sheetName val="LVC"/>
      <sheetName val="Capa Anexo II"/>
      <sheetName val="Capa Anexo III"/>
      <sheetName val="Capa Anexo IV"/>
      <sheetName val="AVS"/>
      <sheetName val="Ctr."/>
      <sheetName val="Mat"/>
      <sheetName val="Tabsal-2.9"/>
      <sheetName val="C"/>
      <sheetName val="__DFBSA00535_dyna01_ClaudioFerr"/>
      <sheetName val="INSUMOS"/>
      <sheetName val="FECHA CONSORCIO"/>
      <sheetName val="FC"/>
      <sheetName val="RESUMO"/>
      <sheetName val="ORG"/>
      <sheetName val="ENC"/>
      <sheetName val="MOD"/>
      <sheetName val="1. C.INDIRETO"/>
      <sheetName val="2. C.CANTEIRO"/>
      <sheetName val="3.PROJ.&amp;SOC."/>
      <sheetName val="4. C.DIRETO"/>
      <sheetName val="4.1 REDES"/>
      <sheetName val="4.2 PV_PI"/>
      <sheetName val="4.3 MND"/>
      <sheetName val="4.4 INTERL"/>
      <sheetName val="4.6 PAVIM"/>
      <sheetName val="4.5 LIG. ESG"/>
      <sheetName val="4.7 DETEC"/>
      <sheetName val="4.8 S.COMP"/>
      <sheetName val="4.9 S.AUXIL"/>
      <sheetName val="EQUIPAMENTOS POR MODALIDADE"/>
      <sheetName val="EQUIPAMENTOS (2)"/>
      <sheetName val="volfcst"/>
      <sheetName val="Dados"/>
      <sheetName val="RPA Julho"/>
      <sheetName val="Valor Mediçao"/>
      <sheetName val="Med 1ª"/>
      <sheetName val="Med 2ª"/>
      <sheetName val="Med 3ª"/>
      <sheetName val="Desc. de materiais"/>
      <sheetName val="Plan1"/>
      <sheetName val="Plan2"/>
      <sheetName val="Plan3"/>
      <sheetName val="Principal"/>
      <sheetName val="Materiais Betuminosos"/>
      <sheetName val="Qd05 Preço"/>
      <sheetName val="Qd06"/>
      <sheetName val="LOTE 6"/>
      <sheetName val="DG"/>
      <sheetName val="Acumulado"/>
      <sheetName val="Orçamento"/>
      <sheetName val="QuQuant"/>
      <sheetName val="Orçamentária"/>
      <sheetName val="#REF"/>
      <sheetName val="Par"/>
      <sheetName val="validationInfo"/>
      <sheetName val="PORTAL"/>
      <sheetName val="Motores"/>
      <sheetName val="Investimentos e Housing-Cav. RJ"/>
      <sheetName val="BR-267_TR01"/>
      <sheetName val="BR-267_TR02"/>
      <sheetName val="BR-267_TR03"/>
      <sheetName val="BR-376"/>
      <sheetName val="BR-463"/>
      <sheetName val="BR-487"/>
      <sheetName val="TLMB"/>
      <sheetName val="SERVIÇOS"/>
      <sheetName val="[OR960887.XLS][OR960887.XLS][OR"/>
      <sheetName val="//localhost/@/DFBSA00535/dyna01"/>
      <sheetName val="PGR"/>
      <sheetName val="comp1"/>
      <sheetName val="SIIG 2010-Jun"/>
      <sheetName val="Estimativa"/>
      <sheetName val="Final"/>
      <sheetName val="Inicio"/>
      <sheetName val="Organiza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SERVIÇOS CUSTO SICRO"/>
      <sheetName val="Equipamentos"/>
      <sheetName val="Materiais"/>
      <sheetName val="Mão de Obra"/>
      <sheetName val="Mapa Localização"/>
      <sheetName val="PATO"/>
      <sheetName val="Valeta"/>
      <sheetName val="Descida"/>
      <sheetName val="Meio-Fio"/>
      <sheetName val="Sarjeta"/>
      <sheetName val="Bueiro"/>
      <sheetName val="Plan.Preç.Unit."/>
      <sheetName val="QUANT E CUSTOS"/>
      <sheetName val="Transportes"/>
      <sheetName val="Referência"/>
      <sheetName val="Cronograma"/>
      <sheetName val="Grafico Dist. Transp"/>
      <sheetName val="Mobilização e Desmob"/>
      <sheetName val="Resumo Inventario"/>
      <sheetName val="Defensa Recompor"/>
      <sheetName val="Pintura Faixa"/>
      <sheetName val="Pintura Setas"/>
      <sheetName val="Tacha"/>
      <sheetName val="Sinalização"/>
      <sheetName val="Lay out canteiro"/>
      <sheetName val="Custo Canteiro"/>
      <sheetName val="Transp com c carroc rodov pav"/>
      <sheetName val="Aquis. CAP-50-70 MBUQ"/>
      <sheetName val="Transp. CAP-50-70 MBUQ"/>
      <sheetName val="Aquis. RR-1C Remendo"/>
      <sheetName val="Transp. RR-1C Remendo"/>
      <sheetName val="Aquis. RR-1C Tapa Buraco"/>
      <sheetName val="Trans. RR-1C Tapa Buraco"/>
      <sheetName val="Aquis. RR-1C Correção"/>
      <sheetName val="Trans. RR-1C Correção"/>
      <sheetName val="E011"/>
      <sheetName val="E016"/>
      <sheetName val="E400"/>
      <sheetName val="E408"/>
      <sheetName val=""/>
      <sheetName val="Aux_Direto"/>
      <sheetName val="Resumo Financeiro"/>
      <sheetName val="RELATA VÉIO"/>
      <sheetName val="CONS_CORR"/>
      <sheetName val="Mobra"/>
      <sheetName val="Micro Revest MAN"/>
      <sheetName val="Micro Revest REC 1ªMP"/>
      <sheetName val="REM.MEC MAT.BET.MAN"/>
      <sheetName val="TRANSPORTE REC"/>
      <sheetName val="alteração"/>
      <sheetName val="OR960887_XLS"/>
      <sheetName val="OR960887_XLS1"/>
      <sheetName val="acompanhamento"/>
      <sheetName val="P1Q2"/>
      <sheetName val="CUSTO LARANJEIRAS"/>
      <sheetName val="__localhost_@_DFBSA00535_dyna01"/>
      <sheetName val="[OR960887.XLS]//localhost/@/DFB"/>
      <sheetName val="Teor"/>
      <sheetName val="Índices de Reajustamento"/>
      <sheetName val="TB"/>
      <sheetName val="TB _BG_"/>
      <sheetName val="RemProf"/>
      <sheetName val="P A T O 98 D"/>
      <sheetName val="01-02-03-Julho"/>
      <sheetName val="[OR960887.XLS][OR960887.XLS]//l"/>
      <sheetName val="\Users\claudiopvf\Documents\BR-"/>
      <sheetName val="RECOMPOSIÇÃO MAN"/>
      <sheetName val="DBS"/>
      <sheetName val="Carimbo de Nota"/>
      <sheetName val="FLUXO - EXECUÇÃO PRÓPRIA"/>
      <sheetName val="8ª MP_BR_459"/>
      <sheetName val="DSS_04"/>
      <sheetName val="PintLigacao"/>
      <sheetName val="PMQ"/>
      <sheetName val="STC_01"/>
      <sheetName val="P A T O"/>
      <sheetName val="RESUMO_AUT1"/>
      <sheetName val="8ª MP_BR-459"/>
      <sheetName val="PLANILHA"/>
      <sheetName val="SICRO"/>
      <sheetName val="Financeiro"/>
      <sheetName val="PQ"/>
      <sheetName val="SERV SICRO SD"/>
      <sheetName val="EQ SICRO"/>
      <sheetName val="MO SICRO"/>
      <sheetName val="MAT SICRO"/>
      <sheetName val="QD DMT"/>
      <sheetName val="COT MAT"/>
      <sheetName val="COT EQUIP"/>
      <sheetName val="SERVICOS"/>
      <sheetName val="SERVICOS AUX"/>
      <sheetName val="MOBILIZACAO"/>
      <sheetName val=" EQUIPE MÍNIMA"/>
      <sheetName val="EQUIP MINIMO"/>
      <sheetName val="Momento de Transporte"/>
      <sheetName val="BINOMIO CBUQ"/>
      <sheetName val="BINOMIO CAP"/>
      <sheetName val="BINOMIO EAI"/>
      <sheetName val="BINOMIO RR-1C"/>
      <sheetName val="BINOMIO RM-1C"/>
      <sheetName val="BINOMIO RR-2C"/>
      <sheetName val="TERRAPLENAGEM"/>
      <sheetName val="5501710"/>
      <sheetName val="5502109"/>
      <sheetName val="5502110"/>
      <sheetName val="5502111"/>
      <sheetName val="5501878"/>
      <sheetName val="5502899"/>
      <sheetName val="5915320"/>
      <sheetName val="5915321"/>
      <sheetName val="5503041"/>
      <sheetName val="4011209"/>
      <sheetName val="4413984"/>
      <sheetName val="5501701"/>
      <sheetName val="5501700"/>
      <sheetName val="5501702"/>
      <sheetName val="1506055"/>
      <sheetName val="1516300"/>
      <sheetName val="9100000"/>
      <sheetName val="2003866"/>
      <sheetName val="2003369"/>
      <sheetName val="2003377"/>
      <sheetName val="2003319"/>
      <sheetName val="2003325"/>
      <sheetName val="2003349"/>
      <sheetName val="2003313"/>
      <sheetName val="2003315"/>
      <sheetName val="2003307"/>
      <sheetName val="2003309"/>
      <sheetName val="2003385 "/>
      <sheetName val="2003387"/>
      <sheetName val="2003391"/>
      <sheetName val="2003393 "/>
      <sheetName val="2003407"/>
      <sheetName val="2003411 "/>
      <sheetName val="2003415 "/>
      <sheetName val="2003419"/>
      <sheetName val="2003403 "/>
      <sheetName val="2003447"/>
      <sheetName val="2003449"/>
      <sheetName val="2003569"/>
      <sheetName val="2003611 "/>
      <sheetName val="2003613 "/>
      <sheetName val="2003641"/>
      <sheetName val="2003477"/>
      <sheetName val="2003678"/>
      <sheetName val="2003479 "/>
      <sheetName val="2003487 "/>
      <sheetName val="2003489"/>
      <sheetName val="2003495"/>
      <sheetName val="2003505 "/>
      <sheetName val="2003513"/>
      <sheetName val="2003658"/>
      <sheetName val="2003624"/>
      <sheetName val="0804021"/>
      <sheetName val="0804029 "/>
      <sheetName val="0804031 "/>
      <sheetName val="0804037"/>
      <sheetName val="0804081 "/>
      <sheetName val="0804101 "/>
      <sheetName val="0804121 "/>
      <sheetName val="4805757 "/>
      <sheetName val="4915671"/>
      <sheetName val="2106292 "/>
      <sheetName val="2106297"/>
      <sheetName val="9000001"/>
      <sheetName val="9000002"/>
      <sheetName val="9000003"/>
      <sheetName val="9000004"/>
      <sheetName val="9000005"/>
      <sheetName val="2003497"/>
      <sheetName val="PAVIMENTAÇÃO"/>
      <sheetName val="4011479"/>
      <sheetName val="4915667"/>
      <sheetName val="4915669"/>
      <sheetName val="1600438"/>
      <sheetName val="9300000"/>
      <sheetName val="9300001"/>
      <sheetName val="9300002"/>
      <sheetName val="9300003"/>
      <sheetName val="4011464"/>
      <sheetName val="4011360"/>
      <sheetName val="4011492"/>
      <sheetName val="4011352"/>
      <sheetName val="4011353"/>
      <sheetName val="9300004"/>
      <sheetName val="4011276"/>
      <sheetName val="4011282"/>
      <sheetName val="4011278"/>
      <sheetName val="4011537"/>
      <sheetName val="9300005"/>
      <sheetName val="M1943"/>
      <sheetName val="M1946"/>
      <sheetName val="M1947"/>
      <sheetName val="M2097"/>
      <sheetName val="M2092"/>
      <sheetName val="5914620"/>
      <sheetName val="5914622"/>
      <sheetName val="SINALIZACAO"/>
      <sheetName val="5213408"/>
      <sheetName val="5213410"/>
      <sheetName val="5214009"/>
      <sheetName val="9600000"/>
      <sheetName val="5213401 "/>
      <sheetName val="5213359"/>
      <sheetName val="5213393 "/>
      <sheetName val="5213361 "/>
      <sheetName val="5213446"/>
      <sheetName val="5213444"/>
      <sheetName val="5213442"/>
      <sheetName val="5213440"/>
      <sheetName val="5213450"/>
      <sheetName val="5213466"/>
      <sheetName val="5213477"/>
      <sheetName val="9100002"/>
      <sheetName val="5213476"/>
      <sheetName val="5213571"/>
      <sheetName val="5213577"/>
      <sheetName val="5213574"/>
      <sheetName val="5213485"/>
      <sheetName val="5213629"/>
      <sheetName val="5213631"/>
      <sheetName val="5213646"/>
      <sheetName val="5213857"/>
      <sheetName val="5213855"/>
      <sheetName val="5213861"/>
      <sheetName val="5213853"/>
      <sheetName val="5213851"/>
      <sheetName val="5213865"/>
      <sheetName val="5213868"/>
      <sheetName val="5213869"/>
      <sheetName val="5216111"/>
      <sheetName val="3713604"/>
      <sheetName val="3713605"/>
      <sheetName val="3713623"/>
      <sheetName val="3713828"/>
      <sheetName val="3713621"/>
      <sheetName val="9600001"/>
      <sheetName val="9600002"/>
      <sheetName val="9600003"/>
      <sheetName val="9600004"/>
      <sheetName val="1600966"/>
      <sheetName val="3713610"/>
      <sheetName val="5213368"/>
      <sheetName val="5213364"/>
      <sheetName val="SIN OBRAS"/>
      <sheetName val="5212560"/>
      <sheetName val="5212557"/>
      <sheetName val="5212556"/>
      <sheetName val="5213386"/>
      <sheetName val="5213838"/>
      <sheetName val="5213835"/>
      <sheetName val="5213840"/>
      <sheetName val="5213848"/>
      <sheetName val="5213833"/>
      <sheetName val="5213850"/>
      <sheetName val="5213845"/>
      <sheetName val="INTERFERÊNCIAS"/>
      <sheetName val="1600896"/>
      <sheetName val="1600436"/>
      <sheetName val="1600989"/>
      <sheetName val="1600442"/>
      <sheetName val="1600401"/>
      <sheetName val="1600402"/>
      <sheetName val="605621"/>
      <sheetName val="9700000"/>
      <sheetName val="5915440"/>
      <sheetName val="5914675"/>
      <sheetName val="5914621"/>
      <sheetName val="4011351"/>
      <sheetName val="5914314"/>
      <sheetName val="5914329"/>
      <sheetName val="5914344"/>
      <sheetName val="PAISAGISMO"/>
      <sheetName val="9800000"/>
      <sheetName val="4413948"/>
      <sheetName val="4413952"/>
      <sheetName val="ILUMINACAO"/>
      <sheetName val="9900000"/>
      <sheetName val="9900001"/>
      <sheetName val="9900002"/>
      <sheetName val="9900003"/>
      <sheetName val="9900004"/>
      <sheetName val="9900005"/>
      <sheetName val="9900006"/>
      <sheetName val="9900007"/>
      <sheetName val="9900008"/>
      <sheetName val="9900009"/>
      <sheetName val="9900010"/>
      <sheetName val="9900011"/>
      <sheetName val="9900012"/>
      <sheetName val="9900013"/>
      <sheetName val="9900014"/>
      <sheetName val="9900015"/>
      <sheetName val="9900016"/>
      <sheetName val="9900017"/>
      <sheetName val="9900018"/>
      <sheetName val="9900019"/>
      <sheetName val="9900020"/>
      <sheetName val="9900021"/>
      <sheetName val="9900022"/>
      <sheetName val="9900023"/>
      <sheetName val="9900024"/>
      <sheetName val="9900025"/>
      <sheetName val="9900026"/>
      <sheetName val="9900027"/>
      <sheetName val="9900028"/>
      <sheetName val="9900029"/>
      <sheetName val="9900030"/>
      <sheetName val="9900031"/>
      <sheetName val="9900032"/>
      <sheetName val="9900033"/>
      <sheetName val="9900034"/>
      <sheetName val="9900035"/>
      <sheetName val="9900036"/>
      <sheetName val="9900037"/>
      <sheetName val="9900038"/>
      <sheetName val="9900039"/>
      <sheetName val="9900040"/>
      <sheetName val="9900041"/>
      <sheetName val="9900042"/>
      <sheetName val="9900043"/>
      <sheetName val="9900044"/>
      <sheetName val="9900045"/>
      <sheetName val="9900046"/>
      <sheetName val="9900047"/>
      <sheetName val="9900048"/>
      <sheetName val="9900049"/>
      <sheetName val="9900050"/>
      <sheetName val="9900051"/>
      <sheetName val="9900052"/>
      <sheetName val="9900053"/>
      <sheetName val="9900054"/>
      <sheetName val="9900055"/>
      <sheetName val="9900056"/>
      <sheetName val="9900057"/>
      <sheetName val="9900058"/>
      <sheetName val="9900059"/>
      <sheetName val="9900060"/>
      <sheetName val="9900061"/>
      <sheetName val="9900062"/>
      <sheetName val="9900063"/>
      <sheetName val="9900064"/>
      <sheetName val="9900065"/>
      <sheetName val="9900066"/>
      <sheetName val="9900067"/>
      <sheetName val="9900068"/>
      <sheetName val="9900069"/>
      <sheetName val="9900070"/>
      <sheetName val="9900071"/>
      <sheetName val="9900072"/>
      <sheetName val="9900073"/>
      <sheetName val="9900074"/>
      <sheetName val="9900075"/>
      <sheetName val="9900076"/>
      <sheetName val="9900077"/>
      <sheetName val="9900078"/>
      <sheetName val="9900079"/>
      <sheetName val="9900080"/>
      <sheetName val="9900081"/>
      <sheetName val="9900082"/>
      <sheetName val="9900083"/>
      <sheetName val="9900084"/>
      <sheetName val="ARQUITETURA"/>
      <sheetName val="9010000"/>
      <sheetName val="9010001"/>
      <sheetName val="9010002"/>
      <sheetName val="9010003"/>
      <sheetName val="9010004"/>
      <sheetName val="9010005"/>
      <sheetName val="9010006"/>
      <sheetName val="9010007"/>
      <sheetName val="9010008"/>
      <sheetName val="9010009"/>
      <sheetName val="90100010"/>
      <sheetName val="90100011"/>
      <sheetName val="9010012"/>
      <sheetName val="9010013"/>
      <sheetName val="9010014"/>
      <sheetName val="9010015"/>
      <sheetName val="9010016"/>
      <sheetName val="9010017"/>
      <sheetName val="9010018"/>
      <sheetName val="9010019"/>
      <sheetName val="9010020"/>
      <sheetName val="9010021"/>
      <sheetName val="9010022"/>
      <sheetName val="9010023"/>
      <sheetName val="9010024"/>
      <sheetName val="9010025"/>
      <sheetName val="9010026"/>
      <sheetName val="9010027"/>
      <sheetName val="9010028"/>
      <sheetName val="9010029"/>
      <sheetName val="EST DE CONC. E METAL"/>
      <sheetName val="1107896"/>
      <sheetName val="1100657"/>
      <sheetName val="3108005"/>
      <sheetName val="407819"/>
      <sheetName val="407820"/>
      <sheetName val="2306010"/>
      <sheetName val="9010200"/>
      <sheetName val="9010201"/>
      <sheetName val="9010202"/>
      <sheetName val="9010203"/>
      <sheetName val="9010204"/>
      <sheetName val="9010205"/>
      <sheetName val="9010206"/>
      <sheetName val="9010207"/>
      <sheetName val="9010208"/>
      <sheetName val="9010209"/>
      <sheetName val="9010210"/>
      <sheetName val="9010211"/>
      <sheetName val="9010212"/>
      <sheetName val="9010213"/>
      <sheetName val="9010214"/>
      <sheetName val="9010215"/>
      <sheetName val="9010216"/>
      <sheetName val="ELETRICA"/>
      <sheetName val="9010300"/>
      <sheetName val="9010301"/>
      <sheetName val="9010302"/>
      <sheetName val="9010303"/>
      <sheetName val="9010304"/>
      <sheetName val="9010305"/>
      <sheetName val="9010306"/>
      <sheetName val="9010307"/>
      <sheetName val="9010308"/>
      <sheetName val="9010309"/>
      <sheetName val="9010310"/>
      <sheetName val="9010311"/>
      <sheetName val="9010312"/>
      <sheetName val="9010313"/>
      <sheetName val="9010314"/>
      <sheetName val="9010315"/>
      <sheetName val="9010316"/>
      <sheetName val="9010317"/>
      <sheetName val="9010318"/>
      <sheetName val="9010319"/>
      <sheetName val="9010320"/>
      <sheetName val="9010321"/>
      <sheetName val="9010322"/>
      <sheetName val="9010323"/>
      <sheetName val="9010324"/>
      <sheetName val="9010325"/>
      <sheetName val="9010326"/>
      <sheetName val="9010327"/>
      <sheetName val="9010328"/>
      <sheetName val="9010329"/>
      <sheetName val="9010330"/>
      <sheetName val="9010331"/>
      <sheetName val="9010332"/>
      <sheetName val="9010333"/>
      <sheetName val="9010334"/>
      <sheetName val="9010335"/>
      <sheetName val="9010336"/>
      <sheetName val="9010337"/>
      <sheetName val="9010338"/>
      <sheetName val="9010339"/>
      <sheetName val="9010340"/>
      <sheetName val="9010341"/>
      <sheetName val="9010342"/>
      <sheetName val="9010343"/>
      <sheetName val="9010344"/>
      <sheetName val="9010345"/>
      <sheetName val="9010346"/>
      <sheetName val="9010347"/>
      <sheetName val="9010348"/>
      <sheetName val="9010349"/>
      <sheetName val="9010350"/>
      <sheetName val="9010351"/>
      <sheetName val="9010352"/>
      <sheetName val="9010353"/>
      <sheetName val="9010354"/>
      <sheetName val="9010355"/>
      <sheetName val="9010356"/>
      <sheetName val="9010357"/>
      <sheetName val="9010358"/>
      <sheetName val="9010359"/>
      <sheetName val="9010360"/>
      <sheetName val="9010361"/>
      <sheetName val="9010362"/>
      <sheetName val="9010363"/>
      <sheetName val="9010364"/>
      <sheetName val="9010365"/>
      <sheetName val="9010366"/>
      <sheetName val="9010367"/>
      <sheetName val="9010368"/>
      <sheetName val="INST. HIDRÁULICAS"/>
      <sheetName val="1108111"/>
      <sheetName val="9010401"/>
      <sheetName val="9010402"/>
      <sheetName val="9010403"/>
      <sheetName val="9010404"/>
      <sheetName val="9010405"/>
      <sheetName val="9010406"/>
      <sheetName val="9010407"/>
      <sheetName val="9010408"/>
      <sheetName val="9010409"/>
      <sheetName val="9010410"/>
      <sheetName val="9010411"/>
      <sheetName val="9010412"/>
      <sheetName val="9010413"/>
      <sheetName val="9010414"/>
      <sheetName val="9010415"/>
      <sheetName val="9010416"/>
      <sheetName val="9010417"/>
      <sheetName val="9010418"/>
      <sheetName val="9010419"/>
      <sheetName val="9010420"/>
      <sheetName val="9010421"/>
      <sheetName val="9010422"/>
      <sheetName val="9010423"/>
      <sheetName val="9010424"/>
      <sheetName val="9010425"/>
      <sheetName val="9010426"/>
      <sheetName val="9010427"/>
      <sheetName val="9010428"/>
      <sheetName val="9010429"/>
      <sheetName val="9010430"/>
      <sheetName val="9010431"/>
      <sheetName val="9010432"/>
      <sheetName val="9010433"/>
      <sheetName val="9010434"/>
      <sheetName val="9010435"/>
      <sheetName val="9010436"/>
      <sheetName val="9010437"/>
      <sheetName val="9010438"/>
      <sheetName val="9010439"/>
      <sheetName val="9010440"/>
      <sheetName val="9010441"/>
      <sheetName val="9010442"/>
      <sheetName val="9010443"/>
      <sheetName val="9010444"/>
      <sheetName val="9010446"/>
      <sheetName val="9010447"/>
      <sheetName val="9010448"/>
      <sheetName val="9010449"/>
      <sheetName val="9010450"/>
      <sheetName val="9010451"/>
      <sheetName val="9010452"/>
      <sheetName val="9010453"/>
      <sheetName val="9010454"/>
      <sheetName val="9010455"/>
      <sheetName val="9010456"/>
      <sheetName val="9010457"/>
      <sheetName val="9010458"/>
      <sheetName val="9010459"/>
      <sheetName val="9010460"/>
      <sheetName val="9010461"/>
      <sheetName val="9010462"/>
      <sheetName val="9010463"/>
      <sheetName val="9010464"/>
      <sheetName val="9010465"/>
      <sheetName val="9010466"/>
      <sheetName val="9010467"/>
      <sheetName val="9010468"/>
      <sheetName val="9010469"/>
      <sheetName val="9010470"/>
      <sheetName val="9010471"/>
      <sheetName val="9010472"/>
      <sheetName val="9010473"/>
      <sheetName val="9010474"/>
      <sheetName val="9010475"/>
      <sheetName val="9010476"/>
      <sheetName val="9010477"/>
      <sheetName val="9010478"/>
      <sheetName val="9010479"/>
      <sheetName val="9010480"/>
      <sheetName val="9010481"/>
      <sheetName val="9010482"/>
      <sheetName val="9010483"/>
      <sheetName val="9010484"/>
      <sheetName val="9010485"/>
      <sheetName val="INCÊNDIO"/>
      <sheetName val="9010501"/>
      <sheetName val="9010502"/>
      <sheetName val="9010503"/>
      <sheetName val="9010504"/>
      <sheetName val="9010505"/>
      <sheetName val="9010506"/>
      <sheetName val="9010507"/>
      <sheetName val="9010508"/>
      <sheetName val="9010509"/>
      <sheetName val="9010510"/>
      <sheetName val="9010511"/>
      <sheetName val="AMBIENTAL"/>
      <sheetName val="4413905"/>
      <sheetName val="4413023"/>
      <sheetName val="9011000"/>
      <sheetName val="Sol. Tecnologicas"/>
      <sheetName val="9012100"/>
      <sheetName val="9012101"/>
      <sheetName val="9012102"/>
      <sheetName val="9012103"/>
      <sheetName val="9012104"/>
      <sheetName val="9012105"/>
      <sheetName val="9012106"/>
      <sheetName val="9012107"/>
      <sheetName val="9012108"/>
      <sheetName val="9012109"/>
      <sheetName val="9012110"/>
      <sheetName val="9012111"/>
      <sheetName val="9012112"/>
      <sheetName val="9012113"/>
      <sheetName val="9012114"/>
      <sheetName val="9012115"/>
      <sheetName val="9012116"/>
      <sheetName val="9012117"/>
      <sheetName val="9012118"/>
      <sheetName val="9012119"/>
      <sheetName val="9012120"/>
      <sheetName val="9012121"/>
      <sheetName val="9012122"/>
      <sheetName val="9012123"/>
      <sheetName val="9012124"/>
      <sheetName val="CANT E MOB"/>
      <sheetName val="0903804"/>
      <sheetName val="4011519"/>
      <sheetName val="4016096"/>
      <sheetName val="9002001"/>
      <sheetName val="9002002"/>
      <sheetName val="9002003"/>
      <sheetName val="9002004"/>
      <sheetName val="9002005"/>
      <sheetName val="9002006"/>
      <sheetName val="9002007"/>
      <sheetName val="9002008"/>
      <sheetName val="9002009"/>
      <sheetName val="9002010"/>
      <sheetName val="9002011"/>
      <sheetName val="9002012"/>
      <sheetName val="9002013"/>
      <sheetName val="0919101"/>
      <sheetName val="9002014"/>
      <sheetName val="9002015"/>
      <sheetName val="9002016"/>
      <sheetName val="9002017"/>
      <sheetName val="9002018"/>
      <sheetName val="AUXILIARES"/>
      <sheetName val="1109669"/>
      <sheetName val="2003842"/>
      <sheetName val="1107892"/>
      <sheetName val="4805751"/>
      <sheetName val="3103302"/>
      <sheetName val="3106121"/>
      <sheetName val="4805755"/>
      <sheetName val="3108022"/>
      <sheetName val="4413996"/>
      <sheetName val="4413995"/>
      <sheetName val="4816106"/>
      <sheetName val="4805757"/>
      <sheetName val="4816119"/>
      <sheetName val="4805750"/>
      <sheetName val="1109671"/>
      <sheetName val="1106165"/>
      <sheetName val="1106057"/>
      <sheetName val="2009619"/>
      <sheetName val="1109697"/>
      <sheetName val="5213414"/>
      <sheetName val="5212552"/>
      <sheetName val="5213421"/>
      <sheetName val="5213417"/>
      <sheetName val="5213423"/>
      <sheetName val="5213431"/>
      <sheetName val="5213436"/>
      <sheetName val="407740"/>
      <sheetName val="3107967"/>
      <sheetName val="3713824"/>
      <sheetName val="4816129"/>
      <sheetName val="4816131"/>
      <sheetName val="5216116"/>
      <sheetName val="2105605"/>
      <sheetName val="1119528"/>
      <sheetName val="1116127"/>
      <sheetName val="6416040"/>
      <sheetName val="6416042"/>
      <sheetName val="6416094"/>
      <sheetName val="1107871"/>
      <sheetName val="408067"/>
      <sheetName val="4816012"/>
      <sheetName val="4816010"/>
      <sheetName val="5213416"/>
      <sheetName val="5219546"/>
      <sheetName val="1419543"/>
      <sheetName val="2408057"/>
      <sheetName val="5219544"/>
      <sheetName val="2408070"/>
      <sheetName val="3807865"/>
      <sheetName val="4011211"/>
      <sheetName val="3713608"/>
      <sheetName val="5502986"/>
      <sheetName val="0903845"/>
      <sheetName val="0903846"/>
      <sheetName val="0919011"/>
      <sheetName val="5502985"/>
      <sheetName val="4805754"/>
      <sheetName val="3107997"/>
      <sheetName val="0903848"/>
      <sheetName val="1408173"/>
      <sheetName val="2408058"/>
      <sheetName val="1416139"/>
      <sheetName val="1400973"/>
      <sheetName val="1400974"/>
      <sheetName val="1416140 "/>
      <sheetName val="6416090"/>
      <sheetName val="PLANILHA ATUALIZADA"/>
      <sheetName val="Especif"/>
      <sheetName val="Quantidades e Preços - Lote 01"/>
      <sheetName val="08-IND. FÍSICOS"/>
      <sheetName val="Cad.Fornecedores"/>
      <sheetName val="Insumos - Materiais"/>
      <sheetName val="Sintético"/>
      <sheetName val="MATERIAL"/>
      <sheetName val="Hora Máquina1"/>
      <sheetName val="Vínculo"/>
      <sheetName val="Custo MB - (1)"/>
      <sheetName val="BRASIL"/>
      <sheetName val="_OR960887.XLS__OR960887.XLS__OR"/>
      <sheetName val="BANCO"/>
      <sheetName val="padrão salarial"/>
      <sheetName val="Dados Informativos"/>
      <sheetName val="Tabela de Salários Adotada"/>
      <sheetName val="Lançamentos"/>
      <sheetName val="Tipo Despesa"/>
      <sheetName val="[OR960887.XLS]__localhost___D_2"/>
      <sheetName val="Página 16"/>
      <sheetName val="TABELA DE COMPOSIÇÕES - SINAPI "/>
      <sheetName val="PlanQuant"/>
      <sheetName val="LUCRO SOBRE VENDA"/>
      <sheetName val="PlanSicroII cBDI"/>
      <sheetName val="CronFin"/>
      <sheetName val="PlanSicroII"/>
      <sheetName val="pcpu"/>
      <sheetName val="mãodeobra"/>
      <sheetName val="cheq"/>
      <sheetName val="preqmec"/>
      <sheetName val="Dados Iniciais"/>
      <sheetName val="Quadro_Solução"/>
      <sheetName val="Quadro_Solução Readequação"/>
      <sheetName val="Quadro_Solução (2)"/>
      <sheetName val="Qdro. executado"/>
      <sheetName val="Quadro_de solução (2)"/>
      <sheetName val="Qdro. Comparativo"/>
      <sheetName val="Memória_Cálculo"/>
      <sheetName val="BR-230 POMBAL-S.GONÇALO"/>
      <sheetName val="Fresagem de Pista Ago-98"/>
    </sheetNames>
    <definedNames>
      <definedName name="PassaExtens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>
        <row r="35">
          <cell r="A35" t="str">
            <v>ASTU</v>
          </cell>
        </row>
      </sheetData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 refreshError="1"/>
      <sheetData sheetId="861"/>
      <sheetData sheetId="862"/>
      <sheetData sheetId="863" refreshError="1"/>
      <sheetData sheetId="864" refreshError="1"/>
      <sheetData sheetId="865" refreshError="1"/>
      <sheetData sheetId="86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EDIA ANO"/>
      <sheetName val="Loco_siade"/>
      <sheetName val="Principal"/>
      <sheetName val="VPL-FCA"/>
      <sheetName val="Grupo x Justif"/>
      <sheetName val="invest."/>
      <sheetName val="Dados"/>
      <sheetName val="Cadastro"/>
      <sheetName val="Apoio"/>
      <sheetName val="Check List- Gerrot"/>
      <sheetName val="RESUMO"/>
      <sheetName val="MEDIA_ANO"/>
      <sheetName val="Grupo_x_Justif"/>
      <sheetName val="invest_"/>
      <sheetName val="Check_List-_Gerrot"/>
      <sheetName val="PT"/>
      <sheetName val="Mem3138"/>
      <sheetName val="Loco2002"/>
      <sheetName val="Matriz pª Aprop. Horas"/>
      <sheetName val="HFP_Plan"/>
      <sheetName val="ICMS"/>
      <sheetName val="OS 000"/>
      <sheetName val="MEDIA_ANO1"/>
      <sheetName val="Grupo_x_Justif1"/>
      <sheetName val="invest_1"/>
      <sheetName val="Check_List-_Gerrot1"/>
      <sheetName val="Matriz_pª_Aprop__Horas"/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Plan1"/>
      <sheetName val="Gerrot - Comercial - Agricultur"/>
      <sheetName val="Empresas"/>
      <sheetName val="WK Local"/>
      <sheetName val="WKcalculLocCur"/>
      <sheetName val="GAMIS"/>
      <sheetName val="BD Gráficos"/>
      <sheetName val="Gráfico Radar Blocos"/>
      <sheetName val="Grafico Radar Processos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#REF"/>
      <sheetName val="DadosOrc"/>
      <sheetName val="Rates"/>
      <sheetName val="INFO"/>
      <sheetName val="Indicadores"/>
      <sheetName val="Gerrot%20-%20Comercial%20-%20Ag"/>
      <sheetName val="Gestão de Condicionantes - BL"/>
      <sheetName val="Plan3"/>
      <sheetName val="Exch_Rate"/>
      <sheetName val="Lookups"/>
      <sheetName val="DATA LISTS"/>
      <sheetName val="Custos - Inglês"/>
      <sheetName val="RevestInter"/>
      <sheetName val="Access"/>
      <sheetName val="MEDIA_ANO3"/>
      <sheetName val="Grupo_x_Justif3"/>
      <sheetName val="invest_3"/>
      <sheetName val="Check_List-_Gerrot3"/>
      <sheetName val="Matriz_pª_Aprop__Horas2"/>
      <sheetName val="MEDIA_ANO2"/>
      <sheetName val="Grupo_x_Justif2"/>
      <sheetName val="invest_2"/>
      <sheetName val="Check_List-_Gerrot2"/>
      <sheetName val="Matriz_pª_Aprop__Horas1"/>
      <sheetName val="MEDIA_ANO4"/>
      <sheetName val="Grupo_x_Justif4"/>
      <sheetName val="invest_4"/>
      <sheetName val="Check_List-_Gerrot4"/>
      <sheetName val="Matriz_pª_Aprop__Horas3"/>
      <sheetName val="MEDIA_ANO5"/>
      <sheetName val="Grupo_x_Justif5"/>
      <sheetName val="invest_5"/>
      <sheetName val="Check_List-_Gerrot5"/>
      <sheetName val="Matriz_pª_Aprop__Horas4"/>
      <sheetName val="MEDIA_ANO6"/>
      <sheetName val="Grupo_x_Justif6"/>
      <sheetName val="invest_6"/>
      <sheetName val="Check_List-_Gerrot6"/>
      <sheetName val="Matriz_pª_Aprop__Horas5"/>
      <sheetName val="MEDIA_ANO7"/>
      <sheetName val="Grupo_x_Justif7"/>
      <sheetName val="invest_7"/>
      <sheetName val="Check_List-_Gerrot7"/>
      <sheetName val="Matriz_pª_Aprop__Horas6"/>
      <sheetName val="MEDIA_ANO8"/>
      <sheetName val="Grupo_x_Justif8"/>
      <sheetName val="invest_8"/>
      <sheetName val="Check_List-_Gerrot8"/>
      <sheetName val="Matriz_pª_Aprop__Horas7"/>
      <sheetName val="MEDIA_ANO9"/>
      <sheetName val="Grupo_x_Justif9"/>
      <sheetName val="invest_9"/>
      <sheetName val="Check_List-_Gerrot9"/>
      <sheetName val="Matriz_pª_Aprop__Horas8"/>
      <sheetName val="MEDIA_ANO10"/>
      <sheetName val="Grupo_x_Justif10"/>
      <sheetName val="invest_10"/>
      <sheetName val="Check_List-_Gerrot10"/>
      <sheetName val="Matriz_pª_Aprop__Horas9"/>
      <sheetName val="MEDIA_ANO11"/>
      <sheetName val="Grupo_x_Justif11"/>
      <sheetName val="invest_11"/>
      <sheetName val="Check_List-_Gerrot11"/>
      <sheetName val="Matriz_pª_Aprop__Horas10"/>
      <sheetName val="MEDIA_ANO12"/>
      <sheetName val="Grupo_x_Justif12"/>
      <sheetName val="invest_12"/>
      <sheetName val="Check_List-_Gerrot12"/>
      <sheetName val="Matriz_pª_Aprop__Horas11"/>
      <sheetName val="MEDIA_ANO13"/>
      <sheetName val="Grupo_x_Justif13"/>
      <sheetName val="invest_13"/>
      <sheetName val="Check_List-_Gerrot13"/>
      <sheetName val="Matriz_pª_Aprop__Horas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himento"/>
      <sheetName val="enchimentoapron"/>
      <sheetName val="COMP_ROLO"/>
      <sheetName val="605al-01"/>
      <sheetName val="605al-01 (2)"/>
      <sheetName val="605al-01 (3)"/>
      <sheetName val="605al-01 (4)"/>
      <sheetName val="605al-01 (5)"/>
      <sheetName val="605al-01 (6)"/>
      <sheetName val="605al-01 (7)"/>
      <sheetName val="605al-01 (8)"/>
      <sheetName val="605al-01 (9)"/>
      <sheetName val="605al-01 (10)"/>
      <sheetName val="605tc01_SF_LO"/>
      <sheetName val="605tc01_PFF"/>
      <sheetName val="705tc01_SF_LO"/>
      <sheetName val="705tc01_SF_LO (2)"/>
      <sheetName val="705tc01_PFF"/>
      <sheetName val="705tc01_PFF (2)"/>
      <sheetName val="705tc02_SF_LO"/>
      <sheetName val="705tc02_SF_LO (2)"/>
      <sheetName val="705tc02_SF_LO (3)"/>
      <sheetName val="705tc02_PFF"/>
      <sheetName val="705tc02_PFF (2)"/>
      <sheetName val="705tc02_PFF (3)"/>
      <sheetName val="705tc03_SF_LO"/>
      <sheetName val="705tc03_SF_LO (2)"/>
      <sheetName val="705tc03_SF_LO (3)"/>
      <sheetName val="705tc03_PFF"/>
      <sheetName val="705tc03_PFF (2)"/>
      <sheetName val="705tc03_PFF (3)"/>
      <sheetName val="tc04_SF_LO"/>
      <sheetName val="tc04_pff"/>
      <sheetName val="tc04_emergPFF"/>
      <sheetName val="tc04_emergSF"/>
      <sheetName val="tc25_SF_LO"/>
      <sheetName val="tc25_SF_LO (2)"/>
      <sheetName val="tc25_pff"/>
      <sheetName val="tc25_pff (2)"/>
      <sheetName val="EM01_SF_LO"/>
      <sheetName val="EM01_pff"/>
      <sheetName val="ENCHIMTO"/>
      <sheetName val="app a, 10b"/>
      <sheetName val="Ano2001"/>
      <sheetName val="Check List"/>
      <sheetName val="#REF"/>
      <sheetName val="Indicadores"/>
      <sheetName val="DCF"/>
      <sheetName val="Check Farol"/>
      <sheetName val="Desembolso Financeiro"/>
      <sheetName val="Resumo do processo"/>
      <sheetName val="Apoio"/>
      <sheetName val="CONTROLE 2004"/>
      <sheetName val="CEARA"/>
      <sheetName val="resumo gastos c. pessoal"/>
      <sheetName val="Histograma MOD - BSM VI"/>
      <sheetName val="605al-01_(2)"/>
      <sheetName val="605al-01_(3)"/>
      <sheetName val="605al-01_(4)"/>
      <sheetName val="605al-01_(5)"/>
      <sheetName val="605al-01_(6)"/>
      <sheetName val="605al-01_(7)"/>
      <sheetName val="605al-01_(8)"/>
      <sheetName val="605al-01_(9)"/>
      <sheetName val="605al-01_(10)"/>
      <sheetName val="705tc01_SF_LO_(2)"/>
      <sheetName val="705tc01_PFF_(2)"/>
      <sheetName val="705tc02_SF_LO_(2)"/>
      <sheetName val="705tc02_SF_LO_(3)"/>
      <sheetName val="705tc02_PFF_(2)"/>
      <sheetName val="705tc02_PFF_(3)"/>
      <sheetName val="705tc03_SF_LO_(2)"/>
      <sheetName val="705tc03_SF_LO_(3)"/>
      <sheetName val="705tc03_PFF_(2)"/>
      <sheetName val="705tc03_PFF_(3)"/>
      <sheetName val="tc25_SF_LO_(2)"/>
      <sheetName val="tc25_pff_(2)"/>
      <sheetName val="app_a,_10b"/>
      <sheetName val="Check_List"/>
      <sheetName val="JAN"/>
      <sheetName val="finame"/>
      <sheetName val="variaveis"/>
      <sheetName val="dados"/>
      <sheetName val="02"/>
      <sheetName val="PRODUCAO"/>
      <sheetName val="4"/>
      <sheetName val="Plan1"/>
      <sheetName val="Lists"/>
    </sheetNames>
    <sheetDataSet>
      <sheetData sheetId="0"/>
      <sheetData sheetId="1"/>
      <sheetData sheetId="2" refreshError="1">
        <row r="5">
          <cell r="A5">
            <v>400</v>
          </cell>
          <cell r="B5" t="str">
            <v>-</v>
          </cell>
        </row>
        <row r="6">
          <cell r="A6">
            <v>500</v>
          </cell>
          <cell r="B6" t="str">
            <v>-</v>
          </cell>
        </row>
        <row r="7">
          <cell r="A7">
            <v>600</v>
          </cell>
          <cell r="B7">
            <v>235</v>
          </cell>
        </row>
        <row r="8">
          <cell r="A8">
            <v>650</v>
          </cell>
          <cell r="B8">
            <v>250</v>
          </cell>
        </row>
        <row r="9">
          <cell r="A9">
            <v>800</v>
          </cell>
          <cell r="B9">
            <v>315</v>
          </cell>
        </row>
        <row r="10">
          <cell r="A10">
            <v>1000</v>
          </cell>
          <cell r="B10">
            <v>380</v>
          </cell>
        </row>
        <row r="11">
          <cell r="A11">
            <v>1200</v>
          </cell>
          <cell r="B11">
            <v>465</v>
          </cell>
        </row>
        <row r="12">
          <cell r="A12">
            <v>1400</v>
          </cell>
          <cell r="B12">
            <v>530</v>
          </cell>
        </row>
        <row r="13">
          <cell r="A13">
            <v>1600</v>
          </cell>
          <cell r="B13">
            <v>600</v>
          </cell>
        </row>
        <row r="14">
          <cell r="A14">
            <v>1800</v>
          </cell>
          <cell r="B14">
            <v>670</v>
          </cell>
        </row>
        <row r="15">
          <cell r="A15">
            <v>2000</v>
          </cell>
          <cell r="B15">
            <v>750</v>
          </cell>
        </row>
        <row r="16">
          <cell r="A16">
            <v>2200</v>
          </cell>
          <cell r="B16">
            <v>800</v>
          </cell>
        </row>
        <row r="17">
          <cell r="A17">
            <v>2400</v>
          </cell>
          <cell r="B17">
            <v>900</v>
          </cell>
        </row>
        <row r="18">
          <cell r="A18">
            <v>2600</v>
          </cell>
          <cell r="B18">
            <v>950</v>
          </cell>
        </row>
        <row r="19">
          <cell r="A19">
            <v>2800</v>
          </cell>
          <cell r="B19">
            <v>1050</v>
          </cell>
        </row>
        <row r="20">
          <cell r="A20">
            <v>3000</v>
          </cell>
          <cell r="B20">
            <v>1120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  <sheetName val="BDI"/>
      <sheetName val="CD"/>
      <sheetName val="EPI"/>
      <sheetName val="&gt;&gt;&gt;"/>
      <sheetName val="MOD"/>
      <sheetName val="&gt;&gt;&gt;&gt;"/>
      <sheetName val="SALARIO 04-97"/>
      <sheetName val="Módulo1"/>
      <sheetName val="Módulo2"/>
      <sheetName val="COMP_ROLO"/>
      <sheetName val="cronohistogramas"/>
      <sheetName val="CONTROLE 2004"/>
      <sheetName val="Input Dados"/>
      <sheetName val="IMP-96"/>
      <sheetName val="capa"/>
      <sheetName val="MCBR"/>
      <sheetName val="Assumptions"/>
      <sheetName val="PPU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 de Rosto"/>
      <sheetName val="PQ"/>
      <sheetName val="Memória de Cálculo"/>
      <sheetName val="Canteiro"/>
      <sheetName val="Comparativo Quantitativos"/>
      <sheetName val="Gera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 de Rosto - 50"/>
      <sheetName val="MCBR"/>
      <sheetName val="GAVNG -EPI"/>
      <sheetName val="thp "/>
      <sheetName val="DATOS DE ORIGEN Rev.04-II "/>
      <sheetName val="Mes"/>
      <sheetName val="Dados-Cadam"/>
      <sheetName val="COMP_ROLO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FCD"/>
      <sheetName val="Rates"/>
      <sheetName val="Dados"/>
      <sheetName val="CFE"/>
      <sheetName val="Composição"/>
      <sheetName val="OUTROS_DADOS_MEDIÇÃO"/>
      <sheetName val="Folha_de_Rosto_-_50"/>
      <sheetName val="Principal"/>
      <sheetName val="Trens"/>
      <sheetName val="KREBS (original)"/>
      <sheetName val="Teste"/>
      <sheetName val="grossoCONE"/>
      <sheetName val="Parameters"/>
      <sheetName val="372-01-00-411-001-01"/>
      <sheetName val="FAPMUT"/>
      <sheetName val=" rougher de barita "/>
      <sheetName val="APOIO"/>
      <sheetName val="Wages"/>
      <sheetName val="Folha_de_Rosto_-_501"/>
      <sheetName val="GAVNG_-EPI"/>
      <sheetName val="thp_"/>
      <sheetName val="DATOS_DE_ORIGEN_Rev_04-II_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KREBS_(original)"/>
      <sheetName val="BASE"/>
      <sheetName val="BASE OUTBOUND JLLE"/>
      <sheetName val="#REF"/>
      <sheetName val="SispecPSAP"/>
      <sheetName val="Geral"/>
      <sheetName val="EXEMPLO"/>
      <sheetName val="QuQuant"/>
      <sheetName val="SICRO"/>
      <sheetName val="Plan 2.7"/>
      <sheetName val="Weekly by BU"/>
      <sheetName val="Chamados"/>
      <sheetName val="Planilha1"/>
      <sheetName val="Driver Forecasts (Without)"/>
      <sheetName val="tabelas"/>
      <sheetName val="MP+Insumos"/>
      <sheetName val="_rougher_de_barita_"/>
      <sheetName val="Simula"/>
      <sheetName val="1.Dados HH"/>
      <sheetName val="RESUMO - ADM"/>
      <sheetName val="RASTREABILIDADE"/>
      <sheetName val="1.2.1.1"/>
      <sheetName val="Salario"/>
      <sheetName val="Template"/>
      <sheetName val="tabelas 2.4"/>
      <sheetName val="MOB 2.8"/>
      <sheetName val="E. CLUJ 4"/>
      <sheetName val="Schedule 2"/>
      <sheetName val="Schedule 1"/>
      <sheetName val="CURVA FINANCEIRA MENSAL"/>
      <sheetName val="Hh"/>
      <sheetName val="Tenace"/>
      <sheetName val="Parâmetros"/>
      <sheetName val="TimeSh"/>
      <sheetName val="Plan2"/>
      <sheetName val="RELATA"/>
      <sheetName val="PQ CONTRATUAL"/>
      <sheetName val="BMM"/>
      <sheetName val="Mem.Cálculo Caminhão Pipa H.Dis"/>
      <sheetName val="Resumo Caminhão Pipa H.Dispon"/>
      <sheetName val="Relat.Fotog.Caminhão Pipa H.Dis"/>
      <sheetName val="Mem.Cálculo Comboio H.Dispon"/>
      <sheetName val="Resumo Comboio H.Dispon"/>
      <sheetName val="Relat.Fotog.Comboio H.Dispon"/>
      <sheetName val="Mem.Cálculo Motoniveladora Disp"/>
      <sheetName val="Resumo Motoniveladora H.Dispon"/>
      <sheetName val="Relat.Fotog.Motonivel.H.Dispon"/>
      <sheetName val="Mem.Cálculo Pá Carreg.H.Dispon"/>
      <sheetName val="Resumo Pá Carregadeira H.Dispon"/>
      <sheetName val="Relat.Fotog.Pá Carreg.H.Dispon"/>
      <sheetName val="Mem.Cálculo Guincho Hora Dispon"/>
      <sheetName val="Resumo Guincho Hora Dispon"/>
      <sheetName val="Relat.Fotog.Guincho H.Dispon"/>
      <sheetName val="Mem.Cálculo Dragline H.Disponiv"/>
      <sheetName val="Resumo Dragline H.Disponível"/>
      <sheetName val="Relat.Fotog.Dragline H.Disponiv"/>
      <sheetName val="Mem.Cálculo Escavadeira H.dispo"/>
      <sheetName val="Resumo Escavadeira Hid.Disponiv"/>
      <sheetName val="Relat.Fotog.Escavadeira Dispon"/>
      <sheetName val="Mem.Cálculo CAMINHÃO BAS.H Disp"/>
      <sheetName val="Resumo C.B.Remun.Hora Dispon"/>
      <sheetName val="Relat.Fotog.C.B.Hora Disponível"/>
      <sheetName val="Mem.Cálculo Pá Carreg. Rem.Hora"/>
      <sheetName val="Resumo Pá Carregad.Rem.Hora"/>
      <sheetName val="Relat.Fotog.Pá Carreg. Rem.Hora"/>
      <sheetName val="Mem.Cálculo C.B.Remunerado Hora"/>
      <sheetName val="Resumo C.B. Remunerado Hora"/>
      <sheetName val="Relat.Fotog.C.B. Remun.Hora"/>
      <sheetName val="Mem.Cálculo Verba Covid "/>
      <sheetName val="Resumo Verba Covid"/>
      <sheetName val="Relat.Fotog.Verba Covid"/>
      <sheetName val="Mem.Cálculo Serviço de Dragagem"/>
      <sheetName val="Resumo Serviço de Dragagem"/>
      <sheetName val="Relat.Fotog.Serviço de Dragagem"/>
      <sheetName val="Mem.Cálculo Desmobilização Pess"/>
      <sheetName val="Resumo Desmobilização Pessoas"/>
      <sheetName val="Relat.Fotog.Desmobilização Pess"/>
      <sheetName val="Mem.Cálculo Custo Indireto"/>
      <sheetName val="Resumo Custo Indireto"/>
      <sheetName val="Relat.Fotog.Custo Indireto"/>
      <sheetName val="AVANÇO TOPOGRAFIA"/>
      <sheetName val="8 - Mobilização Norte"/>
      <sheetName val="Flags"/>
      <sheetName val="Validações"/>
      <sheetName val="BASE_OUTBOUND_JLLE"/>
      <sheetName val="Driver_Forecasts_(Without)"/>
      <sheetName val="CURVA_FINANCEIRA_MENSAL"/>
      <sheetName val="Weekly_by_BU"/>
      <sheetName val="1_Dados_HH"/>
      <sheetName val="Bajadas"/>
      <sheetName val="Folha_de_Rosto_-_502"/>
      <sheetName val="GAVNG_-EPI1"/>
      <sheetName val="thp_1"/>
      <sheetName val="DATOS_DE_ORIGEN_Rev_04-II_1"/>
      <sheetName val="Desccrição_e_Parâmetros1"/>
      <sheetName val="Sistema_011"/>
      <sheetName val="Sistema_021"/>
      <sheetName val="Sistema_031"/>
      <sheetName val="Sistema_de_Espuma1"/>
      <sheetName val="Detecção_de_Incêndio1"/>
      <sheetName val="BDI_(2)1"/>
      <sheetName val="COMPOSIÇÃO_PARA_BDI1"/>
      <sheetName val="COMPOSIÇÕES_UNITARIAS1"/>
      <sheetName val="MÃO_DE_OBRA_CALCULO_RACs_1"/>
      <sheetName val="ABC_MÃO_DE_OBRA1"/>
      <sheetName val="ABC_SERVIÇOS1"/>
      <sheetName val="ABC_EQUIPAMENTOS1"/>
      <sheetName val="Equipe_SS1"/>
      <sheetName val="Detalhamento_SS1"/>
      <sheetName val="Dimensionamento_SS1"/>
      <sheetName val="Curva_S1"/>
      <sheetName val="KREBS_(original)1"/>
      <sheetName val="_rougher_de_barita_1"/>
      <sheetName val="Plan_2_7"/>
      <sheetName val="8_-_Mobilização_Norte"/>
      <sheetName val="tabelas_2_4"/>
      <sheetName val="MOB_2_8"/>
      <sheetName val="RESUMO_-_ADM"/>
      <sheetName val="1_2_1_1"/>
      <sheetName val="E__CLUJ_4"/>
      <sheetName val="Schedule_2"/>
      <sheetName val="Schedule_1"/>
      <sheetName val="Encargos Sociais Allonda"/>
      <sheetName val="J&amp;T"/>
      <sheetName val="Listas"/>
      <sheetName val="CAPA "/>
      <sheetName val="ATIVIDADES CONSIDERADAS"/>
      <sheetName val="BOLETIM DE MEDIÇÃO"/>
      <sheetName val="EMERGÊNCIA"/>
      <sheetName val="Folha_de_Rosto_-_504"/>
      <sheetName val="GAVNG_-EPI3"/>
      <sheetName val="thp_3"/>
      <sheetName val="DATOS_DE_ORIGEN_Rev_04-II_3"/>
      <sheetName val="Desccrição_e_Parâmetros3"/>
      <sheetName val="Sistema_013"/>
      <sheetName val="Sistema_023"/>
      <sheetName val="Sistema_033"/>
      <sheetName val="Sistema_de_Espuma3"/>
      <sheetName val="Detecção_de_Incêndio3"/>
      <sheetName val="BDI_(2)3"/>
      <sheetName val="COMPOSIÇÃO_PARA_BDI3"/>
      <sheetName val="COMPOSIÇÕES_UNITARIAS3"/>
      <sheetName val="MÃO_DE_OBRA_CALCULO_RACs_3"/>
      <sheetName val="ABC_MÃO_DE_OBRA3"/>
      <sheetName val="ABC_SERVIÇOS3"/>
      <sheetName val="ABC_EQUIPAMENTOS3"/>
      <sheetName val="Equipe_SS3"/>
      <sheetName val="Detalhamento_SS3"/>
      <sheetName val="Dimensionamento_SS3"/>
      <sheetName val="Curva_S3"/>
      <sheetName val="KREBS_(original)3"/>
      <sheetName val="_rougher_de_barita_3"/>
      <sheetName val="BASE_OUTBOUND_JLLE2"/>
      <sheetName val="Plan_2_72"/>
      <sheetName val="Weekly_by_BU2"/>
      <sheetName val="Driver_Forecasts_(Without)2"/>
      <sheetName val="8_-_Mobilização_Norte2"/>
      <sheetName val="1_Dados_HH2"/>
      <sheetName val="CURVA_FINANCEIRA_MENSAL2"/>
      <sheetName val="RESUMO_-_ADM2"/>
      <sheetName val="1_2_1_12"/>
      <sheetName val="tabelas_2_42"/>
      <sheetName val="MOB_2_82"/>
      <sheetName val="E__CLUJ_42"/>
      <sheetName val="Schedule_22"/>
      <sheetName val="Schedule_12"/>
      <sheetName val="Folha_de_Rosto_-_503"/>
      <sheetName val="GAVNG_-EPI2"/>
      <sheetName val="thp_2"/>
      <sheetName val="DATOS_DE_ORIGEN_Rev_04-II_2"/>
      <sheetName val="Desccrição_e_Parâmetros2"/>
      <sheetName val="Sistema_012"/>
      <sheetName val="Sistema_022"/>
      <sheetName val="Sistema_032"/>
      <sheetName val="Sistema_de_Espuma2"/>
      <sheetName val="Detecção_de_Incêndio2"/>
      <sheetName val="BDI_(2)2"/>
      <sheetName val="COMPOSIÇÃO_PARA_BDI2"/>
      <sheetName val="COMPOSIÇÕES_UNITARIAS2"/>
      <sheetName val="MÃO_DE_OBRA_CALCULO_RACs_2"/>
      <sheetName val="ABC_MÃO_DE_OBRA2"/>
      <sheetName val="ABC_SERVIÇOS2"/>
      <sheetName val="ABC_EQUIPAMENTOS2"/>
      <sheetName val="Equipe_SS2"/>
      <sheetName val="Detalhamento_SS2"/>
      <sheetName val="Dimensionamento_SS2"/>
      <sheetName val="Curva_S2"/>
      <sheetName val="KREBS_(original)2"/>
      <sheetName val="_rougher_de_barita_2"/>
      <sheetName val="BASE_OUTBOUND_JLLE1"/>
      <sheetName val="Plan_2_71"/>
      <sheetName val="Weekly_by_BU1"/>
      <sheetName val="Driver_Forecasts_(Without)1"/>
      <sheetName val="8_-_Mobilização_Norte1"/>
      <sheetName val="1_Dados_HH1"/>
      <sheetName val="CURVA_FINANCEIRA_MENSAL1"/>
      <sheetName val="RESUMO_-_ADM1"/>
      <sheetName val="1_2_1_11"/>
      <sheetName val="tabelas_2_41"/>
      <sheetName val="MOB_2_81"/>
      <sheetName val="E__CLUJ_41"/>
      <sheetName val="Schedule_21"/>
      <sheetName val="Schedule_11"/>
      <sheetName val="Folha_de_Rosto_-_505"/>
      <sheetName val="GAVNG_-EPI4"/>
      <sheetName val="thp_4"/>
      <sheetName val="DATOS_DE_ORIGEN_Rev_04-II_4"/>
      <sheetName val="Desccrição_e_Parâmetros4"/>
      <sheetName val="Sistema_014"/>
      <sheetName val="Sistema_024"/>
      <sheetName val="Sistema_034"/>
      <sheetName val="Sistema_de_Espuma4"/>
      <sheetName val="Detecção_de_Incêndio4"/>
      <sheetName val="BDI_(2)4"/>
      <sheetName val="COMPOSIÇÃO_PARA_BDI4"/>
      <sheetName val="COMPOSIÇÕES_UNITARIAS4"/>
      <sheetName val="MÃO_DE_OBRA_CALCULO_RACs_4"/>
      <sheetName val="ABC_MÃO_DE_OBRA4"/>
      <sheetName val="ABC_SERVIÇOS4"/>
      <sheetName val="ABC_EQUIPAMENTOS4"/>
      <sheetName val="Equipe_SS4"/>
      <sheetName val="Detalhamento_SS4"/>
      <sheetName val="Dimensionamento_SS4"/>
      <sheetName val="Curva_S4"/>
      <sheetName val="KREBS_(original)4"/>
      <sheetName val="_rougher_de_barita_4"/>
      <sheetName val="BASE_OUTBOUND_JLLE3"/>
      <sheetName val="Plan_2_73"/>
      <sheetName val="Weekly_by_BU3"/>
      <sheetName val="Driver_Forecasts_(Without)3"/>
      <sheetName val="8_-_Mobilização_Norte3"/>
      <sheetName val="1_Dados_HH3"/>
      <sheetName val="CURVA_FINANCEIRA_MENSAL3"/>
      <sheetName val="RESUMO_-_ADM3"/>
      <sheetName val="1_2_1_13"/>
      <sheetName val="tabelas_2_43"/>
      <sheetName val="MOB_2_83"/>
      <sheetName val="E__CLUJ_43"/>
      <sheetName val="Schedule_23"/>
      <sheetName val="Schedule_13"/>
      <sheetName val="Folha_de_Rosto_-_506"/>
      <sheetName val="GAVNG_-EPI5"/>
      <sheetName val="thp_5"/>
      <sheetName val="DATOS_DE_ORIGEN_Rev_04-II_5"/>
      <sheetName val="Desccrição_e_Parâmetros5"/>
      <sheetName val="Sistema_015"/>
      <sheetName val="Sistema_025"/>
      <sheetName val="Sistema_035"/>
      <sheetName val="Sistema_de_Espuma5"/>
      <sheetName val="Detecção_de_Incêndio5"/>
      <sheetName val="BDI_(2)5"/>
      <sheetName val="COMPOSIÇÃO_PARA_BDI5"/>
      <sheetName val="COMPOSIÇÕES_UNITARIAS5"/>
      <sheetName val="MÃO_DE_OBRA_CALCULO_RACs_5"/>
      <sheetName val="ABC_MÃO_DE_OBRA5"/>
      <sheetName val="ABC_SERVIÇOS5"/>
      <sheetName val="ABC_EQUIPAMENTOS5"/>
      <sheetName val="Equipe_SS5"/>
      <sheetName val="Detalhamento_SS5"/>
      <sheetName val="Dimensionamento_SS5"/>
      <sheetName val="Curva_S5"/>
      <sheetName val="KREBS_(original)5"/>
      <sheetName val="_rougher_de_barita_5"/>
      <sheetName val="BASE_OUTBOUND_JLLE4"/>
      <sheetName val="Plan_2_74"/>
      <sheetName val="Weekly_by_BU4"/>
      <sheetName val="Driver_Forecasts_(Without)4"/>
      <sheetName val="8_-_Mobilização_Norte4"/>
      <sheetName val="1_Dados_HH4"/>
      <sheetName val="CURVA_FINANCEIRA_MENSAL4"/>
      <sheetName val="RESUMO_-_ADM4"/>
      <sheetName val="1_2_1_14"/>
      <sheetName val="tabelas_2_44"/>
      <sheetName val="MOB_2_84"/>
      <sheetName val="E__CLUJ_44"/>
      <sheetName val="Schedule_24"/>
      <sheetName val="Schedule_14"/>
      <sheetName val="Folha_de_Rosto_-_507"/>
      <sheetName val="GAVNG_-EPI6"/>
      <sheetName val="thp_6"/>
      <sheetName val="DATOS_DE_ORIGEN_Rev_04-II_6"/>
      <sheetName val="Desccrição_e_Parâmetros6"/>
      <sheetName val="Sistema_016"/>
      <sheetName val="Sistema_026"/>
      <sheetName val="Sistema_036"/>
      <sheetName val="Sistema_de_Espuma6"/>
      <sheetName val="Detecção_de_Incêndio6"/>
      <sheetName val="BDI_(2)6"/>
      <sheetName val="COMPOSIÇÃO_PARA_BDI6"/>
      <sheetName val="COMPOSIÇÕES_UNITARIAS6"/>
      <sheetName val="MÃO_DE_OBRA_CALCULO_RACs_6"/>
      <sheetName val="ABC_MÃO_DE_OBRA6"/>
      <sheetName val="ABC_SERVIÇOS6"/>
      <sheetName val="ABC_EQUIPAMENTOS6"/>
      <sheetName val="Equipe_SS6"/>
      <sheetName val="Detalhamento_SS6"/>
      <sheetName val="Dimensionamento_SS6"/>
      <sheetName val="Curva_S6"/>
      <sheetName val="KREBS_(original)6"/>
      <sheetName val="_rougher_de_barita_6"/>
      <sheetName val="BASE_OUTBOUND_JLLE5"/>
      <sheetName val="Plan_2_75"/>
      <sheetName val="Weekly_by_BU5"/>
      <sheetName val="Driver_Forecasts_(Without)5"/>
      <sheetName val="8_-_Mobilização_Norte5"/>
      <sheetName val="1_Dados_HH5"/>
      <sheetName val="CURVA_FINANCEIRA_MENSAL5"/>
      <sheetName val="RESUMO_-_ADM5"/>
      <sheetName val="1_2_1_15"/>
      <sheetName val="tabelas_2_45"/>
      <sheetName val="MOB_2_85"/>
      <sheetName val="E__CLUJ_45"/>
      <sheetName val="Schedule_25"/>
      <sheetName val="Schedule_15"/>
      <sheetName val="Folha_de_Rosto_-_508"/>
      <sheetName val="GAVNG_-EPI7"/>
      <sheetName val="thp_7"/>
      <sheetName val="DATOS_DE_ORIGEN_Rev_04-II_7"/>
      <sheetName val="Desccrição_e_Parâmetros7"/>
      <sheetName val="Sistema_017"/>
      <sheetName val="Sistema_027"/>
      <sheetName val="Sistema_037"/>
      <sheetName val="Sistema_de_Espuma7"/>
      <sheetName val="Detecção_de_Incêndio7"/>
      <sheetName val="BDI_(2)7"/>
      <sheetName val="COMPOSIÇÃO_PARA_BDI7"/>
      <sheetName val="COMPOSIÇÕES_UNITARIAS7"/>
      <sheetName val="MÃO_DE_OBRA_CALCULO_RACs_7"/>
      <sheetName val="ABC_MÃO_DE_OBRA7"/>
      <sheetName val="ABC_SERVIÇOS7"/>
      <sheetName val="ABC_EQUIPAMENTOS7"/>
      <sheetName val="Equipe_SS7"/>
      <sheetName val="Detalhamento_SS7"/>
      <sheetName val="Dimensionamento_SS7"/>
      <sheetName val="Curva_S7"/>
      <sheetName val="KREBS_(original)7"/>
      <sheetName val="_rougher_de_barita_7"/>
      <sheetName val="BASE_OUTBOUND_JLLE6"/>
      <sheetName val="Plan_2_76"/>
      <sheetName val="Weekly_by_BU6"/>
      <sheetName val="Driver_Forecasts_(Without)6"/>
      <sheetName val="8_-_Mobilização_Norte6"/>
      <sheetName val="1_Dados_HH6"/>
      <sheetName val="CURVA_FINANCEIRA_MENSAL6"/>
      <sheetName val="RESUMO_-_ADM6"/>
      <sheetName val="1_2_1_16"/>
      <sheetName val="tabelas_2_46"/>
      <sheetName val="MOB_2_86"/>
      <sheetName val="E__CLUJ_46"/>
      <sheetName val="Schedule_26"/>
      <sheetName val="Schedule_16"/>
      <sheetName val="Folha_de_Rosto_-_509"/>
      <sheetName val="GAVNG_-EPI8"/>
      <sheetName val="thp_8"/>
      <sheetName val="DATOS_DE_ORIGEN_Rev_04-II_8"/>
      <sheetName val="Desccrição_e_Parâmetros8"/>
      <sheetName val="Sistema_018"/>
      <sheetName val="Sistema_028"/>
      <sheetName val="Sistema_038"/>
      <sheetName val="Sistema_de_Espuma8"/>
      <sheetName val="Detecção_de_Incêndio8"/>
      <sheetName val="BDI_(2)8"/>
      <sheetName val="COMPOSIÇÃO_PARA_BDI8"/>
      <sheetName val="COMPOSIÇÕES_UNITARIAS8"/>
      <sheetName val="MÃO_DE_OBRA_CALCULO_RACs_8"/>
      <sheetName val="ABC_MÃO_DE_OBRA8"/>
      <sheetName val="ABC_SERVIÇOS8"/>
      <sheetName val="ABC_EQUIPAMENTOS8"/>
      <sheetName val="Equipe_SS8"/>
      <sheetName val="Detalhamento_SS8"/>
      <sheetName val="Dimensionamento_SS8"/>
      <sheetName val="Curva_S8"/>
      <sheetName val="KREBS_(original)8"/>
      <sheetName val="_rougher_de_barita_8"/>
      <sheetName val="BASE_OUTBOUND_JLLE7"/>
      <sheetName val="Plan_2_77"/>
      <sheetName val="Weekly_by_BU7"/>
      <sheetName val="Driver_Forecasts_(Without)7"/>
      <sheetName val="8_-_Mobilização_Norte7"/>
      <sheetName val="1_Dados_HH7"/>
      <sheetName val="CURVA_FINANCEIRA_MENSAL7"/>
      <sheetName val="RESUMO_-_ADM7"/>
      <sheetName val="1_2_1_17"/>
      <sheetName val="tabelas_2_47"/>
      <sheetName val="MOB_2_87"/>
      <sheetName val="E__CLUJ_47"/>
      <sheetName val="Schedule_27"/>
      <sheetName val="Schedule_17"/>
      <sheetName val="Folha_de_Rosto_-_5010"/>
      <sheetName val="GAVNG_-EPI9"/>
      <sheetName val="thp_9"/>
      <sheetName val="DATOS_DE_ORIGEN_Rev_04-II_9"/>
      <sheetName val="Desccrição_e_Parâmetros9"/>
      <sheetName val="Sistema_019"/>
      <sheetName val="Sistema_029"/>
      <sheetName val="Sistema_039"/>
      <sheetName val="Sistema_de_Espuma9"/>
      <sheetName val="Detecção_de_Incêndio9"/>
      <sheetName val="BDI_(2)9"/>
      <sheetName val="COMPOSIÇÃO_PARA_BDI9"/>
      <sheetName val="COMPOSIÇÕES_UNITARIAS9"/>
      <sheetName val="MÃO_DE_OBRA_CALCULO_RACs_9"/>
      <sheetName val="ABC_MÃO_DE_OBRA9"/>
      <sheetName val="ABC_SERVIÇOS9"/>
      <sheetName val="ABC_EQUIPAMENTOS9"/>
      <sheetName val="Equipe_SS9"/>
      <sheetName val="Detalhamento_SS9"/>
      <sheetName val="Dimensionamento_SS9"/>
      <sheetName val="Curva_S9"/>
      <sheetName val="KREBS_(original)9"/>
      <sheetName val="_rougher_de_barita_9"/>
      <sheetName val="BASE_OUTBOUND_JLLE8"/>
      <sheetName val="Plan_2_78"/>
      <sheetName val="Weekly_by_BU8"/>
      <sheetName val="Driver_Forecasts_(Without)8"/>
      <sheetName val="8_-_Mobilização_Norte8"/>
      <sheetName val="1_Dados_HH8"/>
      <sheetName val="CURVA_FINANCEIRA_MENSAL8"/>
      <sheetName val="RESUMO_-_ADM8"/>
      <sheetName val="1_2_1_18"/>
      <sheetName val="tabelas_2_48"/>
      <sheetName val="MOB_2_88"/>
      <sheetName val="E__CLUJ_48"/>
      <sheetName val="Schedule_28"/>
      <sheetName val="Schedule_18"/>
      <sheetName val="Folha_de_Rosto_-_5011"/>
      <sheetName val="GAVNG_-EPI10"/>
      <sheetName val="thp_10"/>
      <sheetName val="DATOS_DE_ORIGEN_Rev_04-II_10"/>
      <sheetName val="Desccrição_e_Parâmetros10"/>
      <sheetName val="Sistema_0110"/>
      <sheetName val="Sistema_0210"/>
      <sheetName val="Sistema_0310"/>
      <sheetName val="Sistema_de_Espuma10"/>
      <sheetName val="Detecção_de_Incêndio10"/>
      <sheetName val="BDI_(2)10"/>
      <sheetName val="COMPOSIÇÃO_PARA_BDI10"/>
      <sheetName val="COMPOSIÇÕES_UNITARIAS10"/>
      <sheetName val="MÃO_DE_OBRA_CALCULO_RACs_10"/>
      <sheetName val="ABC_MÃO_DE_OBRA10"/>
      <sheetName val="ABC_SERVIÇOS10"/>
      <sheetName val="ABC_EQUIPAMENTOS10"/>
      <sheetName val="Equipe_SS10"/>
      <sheetName val="Detalhamento_SS10"/>
      <sheetName val="Dimensionamento_SS10"/>
      <sheetName val="Curva_S10"/>
      <sheetName val="KREBS_(original)10"/>
      <sheetName val="_rougher_de_barita_10"/>
      <sheetName val="BASE_OUTBOUND_JLLE9"/>
      <sheetName val="Plan_2_79"/>
      <sheetName val="Weekly_by_BU9"/>
      <sheetName val="Driver_Forecasts_(Without)9"/>
      <sheetName val="8_-_Mobilização_Norte9"/>
      <sheetName val="1_Dados_HH9"/>
      <sheetName val="CURVA_FINANCEIRA_MENSAL9"/>
      <sheetName val="RESUMO_-_ADM9"/>
      <sheetName val="1_2_1_19"/>
      <sheetName val="tabelas_2_49"/>
      <sheetName val="MOB_2_89"/>
      <sheetName val="E__CLUJ_49"/>
      <sheetName val="Schedule_29"/>
      <sheetName val="Schedule_19"/>
      <sheetName val="SOFTW"/>
      <sheetName val="G00110020409"/>
      <sheetName val="Folha de rosto"/>
      <sheetName val="Tab_Geral_Nº Efetivo"/>
      <sheetName val="DB-Luff"/>
      <sheetName val="Fresagem de Pista Ago-9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emissas"/>
      <sheetName val="invest."/>
      <sheetName val="Custos"/>
      <sheetName val="Fluxo"/>
      <sheetName val="Sensibilidade"/>
      <sheetName val="conclusão"/>
      <sheetName val="caminhões GAPUN"/>
      <sheetName val="Pg 3"/>
      <sheetName val="Principal"/>
      <sheetName val="VPL-FCA"/>
      <sheetName val="MCBR"/>
      <sheetName val="SEMANA"/>
      <sheetName val="System"/>
      <sheetName val="Geral"/>
      <sheetName val="Check Farol"/>
      <sheetName val="Resumo"/>
      <sheetName val="Quadro Funcional"/>
      <sheetName val="Dados"/>
      <sheetName val="Anexo 1_ Histograma_MOD"/>
      <sheetName val="Jurídico"/>
      <sheetName val="invest_"/>
      <sheetName val="Lookups"/>
      <sheetName val="#REF"/>
      <sheetName val="Sheet1"/>
      <sheetName val="EAP_07-08-18"/>
      <sheetName val="FCD"/>
      <sheetName val="Planilha1"/>
      <sheetName val="MenuPrincipal"/>
      <sheetName val="SISTEMA1"/>
      <sheetName val="BASE"/>
      <sheetName val="PLANNORMAL "/>
      <sheetName val="VALIDAÇÕES"/>
      <sheetName val="JAN"/>
      <sheetName val="FISCAL"/>
      <sheetName val="RELATA VÉIO"/>
      <sheetName val="invest_1"/>
      <sheetName val="Terr-preços"/>
      <sheetName val="OS 000"/>
      <sheetName val="BASE DE DADOS"/>
      <sheetName val="GAVNG -EPI"/>
      <sheetName val="R$"/>
      <sheetName val="A.2- RESUMO"/>
      <sheetName val="1-Tab. Salarios"/>
      <sheetName val="invest_2"/>
      <sheetName val="Curvas_FINANCEIRA MÊS"/>
      <sheetName val="invest_3"/>
      <sheetName val="invest_4"/>
      <sheetName val="invest_5"/>
      <sheetName val="Curva geral (2)"/>
      <sheetName val="Histograma"/>
      <sheetName val="HISTOGRAMAS_MÃO OBRA_EQU"/>
      <sheetName val="CAPA -1"/>
      <sheetName val="invest_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 Terraplanagem"/>
      <sheetName val="RDE TODOS"/>
      <sheetName val="MANUTENÇÃO PREV"/>
      <sheetName val="RESUM. MAN. PREV."/>
    </sheetNames>
    <sheetDataSet>
      <sheetData sheetId="0"/>
      <sheetData sheetId="1"/>
      <sheetData sheetId="2">
        <row r="14">
          <cell r="AM14">
            <v>0</v>
          </cell>
        </row>
        <row r="15">
          <cell r="AM15">
            <v>0</v>
          </cell>
        </row>
        <row r="16">
          <cell r="AM16">
            <v>1010.3</v>
          </cell>
        </row>
        <row r="17">
          <cell r="AM17">
            <v>1991.8</v>
          </cell>
        </row>
        <row r="18">
          <cell r="AM18">
            <v>1873.8</v>
          </cell>
        </row>
        <row r="19">
          <cell r="AM19">
            <v>0</v>
          </cell>
        </row>
        <row r="20">
          <cell r="AM20">
            <v>129.41</v>
          </cell>
        </row>
        <row r="21">
          <cell r="AM21">
            <v>44.9</v>
          </cell>
        </row>
        <row r="22">
          <cell r="AM22">
            <v>37234.899999999994</v>
          </cell>
        </row>
        <row r="23">
          <cell r="AM23">
            <v>0</v>
          </cell>
        </row>
        <row r="24">
          <cell r="AM24">
            <v>0</v>
          </cell>
        </row>
        <row r="25">
          <cell r="AM25">
            <v>0</v>
          </cell>
        </row>
        <row r="26">
          <cell r="AM26">
            <v>113.28</v>
          </cell>
        </row>
        <row r="27">
          <cell r="AM27">
            <v>0</v>
          </cell>
        </row>
        <row r="28">
          <cell r="AM28">
            <v>0</v>
          </cell>
        </row>
        <row r="29">
          <cell r="AM29">
            <v>0</v>
          </cell>
        </row>
        <row r="30">
          <cell r="AM30">
            <v>0</v>
          </cell>
        </row>
        <row r="31">
          <cell r="AM31">
            <v>0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0.25</v>
          </cell>
        </row>
        <row r="35">
          <cell r="AM35">
            <v>0</v>
          </cell>
        </row>
        <row r="36">
          <cell r="AM36">
            <v>18</v>
          </cell>
        </row>
        <row r="37">
          <cell r="AM37">
            <v>18</v>
          </cell>
        </row>
        <row r="38">
          <cell r="AM38">
            <v>18</v>
          </cell>
        </row>
        <row r="39">
          <cell r="AM39">
            <v>18</v>
          </cell>
        </row>
        <row r="40">
          <cell r="AM40">
            <v>162</v>
          </cell>
        </row>
        <row r="41">
          <cell r="AM41">
            <v>18</v>
          </cell>
        </row>
        <row r="52">
          <cell r="AM52">
            <v>2.3319999999999999</v>
          </cell>
        </row>
        <row r="53">
          <cell r="AM53">
            <v>0</v>
          </cell>
        </row>
        <row r="54">
          <cell r="AM54">
            <v>2417.1999999999998</v>
          </cell>
        </row>
        <row r="55">
          <cell r="AM55">
            <v>169.6</v>
          </cell>
        </row>
        <row r="56">
          <cell r="AM56">
            <v>533</v>
          </cell>
        </row>
        <row r="57">
          <cell r="AM57">
            <v>0</v>
          </cell>
        </row>
        <row r="58">
          <cell r="AM58">
            <v>42.39</v>
          </cell>
        </row>
        <row r="59">
          <cell r="AM59">
            <v>12.5</v>
          </cell>
        </row>
        <row r="60">
          <cell r="AM60">
            <v>32976.409999999996</v>
          </cell>
        </row>
        <row r="61">
          <cell r="AM61">
            <v>0</v>
          </cell>
        </row>
        <row r="62">
          <cell r="AM62">
            <v>0</v>
          </cell>
        </row>
        <row r="63">
          <cell r="AM63">
            <v>0</v>
          </cell>
        </row>
        <row r="64">
          <cell r="AM64">
            <v>0</v>
          </cell>
        </row>
        <row r="65">
          <cell r="AM65">
            <v>0</v>
          </cell>
        </row>
        <row r="66">
          <cell r="AM66">
            <v>0</v>
          </cell>
        </row>
        <row r="67">
          <cell r="AM67">
            <v>0</v>
          </cell>
        </row>
        <row r="68">
          <cell r="AM68">
            <v>0</v>
          </cell>
        </row>
        <row r="69">
          <cell r="AM69">
            <v>0</v>
          </cell>
        </row>
        <row r="70">
          <cell r="AM70">
            <v>0</v>
          </cell>
        </row>
        <row r="71">
          <cell r="AM71">
            <v>0</v>
          </cell>
        </row>
        <row r="72">
          <cell r="AM72">
            <v>0.36</v>
          </cell>
        </row>
        <row r="73">
          <cell r="AM73">
            <v>0</v>
          </cell>
        </row>
        <row r="74">
          <cell r="AM74">
            <v>27</v>
          </cell>
        </row>
        <row r="75">
          <cell r="AM75">
            <v>27</v>
          </cell>
        </row>
        <row r="76">
          <cell r="AM76">
            <v>27</v>
          </cell>
        </row>
        <row r="77">
          <cell r="AM77">
            <v>24</v>
          </cell>
        </row>
        <row r="78">
          <cell r="AM78">
            <v>237</v>
          </cell>
        </row>
        <row r="79">
          <cell r="AM79">
            <v>24</v>
          </cell>
        </row>
        <row r="89">
          <cell r="AM89">
            <v>0</v>
          </cell>
        </row>
        <row r="90">
          <cell r="AM90">
            <v>0</v>
          </cell>
        </row>
        <row r="91">
          <cell r="AM91">
            <v>587</v>
          </cell>
        </row>
        <row r="92">
          <cell r="AM92">
            <v>162</v>
          </cell>
        </row>
        <row r="93">
          <cell r="AM93">
            <v>0</v>
          </cell>
        </row>
        <row r="94">
          <cell r="AM94">
            <v>0</v>
          </cell>
        </row>
        <row r="95">
          <cell r="AM95">
            <v>10</v>
          </cell>
        </row>
        <row r="96">
          <cell r="AM96">
            <v>0</v>
          </cell>
        </row>
        <row r="97">
          <cell r="AM97">
            <v>20768.219999999998</v>
          </cell>
        </row>
        <row r="98">
          <cell r="AM98">
            <v>0</v>
          </cell>
        </row>
        <row r="99">
          <cell r="AM99">
            <v>0</v>
          </cell>
        </row>
        <row r="100">
          <cell r="AM100">
            <v>0</v>
          </cell>
        </row>
        <row r="101">
          <cell r="AM101">
            <v>0</v>
          </cell>
        </row>
        <row r="102">
          <cell r="AM102">
            <v>0</v>
          </cell>
        </row>
        <row r="103">
          <cell r="AM103">
            <v>0</v>
          </cell>
        </row>
        <row r="104">
          <cell r="AM104">
            <v>0</v>
          </cell>
        </row>
        <row r="105">
          <cell r="AM105">
            <v>0</v>
          </cell>
        </row>
        <row r="106">
          <cell r="AM106">
            <v>0</v>
          </cell>
        </row>
        <row r="107">
          <cell r="AM107">
            <v>0</v>
          </cell>
        </row>
        <row r="108">
          <cell r="AM108">
            <v>0</v>
          </cell>
        </row>
        <row r="109">
          <cell r="AM109">
            <v>0</v>
          </cell>
        </row>
        <row r="110">
          <cell r="AM110">
            <v>0</v>
          </cell>
        </row>
        <row r="111">
          <cell r="AM111">
            <v>35.83</v>
          </cell>
        </row>
        <row r="112">
          <cell r="AM112">
            <v>35.83</v>
          </cell>
        </row>
        <row r="113">
          <cell r="AM113">
            <v>35.83</v>
          </cell>
        </row>
        <row r="114">
          <cell r="AM114">
            <v>35.83</v>
          </cell>
        </row>
        <row r="115">
          <cell r="AM115">
            <v>336.13</v>
          </cell>
        </row>
        <row r="116">
          <cell r="AM116">
            <v>35.83</v>
          </cell>
        </row>
      </sheetData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 Terraplanagem"/>
      <sheetName val="RDE TODOS"/>
      <sheetName val="MANUTENÇÃO PREV"/>
      <sheetName val="RESUM. MAN. PREV."/>
    </sheetNames>
    <sheetDataSet>
      <sheetData sheetId="0" refreshError="1"/>
      <sheetData sheetId="1" refreshError="1"/>
      <sheetData sheetId="2">
        <row r="14">
          <cell r="AM14">
            <v>0</v>
          </cell>
        </row>
        <row r="15">
          <cell r="AM15">
            <v>0</v>
          </cell>
        </row>
        <row r="16">
          <cell r="AM16">
            <v>1391.6</v>
          </cell>
        </row>
        <row r="17">
          <cell r="AM17">
            <v>1352.8</v>
          </cell>
        </row>
        <row r="18">
          <cell r="AM18">
            <v>1489.5</v>
          </cell>
        </row>
        <row r="19">
          <cell r="AM19">
            <v>0</v>
          </cell>
        </row>
        <row r="20">
          <cell r="AM20">
            <v>243.06</v>
          </cell>
        </row>
        <row r="21">
          <cell r="AM21">
            <v>0</v>
          </cell>
        </row>
        <row r="22">
          <cell r="AM22">
            <v>37487.129999999997</v>
          </cell>
        </row>
        <row r="23">
          <cell r="AM23">
            <v>2792.9</v>
          </cell>
        </row>
        <row r="24">
          <cell r="AM24">
            <v>0</v>
          </cell>
        </row>
        <row r="25">
          <cell r="AM25">
            <v>0</v>
          </cell>
        </row>
        <row r="26">
          <cell r="AM26">
            <v>220.7</v>
          </cell>
        </row>
        <row r="27">
          <cell r="AM27">
            <v>0</v>
          </cell>
        </row>
        <row r="28">
          <cell r="AM28">
            <v>0</v>
          </cell>
        </row>
        <row r="29">
          <cell r="AM29">
            <v>0</v>
          </cell>
        </row>
        <row r="30">
          <cell r="AM30">
            <v>0</v>
          </cell>
        </row>
        <row r="31">
          <cell r="AM31">
            <v>0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</v>
          </cell>
        </row>
        <row r="35">
          <cell r="AM35">
            <v>0</v>
          </cell>
        </row>
        <row r="36">
          <cell r="AM36">
            <v>18</v>
          </cell>
        </row>
        <row r="37">
          <cell r="AM37">
            <v>18</v>
          </cell>
        </row>
        <row r="38">
          <cell r="AM38">
            <v>18</v>
          </cell>
        </row>
        <row r="39">
          <cell r="AM39">
            <v>18</v>
          </cell>
        </row>
        <row r="40">
          <cell r="AM40">
            <v>99</v>
          </cell>
        </row>
        <row r="41">
          <cell r="AM41">
            <v>18</v>
          </cell>
        </row>
        <row r="52">
          <cell r="AM52">
            <v>1.7018</v>
          </cell>
        </row>
        <row r="53">
          <cell r="AM53">
            <v>0</v>
          </cell>
        </row>
        <row r="54">
          <cell r="AM54">
            <v>2810.9</v>
          </cell>
        </row>
        <row r="55">
          <cell r="AM55">
            <v>422.6</v>
          </cell>
        </row>
        <row r="56">
          <cell r="AM56">
            <v>2453.8000000000002</v>
          </cell>
        </row>
        <row r="57">
          <cell r="AM57">
            <v>0</v>
          </cell>
        </row>
        <row r="58">
          <cell r="AM58">
            <v>0</v>
          </cell>
        </row>
        <row r="59">
          <cell r="AM59">
            <v>33.549999999999997</v>
          </cell>
        </row>
        <row r="60">
          <cell r="AM60">
            <v>64828.469999999994</v>
          </cell>
        </row>
        <row r="61">
          <cell r="AM61">
            <v>44.97</v>
          </cell>
        </row>
        <row r="62">
          <cell r="AM62">
            <v>0</v>
          </cell>
        </row>
        <row r="63">
          <cell r="AM63">
            <v>0</v>
          </cell>
        </row>
        <row r="64">
          <cell r="AM64">
            <v>0</v>
          </cell>
        </row>
        <row r="65">
          <cell r="AM65">
            <v>0</v>
          </cell>
        </row>
        <row r="66">
          <cell r="AM66">
            <v>0</v>
          </cell>
        </row>
        <row r="67">
          <cell r="AM67">
            <v>0</v>
          </cell>
        </row>
        <row r="68">
          <cell r="AM68">
            <v>0</v>
          </cell>
        </row>
        <row r="69">
          <cell r="AM69">
            <v>0</v>
          </cell>
        </row>
        <row r="70">
          <cell r="AM70">
            <v>0</v>
          </cell>
        </row>
        <row r="71">
          <cell r="AM71">
            <v>0</v>
          </cell>
        </row>
        <row r="72">
          <cell r="AM72">
            <v>0.16000000000000003</v>
          </cell>
        </row>
        <row r="73">
          <cell r="AM73">
            <v>0</v>
          </cell>
        </row>
        <row r="74">
          <cell r="AM74">
            <v>12.17</v>
          </cell>
        </row>
        <row r="75">
          <cell r="AM75">
            <v>12.17</v>
          </cell>
        </row>
        <row r="76">
          <cell r="AM76">
            <v>12.17</v>
          </cell>
        </row>
        <row r="77">
          <cell r="AM77">
            <v>12.17</v>
          </cell>
        </row>
        <row r="78">
          <cell r="AM78">
            <v>121.7</v>
          </cell>
        </row>
        <row r="79">
          <cell r="AM79">
            <v>12.17</v>
          </cell>
        </row>
        <row r="89">
          <cell r="AM89">
            <v>0</v>
          </cell>
        </row>
        <row r="90">
          <cell r="AM90">
            <v>0</v>
          </cell>
        </row>
        <row r="91">
          <cell r="AM91">
            <v>2004</v>
          </cell>
        </row>
        <row r="92">
          <cell r="AM92">
            <v>0</v>
          </cell>
        </row>
        <row r="93">
          <cell r="AM93">
            <v>0</v>
          </cell>
        </row>
        <row r="94">
          <cell r="AM94">
            <v>0</v>
          </cell>
        </row>
        <row r="95">
          <cell r="AM95">
            <v>3</v>
          </cell>
        </row>
        <row r="96">
          <cell r="AM96">
            <v>4</v>
          </cell>
        </row>
        <row r="97">
          <cell r="AM97">
            <v>47100</v>
          </cell>
        </row>
        <row r="98">
          <cell r="AM98">
            <v>2041</v>
          </cell>
        </row>
        <row r="99">
          <cell r="AM99">
            <v>0</v>
          </cell>
        </row>
        <row r="100">
          <cell r="AM100">
            <v>0</v>
          </cell>
        </row>
        <row r="101">
          <cell r="AM101">
            <v>0</v>
          </cell>
        </row>
        <row r="102">
          <cell r="AM102">
            <v>0</v>
          </cell>
        </row>
        <row r="103">
          <cell r="AM103">
            <v>0</v>
          </cell>
        </row>
        <row r="104">
          <cell r="AM104">
            <v>0</v>
          </cell>
        </row>
        <row r="105">
          <cell r="AM105">
            <v>0</v>
          </cell>
        </row>
        <row r="106">
          <cell r="AM106">
            <v>0</v>
          </cell>
        </row>
        <row r="107">
          <cell r="AM107">
            <v>0</v>
          </cell>
        </row>
        <row r="108">
          <cell r="AM108">
            <v>0</v>
          </cell>
        </row>
        <row r="109">
          <cell r="AM109">
            <v>0</v>
          </cell>
        </row>
        <row r="110">
          <cell r="AM110">
            <v>0</v>
          </cell>
        </row>
        <row r="111">
          <cell r="AM111">
            <v>10.17333333333333</v>
          </cell>
        </row>
        <row r="112">
          <cell r="AM112">
            <v>10.17333333333333</v>
          </cell>
        </row>
        <row r="113">
          <cell r="AM113">
            <v>10.17333333333333</v>
          </cell>
        </row>
        <row r="114">
          <cell r="AM114">
            <v>10.17333333333333</v>
          </cell>
        </row>
        <row r="115">
          <cell r="AM115">
            <v>101.73333333333331</v>
          </cell>
        </row>
        <row r="116">
          <cell r="AM116">
            <v>10.17333333333333</v>
          </cell>
        </row>
      </sheetData>
      <sheetData sheetId="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 Terraplanagem"/>
      <sheetName val="RDE TODOS"/>
      <sheetName val="MANUTENÇÃO PREV"/>
      <sheetName val="RESUM. MAN. PREV."/>
    </sheetNames>
    <sheetDataSet>
      <sheetData sheetId="0" refreshError="1"/>
      <sheetData sheetId="1" refreshError="1"/>
      <sheetData sheetId="2">
        <row r="14">
          <cell r="AM14">
            <v>0</v>
          </cell>
        </row>
        <row r="15">
          <cell r="AM15">
            <v>0</v>
          </cell>
        </row>
        <row r="16">
          <cell r="AM16">
            <v>2136.4</v>
          </cell>
        </row>
        <row r="17">
          <cell r="AM17">
            <v>88</v>
          </cell>
        </row>
        <row r="18">
          <cell r="AM18">
            <v>2940.7999999999997</v>
          </cell>
        </row>
        <row r="19">
          <cell r="AM19">
            <v>0</v>
          </cell>
        </row>
        <row r="20">
          <cell r="AM20">
            <v>176.1</v>
          </cell>
        </row>
        <row r="21">
          <cell r="AM21">
            <v>687.1</v>
          </cell>
        </row>
        <row r="22">
          <cell r="AM22">
            <v>29575.780000000002</v>
          </cell>
        </row>
        <row r="23">
          <cell r="AM23">
            <v>0</v>
          </cell>
        </row>
        <row r="24">
          <cell r="AM24">
            <v>0</v>
          </cell>
        </row>
        <row r="25">
          <cell r="AM25">
            <v>0</v>
          </cell>
        </row>
        <row r="26">
          <cell r="AM26">
            <v>0</v>
          </cell>
        </row>
        <row r="27">
          <cell r="AM27">
            <v>0</v>
          </cell>
        </row>
        <row r="28">
          <cell r="AM28">
            <v>0</v>
          </cell>
        </row>
        <row r="29">
          <cell r="AM29">
            <v>0</v>
          </cell>
        </row>
        <row r="30">
          <cell r="AM30">
            <v>0</v>
          </cell>
        </row>
        <row r="31">
          <cell r="AM31">
            <v>0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</v>
          </cell>
        </row>
        <row r="35">
          <cell r="AM35">
            <v>0</v>
          </cell>
        </row>
        <row r="36">
          <cell r="AM36">
            <v>0</v>
          </cell>
        </row>
        <row r="37">
          <cell r="AM37">
            <v>0</v>
          </cell>
        </row>
        <row r="38">
          <cell r="AM38">
            <v>0</v>
          </cell>
        </row>
        <row r="39">
          <cell r="AM39">
            <v>0</v>
          </cell>
        </row>
        <row r="40">
          <cell r="AM40">
            <v>0</v>
          </cell>
        </row>
        <row r="41">
          <cell r="AM41">
            <v>0</v>
          </cell>
        </row>
        <row r="52">
          <cell r="AM52">
            <v>45.120000000000005</v>
          </cell>
        </row>
        <row r="53">
          <cell r="AM53">
            <v>0</v>
          </cell>
        </row>
        <row r="54">
          <cell r="AM54">
            <v>577.4</v>
          </cell>
        </row>
        <row r="55">
          <cell r="AM55">
            <v>0</v>
          </cell>
        </row>
        <row r="56">
          <cell r="AM56">
            <v>2623.9</v>
          </cell>
        </row>
        <row r="57">
          <cell r="AM57">
            <v>0</v>
          </cell>
        </row>
        <row r="58">
          <cell r="AM58">
            <v>0</v>
          </cell>
        </row>
        <row r="59">
          <cell r="AM59">
            <v>22.4</v>
          </cell>
        </row>
        <row r="60">
          <cell r="AM60">
            <v>72847.090000000011</v>
          </cell>
        </row>
        <row r="61">
          <cell r="AM61">
            <v>0</v>
          </cell>
        </row>
        <row r="62">
          <cell r="AM62">
            <v>0</v>
          </cell>
        </row>
        <row r="63">
          <cell r="AM63">
            <v>0</v>
          </cell>
        </row>
        <row r="64">
          <cell r="AM64">
            <v>0</v>
          </cell>
        </row>
        <row r="65">
          <cell r="AM65">
            <v>0</v>
          </cell>
        </row>
        <row r="66">
          <cell r="AM66">
            <v>0</v>
          </cell>
        </row>
        <row r="67">
          <cell r="AM67">
            <v>0</v>
          </cell>
        </row>
        <row r="68">
          <cell r="AM68">
            <v>0</v>
          </cell>
        </row>
        <row r="69">
          <cell r="AM69">
            <v>0</v>
          </cell>
        </row>
        <row r="70">
          <cell r="AM70">
            <v>0</v>
          </cell>
        </row>
        <row r="71">
          <cell r="AM71">
            <v>0</v>
          </cell>
        </row>
        <row r="72">
          <cell r="AM72">
            <v>0</v>
          </cell>
        </row>
        <row r="73">
          <cell r="AM73">
            <v>0</v>
          </cell>
        </row>
        <row r="74">
          <cell r="AM74">
            <v>11</v>
          </cell>
        </row>
        <row r="75">
          <cell r="AM75">
            <v>11</v>
          </cell>
        </row>
        <row r="76">
          <cell r="AM76">
            <v>11</v>
          </cell>
        </row>
        <row r="77">
          <cell r="AM77">
            <v>11</v>
          </cell>
        </row>
        <row r="78">
          <cell r="AM78">
            <v>110</v>
          </cell>
        </row>
        <row r="79">
          <cell r="AM79">
            <v>11</v>
          </cell>
        </row>
        <row r="89">
          <cell r="AM89">
            <v>10.91</v>
          </cell>
        </row>
        <row r="90">
          <cell r="AM90">
            <v>23.73</v>
          </cell>
        </row>
        <row r="91">
          <cell r="AM91">
            <v>3685</v>
          </cell>
        </row>
        <row r="92">
          <cell r="AM92">
            <v>324</v>
          </cell>
        </row>
        <row r="93">
          <cell r="AM93">
            <v>441</v>
          </cell>
        </row>
        <row r="94">
          <cell r="AM94">
            <v>0</v>
          </cell>
        </row>
        <row r="95">
          <cell r="AM95">
            <v>6.5</v>
          </cell>
        </row>
        <row r="96">
          <cell r="AM96">
            <v>0</v>
          </cell>
        </row>
        <row r="97">
          <cell r="AM97">
            <v>40181.4</v>
          </cell>
        </row>
        <row r="98">
          <cell r="AM98">
            <v>0</v>
          </cell>
        </row>
        <row r="99">
          <cell r="AM99">
            <v>0</v>
          </cell>
        </row>
        <row r="100">
          <cell r="AM100">
            <v>0</v>
          </cell>
        </row>
        <row r="101">
          <cell r="AM101">
            <v>152.20000000000002</v>
          </cell>
        </row>
        <row r="102">
          <cell r="AM102">
            <v>0</v>
          </cell>
        </row>
        <row r="103">
          <cell r="AM103">
            <v>0</v>
          </cell>
        </row>
        <row r="104">
          <cell r="AM104">
            <v>0</v>
          </cell>
        </row>
        <row r="105">
          <cell r="AM105">
            <v>10</v>
          </cell>
        </row>
        <row r="106">
          <cell r="AM106">
            <v>0</v>
          </cell>
        </row>
        <row r="107">
          <cell r="AM107">
            <v>7</v>
          </cell>
        </row>
        <row r="108">
          <cell r="AM108">
            <v>0</v>
          </cell>
        </row>
        <row r="109">
          <cell r="AM109">
            <v>0</v>
          </cell>
        </row>
        <row r="110">
          <cell r="AM110">
            <v>0</v>
          </cell>
        </row>
        <row r="111">
          <cell r="AM111">
            <v>0</v>
          </cell>
        </row>
        <row r="112">
          <cell r="AM112">
            <v>0</v>
          </cell>
        </row>
        <row r="113">
          <cell r="AM113">
            <v>0</v>
          </cell>
        </row>
        <row r="114">
          <cell r="AM114">
            <v>0</v>
          </cell>
        </row>
        <row r="115">
          <cell r="AM115">
            <v>0</v>
          </cell>
        </row>
        <row r="116">
          <cell r="AM116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3CFB-74F9-4CF1-9548-E2E5962E7698}">
  <sheetPr filterMode="1">
    <tabColor theme="9"/>
    <pageSetUpPr fitToPage="1"/>
  </sheetPr>
  <dimension ref="A1:AD59"/>
  <sheetViews>
    <sheetView topLeftCell="A3" zoomScale="58" zoomScaleNormal="55" zoomScaleSheetLayoutView="80" workbookViewId="0">
      <selection activeCell="L16" sqref="L16"/>
    </sheetView>
  </sheetViews>
  <sheetFormatPr defaultRowHeight="14.4" x14ac:dyDescent="0.3"/>
  <cols>
    <col min="1" max="1" width="12.44140625" customWidth="1"/>
    <col min="2" max="2" width="17.109375" customWidth="1"/>
    <col min="3" max="3" width="8.77734375" bestFit="1" customWidth="1"/>
    <col min="4" max="4" width="52" customWidth="1"/>
    <col min="5" max="5" width="9.44140625" customWidth="1"/>
    <col min="6" max="6" width="13.6640625" customWidth="1"/>
    <col min="7" max="7" width="15" customWidth="1"/>
    <col min="8" max="8" width="13" customWidth="1"/>
    <col min="9" max="9" width="13.88671875" bestFit="1" customWidth="1"/>
    <col min="10" max="11" width="12" bestFit="1" customWidth="1"/>
    <col min="12" max="12" width="12.44140625" bestFit="1" customWidth="1"/>
    <col min="13" max="13" width="12" bestFit="1" customWidth="1"/>
    <col min="14" max="14" width="14.109375" bestFit="1" customWidth="1"/>
    <col min="15" max="15" width="9.109375" customWidth="1"/>
    <col min="16" max="17" width="15.21875" bestFit="1" customWidth="1"/>
    <col min="18" max="18" width="14.33203125" bestFit="1" customWidth="1"/>
    <col min="19" max="19" width="39.21875" customWidth="1"/>
    <col min="20" max="20" width="18.6640625" customWidth="1"/>
    <col min="21" max="21" width="14.33203125" bestFit="1" customWidth="1"/>
    <col min="22" max="24" width="14.44140625" bestFit="1" customWidth="1"/>
    <col min="25" max="26" width="14.33203125" bestFit="1" customWidth="1"/>
    <col min="27" max="27" width="14.88671875" customWidth="1"/>
    <col min="29" max="29" width="9.5546875" bestFit="1" customWidth="1"/>
    <col min="30" max="30" width="14.33203125" bestFit="1" customWidth="1"/>
    <col min="31" max="31" width="9.5546875" bestFit="1" customWidth="1"/>
    <col min="39" max="39" width="12.21875" customWidth="1"/>
    <col min="40" max="40" width="13.44140625" customWidth="1"/>
    <col min="42" max="43" width="9.5546875" bestFit="1" customWidth="1"/>
    <col min="44" max="44" width="10.6640625" bestFit="1" customWidth="1"/>
    <col min="45" max="45" width="9.5546875" bestFit="1" customWidth="1"/>
  </cols>
  <sheetData>
    <row r="1" spans="1:30" ht="1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C1" s="3">
        <v>284.74038961038957</v>
      </c>
      <c r="AD1" s="4">
        <v>218265.2065</v>
      </c>
    </row>
    <row r="2" spans="1:30" ht="15" thickBot="1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3" t="s">
        <v>2</v>
      </c>
      <c r="P2" s="74"/>
      <c r="Q2" s="75"/>
      <c r="S2" s="76" t="s">
        <v>3</v>
      </c>
      <c r="T2" s="77"/>
      <c r="V2" s="73" t="s">
        <v>4</v>
      </c>
      <c r="W2" s="74"/>
      <c r="X2" s="74"/>
      <c r="Y2" s="75"/>
      <c r="Z2" s="6"/>
      <c r="AA2" s="6"/>
      <c r="AC2" s="3">
        <v>154.41802092352094</v>
      </c>
      <c r="AD2" s="4">
        <v>107801.71625</v>
      </c>
    </row>
    <row r="3" spans="1:30" ht="15" thickBot="1" x14ac:dyDescent="0.35">
      <c r="A3" s="7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8" t="s">
        <v>6</v>
      </c>
      <c r="P3" s="79"/>
      <c r="Q3" s="80"/>
      <c r="S3" s="81" t="s">
        <v>6</v>
      </c>
      <c r="T3" s="82"/>
      <c r="V3" s="78" t="s">
        <v>6</v>
      </c>
      <c r="W3" s="79"/>
      <c r="X3" s="79"/>
      <c r="Y3" s="80"/>
      <c r="Z3" s="6"/>
      <c r="AA3" s="6"/>
      <c r="AC3" s="3">
        <v>114.41688311688313</v>
      </c>
      <c r="AD3" s="4">
        <v>83329.102500000008</v>
      </c>
    </row>
    <row r="4" spans="1:30" ht="18" customHeight="1" thickBot="1" x14ac:dyDescent="0.35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 t="s">
        <v>8</v>
      </c>
      <c r="P4" s="10" t="s">
        <v>9</v>
      </c>
      <c r="Q4" s="10" t="s">
        <v>10</v>
      </c>
      <c r="S4" s="11" t="s">
        <v>8</v>
      </c>
      <c r="T4" s="12" t="s">
        <v>10</v>
      </c>
      <c r="V4" s="10" t="s">
        <v>8</v>
      </c>
      <c r="W4" s="10" t="s">
        <v>9</v>
      </c>
      <c r="X4" s="10" t="s">
        <v>10</v>
      </c>
      <c r="Y4" s="10" t="s">
        <v>11</v>
      </c>
      <c r="Z4" s="9"/>
      <c r="AA4" s="9"/>
    </row>
    <row r="5" spans="1:30" ht="38.4" customHeight="1" thickBot="1" x14ac:dyDescent="0.35">
      <c r="A5" s="7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3">
        <v>14.87</v>
      </c>
      <c r="P5" s="13">
        <v>0.22</v>
      </c>
      <c r="Q5" s="13">
        <v>59.87</v>
      </c>
      <c r="S5" s="14">
        <v>9.8148148148148167</v>
      </c>
      <c r="T5" s="15">
        <v>24.084027777777777</v>
      </c>
      <c r="V5" s="16">
        <v>1.6666666666666667</v>
      </c>
      <c r="W5" s="16">
        <v>8.8095238095238101E-2</v>
      </c>
      <c r="X5" s="16">
        <v>20.613425925925927</v>
      </c>
      <c r="Y5" s="16">
        <v>3.6111111111111112</v>
      </c>
      <c r="Z5" s="6"/>
      <c r="AA5" s="6"/>
    </row>
    <row r="6" spans="1:30" ht="15" customHeight="1" thickBot="1" x14ac:dyDescent="0.35">
      <c r="A6" s="1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4" t="s">
        <v>13</v>
      </c>
      <c r="P6" s="65"/>
      <c r="Q6" s="66"/>
      <c r="S6" s="88" t="s">
        <v>14</v>
      </c>
      <c r="T6" s="89"/>
      <c r="V6" s="64" t="s">
        <v>15</v>
      </c>
      <c r="W6" s="65"/>
      <c r="X6" s="65"/>
      <c r="Y6" s="66"/>
      <c r="Z6" s="3"/>
      <c r="AA6" s="3"/>
    </row>
    <row r="7" spans="1:30" ht="14.4" customHeight="1" thickBot="1" x14ac:dyDescent="0.7">
      <c r="A7" s="3"/>
      <c r="B7" s="3"/>
      <c r="D7" s="18"/>
      <c r="E7" s="18"/>
      <c r="F7" s="18"/>
      <c r="G7" s="18"/>
      <c r="H7" s="18"/>
      <c r="I7" s="18"/>
      <c r="J7" s="3"/>
      <c r="K7" s="3"/>
      <c r="L7" s="3"/>
      <c r="M7" s="3"/>
      <c r="N7" s="3"/>
      <c r="O7" s="3"/>
      <c r="P7" s="19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30" ht="39" customHeight="1" thickBot="1" x14ac:dyDescent="0.7">
      <c r="A8" s="20"/>
      <c r="B8" s="20"/>
      <c r="C8" s="67" t="s">
        <v>16</v>
      </c>
      <c r="D8" s="68"/>
      <c r="E8" s="68"/>
      <c r="F8" s="68"/>
      <c r="G8" s="68"/>
      <c r="H8" s="68"/>
      <c r="I8" s="69"/>
      <c r="J8" s="70" t="s">
        <v>17</v>
      </c>
      <c r="K8" s="71"/>
      <c r="L8" s="71"/>
      <c r="M8" s="7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0" ht="27" customHeight="1" x14ac:dyDescent="0.35">
      <c r="A9" s="20"/>
      <c r="B9" s="20"/>
      <c r="C9" s="21" t="s">
        <v>18</v>
      </c>
      <c r="D9" s="22" t="s">
        <v>19</v>
      </c>
      <c r="E9" s="23" t="s">
        <v>20</v>
      </c>
      <c r="F9" s="24" t="s">
        <v>21</v>
      </c>
      <c r="G9" s="24" t="s">
        <v>22</v>
      </c>
      <c r="H9" s="24" t="s">
        <v>23</v>
      </c>
      <c r="I9" s="23" t="s">
        <v>24</v>
      </c>
      <c r="J9" s="24" t="s">
        <v>21</v>
      </c>
      <c r="K9" s="24" t="s">
        <v>22</v>
      </c>
      <c r="L9" s="24" t="s">
        <v>23</v>
      </c>
      <c r="M9" s="23" t="s">
        <v>24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0" ht="18" x14ac:dyDescent="0.35">
      <c r="A10" s="25"/>
      <c r="B10" s="25"/>
      <c r="C10" s="26" t="s">
        <v>25</v>
      </c>
      <c r="D10" s="27" t="s">
        <v>26</v>
      </c>
      <c r="E10" s="28" t="s">
        <v>27</v>
      </c>
      <c r="F10" s="32">
        <f>'[36]MANUTENÇÃO PREV'!AM14</f>
        <v>0</v>
      </c>
      <c r="G10" s="32">
        <f>'[36]MANUTENÇÃO PREV'!AM52</f>
        <v>2.3319999999999999</v>
      </c>
      <c r="H10" s="32">
        <f>'[36]MANUTENÇÃO PREV'!AM89</f>
        <v>0</v>
      </c>
      <c r="I10" s="30">
        <f>SUM(F10:H10)</f>
        <v>2.3319999999999999</v>
      </c>
      <c r="J10" s="31">
        <f t="shared" ref="J10:J31" si="0">F10/(7*20)</f>
        <v>0</v>
      </c>
      <c r="K10" s="31">
        <f t="shared" ref="K10:K31" si="1">G10/(7*20)</f>
        <v>1.6657142857142856E-2</v>
      </c>
      <c r="L10" s="31">
        <f t="shared" ref="L10:L31" si="2">H10/(7*20)</f>
        <v>0</v>
      </c>
      <c r="M10" s="30">
        <f>I10/(7*18)</f>
        <v>1.8507936507936508E-2</v>
      </c>
    </row>
    <row r="11" spans="1:30" ht="19.8" hidden="1" customHeight="1" x14ac:dyDescent="0.35">
      <c r="A11" s="25"/>
      <c r="B11" s="25"/>
      <c r="C11" s="26" t="s">
        <v>9</v>
      </c>
      <c r="D11" s="27" t="s">
        <v>28</v>
      </c>
      <c r="E11" s="28" t="s">
        <v>27</v>
      </c>
      <c r="F11" s="32">
        <f>'[36]MANUTENÇÃO PREV'!AM15</f>
        <v>0</v>
      </c>
      <c r="G11" s="32">
        <f>'[36]MANUTENÇÃO PREV'!AM53</f>
        <v>0</v>
      </c>
      <c r="H11" s="32">
        <f>'[36]MANUTENÇÃO PREV'!AM90</f>
        <v>0</v>
      </c>
      <c r="I11" s="30">
        <f t="shared" ref="I11:I38" si="3">SUM(F11:H11)</f>
        <v>0</v>
      </c>
      <c r="J11" s="31">
        <f t="shared" si="0"/>
        <v>0</v>
      </c>
      <c r="K11" s="31">
        <f t="shared" si="1"/>
        <v>0</v>
      </c>
      <c r="L11" s="31">
        <f t="shared" si="2"/>
        <v>0</v>
      </c>
      <c r="M11" s="30">
        <f>I11/(9*2)</f>
        <v>0</v>
      </c>
    </row>
    <row r="12" spans="1:30" ht="34.799999999999997" x14ac:dyDescent="0.35">
      <c r="A12" s="25"/>
      <c r="B12" s="25"/>
      <c r="C12" s="26" t="s">
        <v>8</v>
      </c>
      <c r="D12" s="62" t="s">
        <v>29</v>
      </c>
      <c r="E12" s="63" t="s">
        <v>30</v>
      </c>
      <c r="F12" s="32">
        <f>'[36]MANUTENÇÃO PREV'!AM16</f>
        <v>1010.3</v>
      </c>
      <c r="G12" s="32">
        <f>'[36]MANUTENÇÃO PREV'!AM54</f>
        <v>2417.1999999999998</v>
      </c>
      <c r="H12" s="32">
        <f>'[36]MANUTENÇÃO PREV'!AM91</f>
        <v>587</v>
      </c>
      <c r="I12" s="43">
        <f t="shared" si="3"/>
        <v>4014.5</v>
      </c>
      <c r="J12" s="31">
        <f t="shared" si="0"/>
        <v>7.2164285714285707</v>
      </c>
      <c r="K12" s="31">
        <f t="shared" si="1"/>
        <v>17.265714285714285</v>
      </c>
      <c r="L12" s="31">
        <f t="shared" si="2"/>
        <v>4.1928571428571431</v>
      </c>
      <c r="M12" s="30">
        <f>I12/(7*18)</f>
        <v>31.861111111111111</v>
      </c>
    </row>
    <row r="13" spans="1:30" ht="34.799999999999997" x14ac:dyDescent="0.35">
      <c r="A13" s="20"/>
      <c r="B13" s="20"/>
      <c r="C13" s="26" t="s">
        <v>31</v>
      </c>
      <c r="D13" s="27" t="s">
        <v>32</v>
      </c>
      <c r="E13" s="28" t="s">
        <v>30</v>
      </c>
      <c r="F13" s="32">
        <f>'[36]MANUTENÇÃO PREV'!AM17</f>
        <v>1991.8</v>
      </c>
      <c r="G13" s="32">
        <f>'[36]MANUTENÇÃO PREV'!AM55</f>
        <v>169.6</v>
      </c>
      <c r="H13" s="32">
        <f>'[36]MANUTENÇÃO PREV'!AM92</f>
        <v>162</v>
      </c>
      <c r="I13" s="30">
        <f t="shared" si="3"/>
        <v>2323.4</v>
      </c>
      <c r="J13" s="31">
        <f t="shared" si="0"/>
        <v>14.227142857142857</v>
      </c>
      <c r="K13" s="31">
        <f t="shared" si="1"/>
        <v>1.2114285714285713</v>
      </c>
      <c r="L13" s="31">
        <f t="shared" si="2"/>
        <v>1.1571428571428573</v>
      </c>
      <c r="M13" s="30">
        <f>I13/(7*18)</f>
        <v>18.43968253968254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0" ht="34.799999999999997" x14ac:dyDescent="0.35">
      <c r="A14" s="20"/>
      <c r="B14" s="20"/>
      <c r="C14" s="39" t="s">
        <v>33</v>
      </c>
      <c r="D14" s="62" t="s">
        <v>34</v>
      </c>
      <c r="E14" s="63" t="s">
        <v>30</v>
      </c>
      <c r="F14" s="32">
        <f>'[36]MANUTENÇÃO PREV'!AM18</f>
        <v>1873.8</v>
      </c>
      <c r="G14" s="32">
        <f>'[36]MANUTENÇÃO PREV'!AM56</f>
        <v>533</v>
      </c>
      <c r="H14" s="32">
        <f>'[36]MANUTENÇÃO PREV'!AM93</f>
        <v>0</v>
      </c>
      <c r="I14" s="43">
        <f t="shared" si="3"/>
        <v>2406.8000000000002</v>
      </c>
      <c r="J14" s="31">
        <f t="shared" si="0"/>
        <v>13.384285714285713</v>
      </c>
      <c r="K14" s="31">
        <f t="shared" si="1"/>
        <v>3.8071428571428569</v>
      </c>
      <c r="L14" s="31">
        <f t="shared" si="2"/>
        <v>0</v>
      </c>
      <c r="M14" s="30">
        <f>I14/(7*18)</f>
        <v>19.101587301587305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0" ht="52.2" hidden="1" x14ac:dyDescent="0.35">
      <c r="A15" s="20"/>
      <c r="B15" s="20"/>
      <c r="C15" s="26" t="s">
        <v>63</v>
      </c>
      <c r="D15" s="27" t="s">
        <v>64</v>
      </c>
      <c r="E15" s="28" t="s">
        <v>27</v>
      </c>
      <c r="F15" s="32">
        <f>'[36]MANUTENÇÃO PREV'!AM19</f>
        <v>0</v>
      </c>
      <c r="G15" s="32">
        <f>'[36]MANUTENÇÃO PREV'!AM57</f>
        <v>0</v>
      </c>
      <c r="H15" s="32">
        <f>'[36]MANUTENÇÃO PREV'!AM94</f>
        <v>0</v>
      </c>
      <c r="I15" s="30">
        <f t="shared" si="3"/>
        <v>0</v>
      </c>
      <c r="J15" s="31">
        <f t="shared" si="0"/>
        <v>0</v>
      </c>
      <c r="K15" s="31">
        <f t="shared" si="1"/>
        <v>0</v>
      </c>
      <c r="L15" s="31">
        <f t="shared" si="2"/>
        <v>0</v>
      </c>
      <c r="M15" s="30">
        <f>I15/(7*22)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0" ht="77.400000000000006" customHeight="1" x14ac:dyDescent="0.35">
      <c r="A16" s="20"/>
      <c r="B16" s="20"/>
      <c r="C16" s="26" t="s">
        <v>9</v>
      </c>
      <c r="D16" s="62" t="s">
        <v>35</v>
      </c>
      <c r="E16" s="63" t="s">
        <v>30</v>
      </c>
      <c r="F16" s="32">
        <f>'[36]MANUTENÇÃO PREV'!AM20</f>
        <v>129.41</v>
      </c>
      <c r="G16" s="32">
        <f>'[36]MANUTENÇÃO PREV'!AM58</f>
        <v>42.39</v>
      </c>
      <c r="H16" s="32">
        <f>'[36]MANUTENÇÃO PREV'!AM95</f>
        <v>10</v>
      </c>
      <c r="I16" s="43">
        <f t="shared" si="3"/>
        <v>181.8</v>
      </c>
      <c r="J16" s="31">
        <f t="shared" si="0"/>
        <v>0.92435714285714288</v>
      </c>
      <c r="K16" s="31">
        <f t="shared" si="1"/>
        <v>0.30278571428571427</v>
      </c>
      <c r="L16" s="31">
        <f t="shared" si="2"/>
        <v>7.1428571428571425E-2</v>
      </c>
      <c r="M16" s="30">
        <f>I16/(7*18)</f>
        <v>1.4428571428571428</v>
      </c>
      <c r="N16" s="3"/>
      <c r="O16" s="3"/>
      <c r="P16" s="4">
        <v>218265.2065</v>
      </c>
      <c r="Q16" s="4">
        <v>107801.71625</v>
      </c>
      <c r="R16" s="4">
        <v>83329.102500000008</v>
      </c>
      <c r="S16" s="3"/>
      <c r="T16" s="3"/>
      <c r="U16" s="3"/>
      <c r="V16" s="3"/>
      <c r="W16" s="3"/>
      <c r="X16" s="3"/>
      <c r="Y16" s="3"/>
      <c r="Z16" s="3"/>
      <c r="AA16" s="3"/>
    </row>
    <row r="17" spans="1:27" ht="52.2" x14ac:dyDescent="0.35">
      <c r="A17" s="20"/>
      <c r="B17" s="20"/>
      <c r="C17" s="44" t="s">
        <v>36</v>
      </c>
      <c r="D17" s="27" t="s">
        <v>37</v>
      </c>
      <c r="E17" s="28" t="s">
        <v>30</v>
      </c>
      <c r="F17" s="32">
        <f>'[36]MANUTENÇÃO PREV'!AM21</f>
        <v>44.9</v>
      </c>
      <c r="G17" s="32">
        <f>'[36]MANUTENÇÃO PREV'!AM59</f>
        <v>12.5</v>
      </c>
      <c r="H17" s="32">
        <f>'[36]MANUTENÇÃO PREV'!AM96</f>
        <v>0</v>
      </c>
      <c r="I17" s="30">
        <f t="shared" si="3"/>
        <v>57.4</v>
      </c>
      <c r="J17" s="31">
        <f t="shared" si="0"/>
        <v>0.32071428571428573</v>
      </c>
      <c r="K17" s="31">
        <f t="shared" si="1"/>
        <v>8.9285714285714288E-2</v>
      </c>
      <c r="L17" s="31">
        <f t="shared" si="2"/>
        <v>0</v>
      </c>
      <c r="M17" s="30">
        <f>I17/(7*18)</f>
        <v>0.45555555555555555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" x14ac:dyDescent="0.35">
      <c r="A18" s="25"/>
      <c r="B18" s="25"/>
      <c r="C18" s="26" t="s">
        <v>10</v>
      </c>
      <c r="D18" s="62" t="s">
        <v>38</v>
      </c>
      <c r="E18" s="63" t="s">
        <v>39</v>
      </c>
      <c r="F18" s="32">
        <f>'[36]MANUTENÇÃO PREV'!AM22</f>
        <v>37234.899999999994</v>
      </c>
      <c r="G18" s="32">
        <f>'[36]MANUTENÇÃO PREV'!AM60</f>
        <v>32976.409999999996</v>
      </c>
      <c r="H18" s="32">
        <f>'[36]MANUTENÇÃO PREV'!AM97</f>
        <v>20768.219999999998</v>
      </c>
      <c r="I18" s="43">
        <f t="shared" si="3"/>
        <v>90979.53</v>
      </c>
      <c r="J18" s="31">
        <f t="shared" si="0"/>
        <v>265.96357142857141</v>
      </c>
      <c r="K18" s="31">
        <f t="shared" si="1"/>
        <v>235.5457857142857</v>
      </c>
      <c r="L18" s="31">
        <f t="shared" si="2"/>
        <v>148.34442857142855</v>
      </c>
      <c r="M18" s="30">
        <f>I18/(7*18)</f>
        <v>722.0597619047619</v>
      </c>
    </row>
    <row r="19" spans="1:27" ht="18" hidden="1" x14ac:dyDescent="0.35">
      <c r="A19" s="20"/>
      <c r="B19" s="20"/>
      <c r="C19" s="26" t="s">
        <v>65</v>
      </c>
      <c r="D19" s="27" t="s">
        <v>66</v>
      </c>
      <c r="E19" s="46" t="s">
        <v>39</v>
      </c>
      <c r="F19" s="32">
        <f>'[36]MANUTENÇÃO PREV'!AM23</f>
        <v>0</v>
      </c>
      <c r="G19" s="32">
        <f>'[36]MANUTENÇÃO PREV'!AM61</f>
        <v>0</v>
      </c>
      <c r="H19" s="32">
        <f>'[36]MANUTENÇÃO PREV'!AM98</f>
        <v>0</v>
      </c>
      <c r="I19" s="30">
        <f t="shared" si="3"/>
        <v>0</v>
      </c>
      <c r="J19" s="31">
        <f t="shared" si="0"/>
        <v>0</v>
      </c>
      <c r="K19" s="31">
        <f t="shared" si="1"/>
        <v>0</v>
      </c>
      <c r="L19" s="31">
        <f t="shared" si="2"/>
        <v>0</v>
      </c>
      <c r="M19" s="30">
        <f>I19/(7*22)</f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4.799999999999997" hidden="1" x14ac:dyDescent="0.35">
      <c r="A20" s="20"/>
      <c r="B20" s="20"/>
      <c r="C20" s="26" t="s">
        <v>67</v>
      </c>
      <c r="D20" s="27" t="s">
        <v>68</v>
      </c>
      <c r="E20" s="46" t="s">
        <v>39</v>
      </c>
      <c r="F20" s="32">
        <f>'[36]MANUTENÇÃO PREV'!AM24</f>
        <v>0</v>
      </c>
      <c r="G20" s="32">
        <f>'[36]MANUTENÇÃO PREV'!AM62</f>
        <v>0</v>
      </c>
      <c r="H20" s="32">
        <f>'[36]MANUTENÇÃO PREV'!AM99</f>
        <v>0</v>
      </c>
      <c r="I20" s="30">
        <f t="shared" si="3"/>
        <v>0</v>
      </c>
      <c r="J20" s="31">
        <f t="shared" si="0"/>
        <v>0</v>
      </c>
      <c r="K20" s="31">
        <f t="shared" si="1"/>
        <v>0</v>
      </c>
      <c r="L20" s="31">
        <f t="shared" si="2"/>
        <v>0</v>
      </c>
      <c r="M20" s="30">
        <f>I20/(7*22)</f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" hidden="1" x14ac:dyDescent="0.35">
      <c r="A21" s="20"/>
      <c r="B21" s="20"/>
      <c r="C21" s="26" t="s">
        <v>69</v>
      </c>
      <c r="D21" s="27" t="s">
        <v>70</v>
      </c>
      <c r="E21" s="46" t="s">
        <v>39</v>
      </c>
      <c r="F21" s="32">
        <f>'[36]MANUTENÇÃO PREV'!AM25</f>
        <v>0</v>
      </c>
      <c r="G21" s="32">
        <f>'[36]MANUTENÇÃO PREV'!AM63</f>
        <v>0</v>
      </c>
      <c r="H21" s="32">
        <f>'[36]MANUTENÇÃO PREV'!AM100</f>
        <v>0</v>
      </c>
      <c r="I21" s="30">
        <f t="shared" si="3"/>
        <v>0</v>
      </c>
      <c r="J21" s="31">
        <f t="shared" si="0"/>
        <v>0</v>
      </c>
      <c r="K21" s="31">
        <f t="shared" si="1"/>
        <v>0</v>
      </c>
      <c r="L21" s="31">
        <f t="shared" si="2"/>
        <v>0</v>
      </c>
      <c r="M21" s="30">
        <f>I21/(7*22)</f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" x14ac:dyDescent="0.35">
      <c r="A22" s="20"/>
      <c r="B22" s="20"/>
      <c r="C22" s="39" t="s">
        <v>40</v>
      </c>
      <c r="D22" s="27" t="s">
        <v>41</v>
      </c>
      <c r="E22" s="46" t="s">
        <v>27</v>
      </c>
      <c r="F22" s="32">
        <f>'[36]MANUTENÇÃO PREV'!AM26</f>
        <v>113.28</v>
      </c>
      <c r="G22" s="32">
        <f>'[36]MANUTENÇÃO PREV'!AM64</f>
        <v>0</v>
      </c>
      <c r="H22" s="32">
        <f>'[36]MANUTENÇÃO PREV'!AM101</f>
        <v>0</v>
      </c>
      <c r="I22" s="30">
        <f t="shared" si="3"/>
        <v>113.28</v>
      </c>
      <c r="J22" s="31">
        <f t="shared" si="0"/>
        <v>0.80914285714285716</v>
      </c>
      <c r="K22" s="31">
        <f t="shared" si="1"/>
        <v>0</v>
      </c>
      <c r="L22" s="31">
        <f t="shared" si="2"/>
        <v>0</v>
      </c>
      <c r="M22" s="30">
        <f>I22/(7*22)</f>
        <v>0.73558441558441556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87" hidden="1" x14ac:dyDescent="0.35">
      <c r="A23" s="20"/>
      <c r="B23" s="20"/>
      <c r="C23" s="58" t="s">
        <v>71</v>
      </c>
      <c r="D23" s="27" t="s">
        <v>72</v>
      </c>
      <c r="E23" s="46" t="s">
        <v>39</v>
      </c>
      <c r="F23" s="32">
        <f>'[36]MANUTENÇÃO PREV'!AM27</f>
        <v>0</v>
      </c>
      <c r="G23" s="32">
        <f>'[36]MANUTENÇÃO PREV'!AM65</f>
        <v>0</v>
      </c>
      <c r="H23" s="32">
        <f>'[36]MANUTENÇÃO PREV'!AM102</f>
        <v>0</v>
      </c>
      <c r="I23" s="30">
        <f t="shared" si="3"/>
        <v>0</v>
      </c>
      <c r="J23" s="31">
        <f t="shared" si="0"/>
        <v>0</v>
      </c>
      <c r="K23" s="31">
        <f t="shared" si="1"/>
        <v>0</v>
      </c>
      <c r="L23" s="31">
        <f t="shared" si="2"/>
        <v>0</v>
      </c>
      <c r="M23" s="30">
        <f>I23/(7*22)</f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53.4" hidden="1" customHeight="1" x14ac:dyDescent="0.35">
      <c r="A24" s="20"/>
      <c r="B24" s="20"/>
      <c r="C24" s="26" t="s">
        <v>11</v>
      </c>
      <c r="D24" s="27" t="s">
        <v>73</v>
      </c>
      <c r="E24" s="28" t="s">
        <v>39</v>
      </c>
      <c r="F24" s="32">
        <f>'[36]MANUTENÇÃO PREV'!AM28</f>
        <v>0</v>
      </c>
      <c r="G24" s="32">
        <f>'[36]MANUTENÇÃO PREV'!AM66</f>
        <v>0</v>
      </c>
      <c r="H24" s="32">
        <f>'[36]MANUTENÇÃO PREV'!AM103</f>
        <v>0</v>
      </c>
      <c r="I24" s="30">
        <f t="shared" si="3"/>
        <v>0</v>
      </c>
      <c r="J24" s="31">
        <f t="shared" si="0"/>
        <v>0</v>
      </c>
      <c r="K24" s="31">
        <f t="shared" si="1"/>
        <v>0</v>
      </c>
      <c r="L24" s="31">
        <f t="shared" si="2"/>
        <v>0</v>
      </c>
      <c r="M24" s="30">
        <f>I24/(7*18)</f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04.4" hidden="1" x14ac:dyDescent="0.35">
      <c r="A25" s="20"/>
      <c r="B25" s="20"/>
      <c r="C25" s="26" t="s">
        <v>74</v>
      </c>
      <c r="D25" s="59" t="s">
        <v>75</v>
      </c>
      <c r="E25" s="60" t="s">
        <v>44</v>
      </c>
      <c r="F25" s="32">
        <f>'[36]MANUTENÇÃO PREV'!AM29</f>
        <v>0</v>
      </c>
      <c r="G25" s="32">
        <f>'[36]MANUTENÇÃO PREV'!AM67</f>
        <v>0</v>
      </c>
      <c r="H25" s="32">
        <f>'[36]MANUTENÇÃO PREV'!AM104</f>
        <v>0</v>
      </c>
      <c r="I25" s="61">
        <f t="shared" si="3"/>
        <v>0</v>
      </c>
      <c r="J25" s="31">
        <f t="shared" si="0"/>
        <v>0</v>
      </c>
      <c r="K25" s="31">
        <f t="shared" si="1"/>
        <v>0</v>
      </c>
      <c r="L25" s="31">
        <f t="shared" si="2"/>
        <v>0</v>
      </c>
      <c r="M25" s="30">
        <f>I25/(7*22)</f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9.599999999999994" hidden="1" x14ac:dyDescent="0.35">
      <c r="A26" s="20"/>
      <c r="B26" s="20"/>
      <c r="C26" s="26" t="s">
        <v>42</v>
      </c>
      <c r="D26" s="27" t="s">
        <v>43</v>
      </c>
      <c r="E26" s="46" t="s">
        <v>44</v>
      </c>
      <c r="F26" s="32">
        <f>'[36]MANUTENÇÃO PREV'!AM30</f>
        <v>0</v>
      </c>
      <c r="G26" s="32">
        <f>'[36]MANUTENÇÃO PREV'!AM68</f>
        <v>0</v>
      </c>
      <c r="H26" s="32">
        <f>'[36]MANUTENÇÃO PREV'!AM105</f>
        <v>0</v>
      </c>
      <c r="I26" s="30">
        <f t="shared" si="3"/>
        <v>0</v>
      </c>
      <c r="J26" s="31">
        <f t="shared" si="0"/>
        <v>0</v>
      </c>
      <c r="K26" s="31">
        <f t="shared" si="1"/>
        <v>0</v>
      </c>
      <c r="L26" s="31">
        <f t="shared" si="2"/>
        <v>0</v>
      </c>
      <c r="M26" s="30">
        <f>I26/(7*22)</f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04.4" hidden="1" x14ac:dyDescent="0.35">
      <c r="A27" s="20"/>
      <c r="B27" s="20"/>
      <c r="C27" s="26" t="s">
        <v>76</v>
      </c>
      <c r="D27" s="27" t="s">
        <v>77</v>
      </c>
      <c r="E27" s="46" t="s">
        <v>44</v>
      </c>
      <c r="F27" s="32">
        <f>'[36]MANUTENÇÃO PREV'!AM31</f>
        <v>0</v>
      </c>
      <c r="G27" s="32">
        <f>'[36]MANUTENÇÃO PREV'!AM69</f>
        <v>0</v>
      </c>
      <c r="H27" s="32">
        <f>'[36]MANUTENÇÃO PREV'!AM106</f>
        <v>0</v>
      </c>
      <c r="I27" s="30">
        <f t="shared" si="3"/>
        <v>0</v>
      </c>
      <c r="J27" s="31">
        <f t="shared" si="0"/>
        <v>0</v>
      </c>
      <c r="K27" s="31">
        <f t="shared" si="1"/>
        <v>0</v>
      </c>
      <c r="L27" s="31">
        <f t="shared" si="2"/>
        <v>0</v>
      </c>
      <c r="M27" s="30">
        <f>I27/(7*22)</f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69.599999999999994" hidden="1" x14ac:dyDescent="0.35">
      <c r="A28" s="20"/>
      <c r="B28" s="20"/>
      <c r="C28" s="26" t="s">
        <v>45</v>
      </c>
      <c r="D28" s="27" t="s">
        <v>46</v>
      </c>
      <c r="E28" s="46" t="s">
        <v>44</v>
      </c>
      <c r="F28" s="32">
        <f>'[36]MANUTENÇÃO PREV'!AM32</f>
        <v>0</v>
      </c>
      <c r="G28" s="32">
        <f>'[36]MANUTENÇÃO PREV'!AM70</f>
        <v>0</v>
      </c>
      <c r="H28" s="32">
        <f>'[36]MANUTENÇÃO PREV'!AM107</f>
        <v>0</v>
      </c>
      <c r="I28" s="30">
        <f t="shared" si="3"/>
        <v>0</v>
      </c>
      <c r="J28" s="31">
        <f t="shared" si="0"/>
        <v>0</v>
      </c>
      <c r="K28" s="31">
        <f t="shared" si="1"/>
        <v>0</v>
      </c>
      <c r="L28" s="31">
        <f t="shared" si="2"/>
        <v>0</v>
      </c>
      <c r="M28" s="30">
        <f>I28/(7*22)</f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34.799999999999997" hidden="1" x14ac:dyDescent="0.35">
      <c r="A29" s="20"/>
      <c r="B29" s="20"/>
      <c r="C29" s="26" t="s">
        <v>78</v>
      </c>
      <c r="D29" s="27" t="s">
        <v>79</v>
      </c>
      <c r="E29" s="46" t="s">
        <v>80</v>
      </c>
      <c r="F29" s="32">
        <f>'[36]MANUTENÇÃO PREV'!AM33</f>
        <v>0</v>
      </c>
      <c r="G29" s="32">
        <f>'[36]MANUTENÇÃO PREV'!AM71</f>
        <v>0</v>
      </c>
      <c r="H29" s="32">
        <f>'[36]MANUTENÇÃO PREV'!AM108</f>
        <v>0</v>
      </c>
      <c r="I29" s="30">
        <f t="shared" si="3"/>
        <v>0</v>
      </c>
      <c r="J29" s="31">
        <f t="shared" si="0"/>
        <v>0</v>
      </c>
      <c r="K29" s="31">
        <f t="shared" si="1"/>
        <v>0</v>
      </c>
      <c r="L29" s="31">
        <f t="shared" si="2"/>
        <v>0</v>
      </c>
      <c r="M29" s="30">
        <f>I29/(7*22)</f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52.2" x14ac:dyDescent="0.35">
      <c r="A30" s="20"/>
      <c r="B30" s="20"/>
      <c r="C30" s="26" t="s">
        <v>81</v>
      </c>
      <c r="D30" s="27" t="s">
        <v>82</v>
      </c>
      <c r="E30" s="46" t="s">
        <v>39</v>
      </c>
      <c r="F30" s="32">
        <f>'[36]MANUTENÇÃO PREV'!AM34</f>
        <v>0.25</v>
      </c>
      <c r="G30" s="32">
        <f>'[36]MANUTENÇÃO PREV'!AM72</f>
        <v>0.36</v>
      </c>
      <c r="H30" s="32">
        <f>'[36]MANUTENÇÃO PREV'!AM109</f>
        <v>0</v>
      </c>
      <c r="I30" s="30">
        <f t="shared" si="3"/>
        <v>0.61</v>
      </c>
      <c r="J30" s="31">
        <f t="shared" si="0"/>
        <v>1.7857142857142857E-3</v>
      </c>
      <c r="K30" s="31">
        <f t="shared" si="1"/>
        <v>2.5714285714285713E-3</v>
      </c>
      <c r="L30" s="31">
        <f t="shared" si="2"/>
        <v>0</v>
      </c>
      <c r="M30" s="30">
        <f>I30/(7*18)</f>
        <v>4.8412698412698416E-3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52.2" hidden="1" x14ac:dyDescent="0.35">
      <c r="A31" s="20"/>
      <c r="B31" s="20"/>
      <c r="C31" s="26" t="s">
        <v>83</v>
      </c>
      <c r="D31" s="27" t="s">
        <v>84</v>
      </c>
      <c r="E31" s="46" t="s">
        <v>44</v>
      </c>
      <c r="F31" s="32">
        <f>'[36]MANUTENÇÃO PREV'!AM35</f>
        <v>0</v>
      </c>
      <c r="G31" s="32">
        <f>'[36]MANUTENÇÃO PREV'!AM73</f>
        <v>0</v>
      </c>
      <c r="H31" s="32">
        <f>'[36]MANUTENÇÃO PREV'!AM110</f>
        <v>0</v>
      </c>
      <c r="I31" s="30">
        <f t="shared" si="3"/>
        <v>0</v>
      </c>
      <c r="J31" s="31">
        <f t="shared" si="0"/>
        <v>0</v>
      </c>
      <c r="K31" s="31">
        <f t="shared" si="1"/>
        <v>0</v>
      </c>
      <c r="L31" s="31">
        <f t="shared" si="2"/>
        <v>0</v>
      </c>
      <c r="M31" s="30">
        <f>I31/(7*22)</f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" x14ac:dyDescent="0.35">
      <c r="A32" s="20"/>
      <c r="B32" s="20"/>
      <c r="C32" s="47" t="s">
        <v>47</v>
      </c>
      <c r="D32" s="48" t="s">
        <v>48</v>
      </c>
      <c r="E32" s="46" t="s">
        <v>44</v>
      </c>
      <c r="F32" s="49">
        <f>SUM(F33:F38)</f>
        <v>252</v>
      </c>
      <c r="G32" s="49">
        <f t="shared" ref="G32:H32" si="4">SUM(G33:G38)</f>
        <v>366</v>
      </c>
      <c r="H32" s="49">
        <f t="shared" si="4"/>
        <v>515.28</v>
      </c>
      <c r="I32" s="30">
        <f t="shared" si="3"/>
        <v>1133.28</v>
      </c>
      <c r="J32" s="31">
        <f>F32</f>
        <v>252</v>
      </c>
      <c r="K32" s="31">
        <f>G32</f>
        <v>366</v>
      </c>
      <c r="L32" s="31">
        <f>H32</f>
        <v>515.28</v>
      </c>
      <c r="M32" s="30">
        <f>I32/(7*18)</f>
        <v>8.9942857142857147</v>
      </c>
      <c r="N32" s="3"/>
      <c r="O32" s="3"/>
      <c r="P32" s="3"/>
      <c r="Q32" s="3"/>
      <c r="R32" s="3"/>
      <c r="S32" s="3"/>
      <c r="T32" s="3"/>
    </row>
    <row r="33" spans="1:21" ht="18" x14ac:dyDescent="0.35">
      <c r="A33" s="20"/>
      <c r="B33" s="20"/>
      <c r="C33" s="39" t="s">
        <v>49</v>
      </c>
      <c r="D33" s="27" t="s">
        <v>50</v>
      </c>
      <c r="E33" s="46" t="s">
        <v>51</v>
      </c>
      <c r="F33" s="32">
        <f>'[36]MANUTENÇÃO PREV'!AM36</f>
        <v>18</v>
      </c>
      <c r="G33" s="50">
        <f>'[36]MANUTENÇÃO PREV'!AM74</f>
        <v>27</v>
      </c>
      <c r="H33" s="50">
        <f>'[36]MANUTENÇÃO PREV'!AM111</f>
        <v>35.83</v>
      </c>
      <c r="I33" s="30">
        <f t="shared" si="3"/>
        <v>80.83</v>
      </c>
      <c r="J33" s="51">
        <f>SUM(J10:J30)</f>
        <v>302.84742857142851</v>
      </c>
      <c r="K33" s="51">
        <f t="shared" ref="K33:L33" si="5">SUM(K10:K30)</f>
        <v>258.24137142857137</v>
      </c>
      <c r="L33" s="51">
        <f t="shared" si="5"/>
        <v>153.76585714285713</v>
      </c>
      <c r="M33" s="3"/>
      <c r="N33" s="3"/>
      <c r="O33" s="3"/>
      <c r="P33" s="3"/>
      <c r="Q33" s="3"/>
      <c r="R33" s="3"/>
      <c r="S33" s="3"/>
      <c r="T33" s="3"/>
    </row>
    <row r="34" spans="1:21" ht="23.4" customHeight="1" x14ac:dyDescent="0.35">
      <c r="A34" s="20"/>
      <c r="B34" s="20"/>
      <c r="C34" s="39" t="s">
        <v>52</v>
      </c>
      <c r="D34" s="27" t="s">
        <v>53</v>
      </c>
      <c r="E34" s="46" t="s">
        <v>51</v>
      </c>
      <c r="F34" s="32">
        <f>'[36]MANUTENÇÃO PREV'!AM37</f>
        <v>18</v>
      </c>
      <c r="G34" s="50">
        <f>'[36]MANUTENÇÃO PREV'!AM75</f>
        <v>27</v>
      </c>
      <c r="H34" s="50">
        <f>'[36]MANUTENÇÃO PREV'!AM112</f>
        <v>35.83</v>
      </c>
      <c r="I34" s="30">
        <f t="shared" si="3"/>
        <v>80.83</v>
      </c>
      <c r="L34" s="3"/>
      <c r="M34" s="3"/>
      <c r="N34" s="3"/>
      <c r="O34" s="3"/>
      <c r="P34" s="3"/>
      <c r="Q34" s="3"/>
      <c r="R34" s="3"/>
      <c r="S34" s="3"/>
      <c r="T34" s="3"/>
    </row>
    <row r="35" spans="1:21" ht="18" x14ac:dyDescent="0.35">
      <c r="A35" s="20"/>
      <c r="B35" s="20"/>
      <c r="C35" s="39" t="s">
        <v>54</v>
      </c>
      <c r="D35" s="27" t="s">
        <v>55</v>
      </c>
      <c r="E35" s="46" t="s">
        <v>51</v>
      </c>
      <c r="F35" s="32">
        <f>'[36]MANUTENÇÃO PREV'!AM38</f>
        <v>18</v>
      </c>
      <c r="G35" s="50">
        <f>'[36]MANUTENÇÃO PREV'!AM76</f>
        <v>27</v>
      </c>
      <c r="H35" s="50">
        <f>'[36]MANUTENÇÃO PREV'!AM113</f>
        <v>35.83</v>
      </c>
      <c r="I35" s="30">
        <f t="shared" si="3"/>
        <v>80.83</v>
      </c>
      <c r="L35" s="3"/>
      <c r="M35" s="3"/>
      <c r="N35" s="3"/>
      <c r="O35" s="3"/>
      <c r="P35" s="3"/>
      <c r="Q35" s="3"/>
      <c r="R35" s="3"/>
      <c r="S35" s="3"/>
      <c r="T35" s="3"/>
    </row>
    <row r="36" spans="1:21" ht="18" x14ac:dyDescent="0.35">
      <c r="A36" s="20"/>
      <c r="B36" s="20"/>
      <c r="C36" s="39" t="s">
        <v>56</v>
      </c>
      <c r="D36" s="27" t="s">
        <v>57</v>
      </c>
      <c r="E36" s="46" t="s">
        <v>51</v>
      </c>
      <c r="F36" s="32">
        <f>'[36]MANUTENÇÃO PREV'!AM39</f>
        <v>18</v>
      </c>
      <c r="G36" s="50">
        <f>'[36]MANUTENÇÃO PREV'!AM77</f>
        <v>24</v>
      </c>
      <c r="H36" s="50">
        <f>'[36]MANUTENÇÃO PREV'!AM114</f>
        <v>35.83</v>
      </c>
      <c r="I36" s="30">
        <f t="shared" si="3"/>
        <v>77.83</v>
      </c>
      <c r="L36" s="3"/>
      <c r="M36" s="3"/>
      <c r="N36" s="3"/>
      <c r="O36" s="3"/>
      <c r="P36" s="3"/>
      <c r="Q36" s="3"/>
      <c r="R36" s="3"/>
      <c r="S36" s="3"/>
      <c r="T36" s="3"/>
    </row>
    <row r="37" spans="1:21" ht="18" x14ac:dyDescent="0.35">
      <c r="A37" s="20"/>
      <c r="B37" s="20"/>
      <c r="C37" s="39" t="s">
        <v>58</v>
      </c>
      <c r="D37" s="27" t="s">
        <v>59</v>
      </c>
      <c r="E37" s="46" t="s">
        <v>51</v>
      </c>
      <c r="F37" s="32">
        <f>'[36]MANUTENÇÃO PREV'!AM40</f>
        <v>162</v>
      </c>
      <c r="G37" s="50">
        <f>'[36]MANUTENÇÃO PREV'!AM78</f>
        <v>237</v>
      </c>
      <c r="H37" s="50">
        <f>'[36]MANUTENÇÃO PREV'!AM115</f>
        <v>336.13</v>
      </c>
      <c r="I37" s="30">
        <f t="shared" si="3"/>
        <v>735.13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8" x14ac:dyDescent="0.35">
      <c r="A38" s="20"/>
      <c r="B38" s="20"/>
      <c r="C38" s="39" t="s">
        <v>60</v>
      </c>
      <c r="D38" s="27" t="s">
        <v>61</v>
      </c>
      <c r="E38" s="46" t="s">
        <v>51</v>
      </c>
      <c r="F38" s="32">
        <f>'[36]MANUTENÇÃO PREV'!AM41</f>
        <v>18</v>
      </c>
      <c r="G38" s="50">
        <f>'[36]MANUTENÇÃO PREV'!AM79</f>
        <v>24</v>
      </c>
      <c r="H38" s="50">
        <f>'[36]MANUTENÇÃO PREV'!AM116</f>
        <v>35.83</v>
      </c>
      <c r="I38" s="30">
        <f t="shared" si="3"/>
        <v>77.83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 customHeight="1" x14ac:dyDescent="0.3">
      <c r="A39" s="20"/>
      <c r="B39" s="20"/>
      <c r="C39" s="83" t="s">
        <v>24</v>
      </c>
      <c r="D39" s="84"/>
      <c r="E39" s="84"/>
      <c r="F39" s="84"/>
      <c r="G39" s="84"/>
      <c r="H39" s="84"/>
      <c r="I39" s="8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8" customHeight="1" thickBot="1" x14ac:dyDescent="0.35">
      <c r="A40" s="20"/>
      <c r="B40" s="20"/>
      <c r="C40" s="85" t="s">
        <v>62</v>
      </c>
      <c r="D40" s="86"/>
      <c r="E40" s="86"/>
      <c r="F40" s="86"/>
      <c r="G40" s="86"/>
      <c r="H40" s="86"/>
      <c r="I40" s="86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" customHeight="1" x14ac:dyDescent="0.3">
      <c r="A41" s="87"/>
      <c r="B41" s="87"/>
      <c r="C41" s="52"/>
      <c r="D41" s="3"/>
      <c r="E41" s="3"/>
      <c r="F41" s="3"/>
      <c r="G41" s="3"/>
      <c r="H41" s="3"/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4.4" customHeight="1" x14ac:dyDescent="0.3"/>
    <row r="43" spans="1:21" x14ac:dyDescent="0.3">
      <c r="C43" s="53"/>
    </row>
    <row r="44" spans="1:21" x14ac:dyDescent="0.3">
      <c r="C44" s="53"/>
      <c r="D44" s="53"/>
      <c r="E44" s="54"/>
      <c r="F44" s="55"/>
      <c r="G44" s="55"/>
      <c r="H44" s="55"/>
      <c r="I44" s="55"/>
    </row>
    <row r="45" spans="1:21" x14ac:dyDescent="0.3">
      <c r="C45" s="53"/>
      <c r="D45" s="53"/>
      <c r="E45" s="54"/>
      <c r="F45" s="56"/>
      <c r="G45" s="56"/>
      <c r="H45" s="56"/>
      <c r="I45" s="56"/>
    </row>
    <row r="46" spans="1:21" x14ac:dyDescent="0.3">
      <c r="C46" s="53"/>
      <c r="D46" s="53"/>
      <c r="E46" s="54"/>
      <c r="F46" s="56"/>
      <c r="G46" s="56"/>
      <c r="H46" s="56"/>
      <c r="I46" s="56"/>
    </row>
    <row r="47" spans="1:21" x14ac:dyDescent="0.3">
      <c r="C47" s="53"/>
      <c r="D47" s="53"/>
      <c r="E47" s="54"/>
      <c r="F47" s="56"/>
      <c r="G47" s="56"/>
      <c r="H47" s="56"/>
      <c r="I47" s="56"/>
    </row>
    <row r="48" spans="1:21" x14ac:dyDescent="0.3">
      <c r="C48" s="53"/>
      <c r="D48" s="53"/>
      <c r="E48" s="54"/>
      <c r="F48" s="56"/>
      <c r="G48" s="56"/>
      <c r="H48" s="56"/>
      <c r="I48" s="56"/>
    </row>
    <row r="49" spans="3:9" x14ac:dyDescent="0.3">
      <c r="C49" s="53"/>
      <c r="D49" s="53"/>
      <c r="E49" s="54"/>
      <c r="F49" s="56"/>
      <c r="G49" s="56"/>
      <c r="H49" s="56"/>
      <c r="I49" s="56"/>
    </row>
    <row r="50" spans="3:9" x14ac:dyDescent="0.3">
      <c r="F50" s="56"/>
      <c r="G50" s="56"/>
      <c r="H50" s="56"/>
      <c r="I50" s="56"/>
    </row>
    <row r="58" spans="3:9" x14ac:dyDescent="0.3">
      <c r="C58" s="53"/>
      <c r="D58" s="57"/>
      <c r="E58" s="54"/>
    </row>
    <row r="59" spans="3:9" x14ac:dyDescent="0.3">
      <c r="C59" s="53"/>
      <c r="D59" s="57"/>
      <c r="E59" s="54"/>
    </row>
  </sheetData>
  <autoFilter ref="C9:I40" xr:uid="{EC2798EB-1FE4-4B48-979C-561CE544CED1}">
    <filterColumn colId="6">
      <filters blank="1">
        <filter val="0,61"/>
        <filter val="1.007,28"/>
        <filter val="113,28"/>
        <filter val="181,80"/>
        <filter val="2,33"/>
        <filter val="2.323,40"/>
        <filter val="2.406,80"/>
        <filter val="4.014,50"/>
        <filter val="57,40"/>
        <filter val="654,13"/>
        <filter val="68,83"/>
        <filter val="71,83"/>
        <filter val="90.979,53"/>
      </filters>
    </filterColumn>
  </autoFilter>
  <mergeCells count="14">
    <mergeCell ref="C39:I39"/>
    <mergeCell ref="C40:I40"/>
    <mergeCell ref="A41:B41"/>
    <mergeCell ref="O6:Q6"/>
    <mergeCell ref="S6:T6"/>
    <mergeCell ref="V6:Y6"/>
    <mergeCell ref="C8:I8"/>
    <mergeCell ref="J8:M8"/>
    <mergeCell ref="O2:Q2"/>
    <mergeCell ref="S2:T2"/>
    <mergeCell ref="V2:Y2"/>
    <mergeCell ref="O3:Q3"/>
    <mergeCell ref="S3:T3"/>
    <mergeCell ref="V3:Y3"/>
  </mergeCells>
  <pageMargins left="0.51181102362204722" right="0.31496062992125984" top="0.39370078740157483" bottom="0.39370078740157483" header="0.31496062992125984" footer="0.31496062992125984"/>
  <pageSetup paperSize="9" scale="28" fitToHeight="0" orientation="landscape" horizontalDpi="300" verticalDpi="300" r:id="rId1"/>
  <headerFooter>
    <oddFooter>&amp;LBanco de Dados Civil - Equipes Corretivas e Preventivas&amp;RPágina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B00F-73D9-4466-9EF0-A349D81BA1E9}">
  <sheetPr filterMode="1">
    <tabColor theme="9"/>
    <pageSetUpPr fitToPage="1"/>
  </sheetPr>
  <dimension ref="A1:AD59"/>
  <sheetViews>
    <sheetView zoomScale="73" zoomScaleNormal="85" zoomScaleSheetLayoutView="80" workbookViewId="0">
      <selection activeCell="H18" sqref="H18"/>
    </sheetView>
  </sheetViews>
  <sheetFormatPr defaultRowHeight="14.4" x14ac:dyDescent="0.3"/>
  <cols>
    <col min="1" max="1" width="12.44140625" customWidth="1"/>
    <col min="2" max="2" width="17.109375" customWidth="1"/>
    <col min="3" max="3" width="8.77734375" bestFit="1" customWidth="1"/>
    <col min="4" max="4" width="52" customWidth="1"/>
    <col min="5" max="5" width="9.44140625" customWidth="1"/>
    <col min="6" max="6" width="13.6640625" customWidth="1"/>
    <col min="7" max="7" width="15" customWidth="1"/>
    <col min="8" max="8" width="14.77734375" bestFit="1" customWidth="1"/>
    <col min="9" max="9" width="14.5546875" bestFit="1" customWidth="1"/>
    <col min="10" max="11" width="12" bestFit="1" customWidth="1"/>
    <col min="12" max="12" width="12.44140625" bestFit="1" customWidth="1"/>
    <col min="13" max="13" width="12.5546875" bestFit="1" customWidth="1"/>
    <col min="14" max="14" width="14.109375" bestFit="1" customWidth="1"/>
    <col min="15" max="15" width="9.109375" customWidth="1"/>
    <col min="16" max="17" width="15.21875" bestFit="1" customWidth="1"/>
    <col min="18" max="18" width="14.33203125" bestFit="1" customWidth="1"/>
    <col min="19" max="19" width="39.21875" customWidth="1"/>
    <col min="20" max="20" width="18.6640625" customWidth="1"/>
    <col min="21" max="21" width="14.33203125" bestFit="1" customWidth="1"/>
    <col min="22" max="24" width="14.44140625" bestFit="1" customWidth="1"/>
    <col min="25" max="26" width="14.33203125" bestFit="1" customWidth="1"/>
    <col min="27" max="27" width="14.88671875" customWidth="1"/>
    <col min="29" max="29" width="9.5546875" bestFit="1" customWidth="1"/>
    <col min="30" max="30" width="14.33203125" bestFit="1" customWidth="1"/>
    <col min="31" max="31" width="9.5546875" bestFit="1" customWidth="1"/>
    <col min="39" max="39" width="12.21875" customWidth="1"/>
    <col min="40" max="40" width="13.44140625" customWidth="1"/>
    <col min="42" max="43" width="9.5546875" bestFit="1" customWidth="1"/>
    <col min="44" max="44" width="10.6640625" bestFit="1" customWidth="1"/>
    <col min="45" max="45" width="9.5546875" bestFit="1" customWidth="1"/>
  </cols>
  <sheetData>
    <row r="1" spans="1:30" ht="1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C1" s="3">
        <v>284.74038961038957</v>
      </c>
      <c r="AD1" s="4">
        <v>218265.2065</v>
      </c>
    </row>
    <row r="2" spans="1:30" ht="15" thickBot="1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3" t="s">
        <v>2</v>
      </c>
      <c r="P2" s="74"/>
      <c r="Q2" s="75"/>
      <c r="S2" s="76" t="s">
        <v>3</v>
      </c>
      <c r="T2" s="77"/>
      <c r="V2" s="73" t="s">
        <v>4</v>
      </c>
      <c r="W2" s="74"/>
      <c r="X2" s="74"/>
      <c r="Y2" s="75"/>
      <c r="Z2" s="6"/>
      <c r="AA2" s="6"/>
      <c r="AC2" s="3">
        <v>154.41802092352094</v>
      </c>
      <c r="AD2" s="4">
        <v>107801.71625</v>
      </c>
    </row>
    <row r="3" spans="1:30" ht="15" thickBot="1" x14ac:dyDescent="0.35">
      <c r="A3" s="7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8" t="s">
        <v>6</v>
      </c>
      <c r="P3" s="79"/>
      <c r="Q3" s="80"/>
      <c r="S3" s="81" t="s">
        <v>6</v>
      </c>
      <c r="T3" s="82"/>
      <c r="V3" s="78" t="s">
        <v>6</v>
      </c>
      <c r="W3" s="79"/>
      <c r="X3" s="79"/>
      <c r="Y3" s="80"/>
      <c r="Z3" s="6"/>
      <c r="AA3" s="6"/>
      <c r="AC3" s="3">
        <v>114.41688311688313</v>
      </c>
      <c r="AD3" s="4">
        <v>83329.102500000008</v>
      </c>
    </row>
    <row r="4" spans="1:30" ht="18" customHeight="1" thickBot="1" x14ac:dyDescent="0.35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 t="s">
        <v>8</v>
      </c>
      <c r="P4" s="10" t="s">
        <v>9</v>
      </c>
      <c r="Q4" s="10" t="s">
        <v>10</v>
      </c>
      <c r="S4" s="11" t="s">
        <v>8</v>
      </c>
      <c r="T4" s="12" t="s">
        <v>10</v>
      </c>
      <c r="V4" s="10" t="s">
        <v>8</v>
      </c>
      <c r="W4" s="10" t="s">
        <v>9</v>
      </c>
      <c r="X4" s="10" t="s">
        <v>10</v>
      </c>
      <c r="Y4" s="10" t="s">
        <v>11</v>
      </c>
      <c r="Z4" s="9"/>
      <c r="AA4" s="9"/>
    </row>
    <row r="5" spans="1:30" ht="38.4" customHeight="1" thickBot="1" x14ac:dyDescent="0.35">
      <c r="A5" s="7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3">
        <v>14.87</v>
      </c>
      <c r="P5" s="13">
        <v>0.22</v>
      </c>
      <c r="Q5" s="13">
        <v>59.87</v>
      </c>
      <c r="S5" s="14">
        <v>9.8148148148148167</v>
      </c>
      <c r="T5" s="15">
        <v>24.084027777777777</v>
      </c>
      <c r="V5" s="16">
        <v>1.6666666666666667</v>
      </c>
      <c r="W5" s="16">
        <v>8.8095238095238101E-2</v>
      </c>
      <c r="X5" s="16">
        <v>20.613425925925927</v>
      </c>
      <c r="Y5" s="16">
        <v>3.6111111111111112</v>
      </c>
      <c r="Z5" s="6"/>
      <c r="AA5" s="6"/>
    </row>
    <row r="6" spans="1:30" ht="15" customHeight="1" thickBot="1" x14ac:dyDescent="0.35">
      <c r="A6" s="1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4" t="s">
        <v>13</v>
      </c>
      <c r="P6" s="65"/>
      <c r="Q6" s="66"/>
      <c r="S6" s="88" t="s">
        <v>14</v>
      </c>
      <c r="T6" s="89"/>
      <c r="V6" s="64" t="s">
        <v>15</v>
      </c>
      <c r="W6" s="65"/>
      <c r="X6" s="65"/>
      <c r="Y6" s="66"/>
      <c r="Z6" s="3"/>
      <c r="AA6" s="3"/>
    </row>
    <row r="7" spans="1:30" ht="14.4" customHeight="1" thickBot="1" x14ac:dyDescent="0.7">
      <c r="A7" s="3"/>
      <c r="B7" s="3"/>
      <c r="D7" s="18"/>
      <c r="E7" s="18"/>
      <c r="F7" s="18"/>
      <c r="G7" s="18"/>
      <c r="H7" s="18"/>
      <c r="I7" s="18"/>
      <c r="J7" s="3"/>
      <c r="K7" s="3"/>
      <c r="L7" s="3"/>
      <c r="M7" s="3"/>
      <c r="N7" s="3"/>
      <c r="O7" s="3"/>
      <c r="P7" s="19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30" ht="39" customHeight="1" thickBot="1" x14ac:dyDescent="0.7">
      <c r="A8" s="20"/>
      <c r="B8" s="20"/>
      <c r="C8" s="67" t="s">
        <v>16</v>
      </c>
      <c r="D8" s="68"/>
      <c r="E8" s="68"/>
      <c r="F8" s="68"/>
      <c r="G8" s="68"/>
      <c r="H8" s="68"/>
      <c r="I8" s="69"/>
      <c r="J8" s="70" t="s">
        <v>17</v>
      </c>
      <c r="K8" s="71"/>
      <c r="L8" s="71"/>
      <c r="M8" s="7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0" ht="27" customHeight="1" x14ac:dyDescent="0.35">
      <c r="A9" s="20"/>
      <c r="B9" s="20"/>
      <c r="C9" s="21" t="s">
        <v>18</v>
      </c>
      <c r="D9" s="22" t="s">
        <v>19</v>
      </c>
      <c r="E9" s="23" t="s">
        <v>20</v>
      </c>
      <c r="F9" s="24" t="s">
        <v>21</v>
      </c>
      <c r="G9" s="24" t="s">
        <v>22</v>
      </c>
      <c r="H9" s="24" t="s">
        <v>23</v>
      </c>
      <c r="I9" s="23" t="s">
        <v>24</v>
      </c>
      <c r="J9" s="24" t="s">
        <v>21</v>
      </c>
      <c r="K9" s="24" t="s">
        <v>22</v>
      </c>
      <c r="L9" s="24" t="s">
        <v>23</v>
      </c>
      <c r="M9" s="23" t="s">
        <v>24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0" ht="18" x14ac:dyDescent="0.35">
      <c r="A10" s="25"/>
      <c r="B10" s="25"/>
      <c r="C10" s="26" t="s">
        <v>25</v>
      </c>
      <c r="D10" s="27" t="s">
        <v>26</v>
      </c>
      <c r="E10" s="28" t="s">
        <v>27</v>
      </c>
      <c r="F10" s="29">
        <f>'[37]MANUTENÇÃO PREV'!AM14</f>
        <v>0</v>
      </c>
      <c r="G10" s="29">
        <f>'[37]MANUTENÇÃO PREV'!AM52</f>
        <v>1.7018</v>
      </c>
      <c r="H10" s="29">
        <f>'[37]MANUTENÇÃO PREV'!AM89</f>
        <v>0</v>
      </c>
      <c r="I10" s="30">
        <f>SUM(F10:H10)</f>
        <v>1.7018</v>
      </c>
      <c r="J10" s="31">
        <f>F10/(7*9)</f>
        <v>0</v>
      </c>
      <c r="K10" s="31">
        <f>G10/(7*10)</f>
        <v>2.4311428571428571E-2</v>
      </c>
      <c r="L10" s="31">
        <f>H10/(7*11)</f>
        <v>0</v>
      </c>
      <c r="M10" s="30">
        <f>I10/(7*18)</f>
        <v>1.3506349206349206E-2</v>
      </c>
    </row>
    <row r="11" spans="1:30" ht="19.8" hidden="1" customHeight="1" x14ac:dyDescent="0.35">
      <c r="A11" s="25"/>
      <c r="B11" s="25"/>
      <c r="C11" s="26" t="s">
        <v>9</v>
      </c>
      <c r="D11" s="27" t="s">
        <v>28</v>
      </c>
      <c r="E11" s="28" t="s">
        <v>27</v>
      </c>
      <c r="F11" s="32">
        <f>'[37]MANUTENÇÃO PREV'!AM15</f>
        <v>0</v>
      </c>
      <c r="G11" s="32">
        <f>'[37]MANUTENÇÃO PREV'!AM53</f>
        <v>0</v>
      </c>
      <c r="H11" s="32">
        <f>'[37]MANUTENÇÃO PREV'!AM90</f>
        <v>0</v>
      </c>
      <c r="I11" s="30">
        <f t="shared" ref="I11:I38" si="0">SUM(F11:H11)</f>
        <v>0</v>
      </c>
      <c r="J11" s="31">
        <f>F11/(7*20)</f>
        <v>0</v>
      </c>
      <c r="K11" s="31">
        <f>G11/(7*20)</f>
        <v>0</v>
      </c>
      <c r="L11" s="31">
        <f>H11/(7*20)</f>
        <v>0</v>
      </c>
      <c r="M11" s="30">
        <f>I11/(9*2)</f>
        <v>0</v>
      </c>
    </row>
    <row r="12" spans="1:30" ht="34.799999999999997" x14ac:dyDescent="0.35">
      <c r="A12" s="25"/>
      <c r="B12" s="25"/>
      <c r="C12" s="26" t="s">
        <v>8</v>
      </c>
      <c r="D12" s="62" t="s">
        <v>29</v>
      </c>
      <c r="E12" s="63" t="s">
        <v>30</v>
      </c>
      <c r="F12" s="29">
        <f>'[37]MANUTENÇÃO PREV'!AM16</f>
        <v>1391.6</v>
      </c>
      <c r="G12" s="29">
        <f>'[37]MANUTENÇÃO PREV'!AM54</f>
        <v>2810.9</v>
      </c>
      <c r="H12" s="29">
        <f>'[37]MANUTENÇÃO PREV'!AM91</f>
        <v>2004</v>
      </c>
      <c r="I12" s="43">
        <f t="shared" si="0"/>
        <v>6206.5</v>
      </c>
      <c r="J12" s="31">
        <f>F12/(7*9)</f>
        <v>22.088888888888889</v>
      </c>
      <c r="K12" s="31">
        <f>G12/(7*10)</f>
        <v>40.155714285714289</v>
      </c>
      <c r="L12" s="31">
        <f>H12/(7*11)</f>
        <v>26.025974025974026</v>
      </c>
      <c r="M12" s="30">
        <f>I12/(7*18)</f>
        <v>49.257936507936506</v>
      </c>
    </row>
    <row r="13" spans="1:30" ht="34.799999999999997" x14ac:dyDescent="0.35">
      <c r="A13" s="20"/>
      <c r="B13" s="20"/>
      <c r="C13" s="26" t="s">
        <v>31</v>
      </c>
      <c r="D13" s="27" t="s">
        <v>32</v>
      </c>
      <c r="E13" s="28" t="s">
        <v>30</v>
      </c>
      <c r="F13" s="29">
        <f>'[37]MANUTENÇÃO PREV'!AM17</f>
        <v>1352.8</v>
      </c>
      <c r="G13" s="29">
        <f>'[37]MANUTENÇÃO PREV'!AM55</f>
        <v>422.6</v>
      </c>
      <c r="H13" s="29">
        <f>'[37]MANUTENÇÃO PREV'!AM92</f>
        <v>0</v>
      </c>
      <c r="I13" s="30">
        <f t="shared" si="0"/>
        <v>1775.4</v>
      </c>
      <c r="J13" s="31">
        <f>F13/(7*9)</f>
        <v>21.473015873015871</v>
      </c>
      <c r="K13" s="31">
        <f>G13/(7*10)</f>
        <v>6.0371428571428574</v>
      </c>
      <c r="L13" s="31">
        <f>H13/(7*11)</f>
        <v>0</v>
      </c>
      <c r="M13" s="30">
        <f>I13/(7*18)</f>
        <v>14.090476190476192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0" ht="34.799999999999997" x14ac:dyDescent="0.35">
      <c r="A14" s="20"/>
      <c r="B14" s="20"/>
      <c r="C14" s="39" t="s">
        <v>33</v>
      </c>
      <c r="D14" s="62" t="s">
        <v>34</v>
      </c>
      <c r="E14" s="63" t="s">
        <v>30</v>
      </c>
      <c r="F14" s="29">
        <f>'[37]MANUTENÇÃO PREV'!AM18</f>
        <v>1489.5</v>
      </c>
      <c r="G14" s="29">
        <f>'[37]MANUTENÇÃO PREV'!AM56</f>
        <v>2453.8000000000002</v>
      </c>
      <c r="H14" s="29">
        <f>'[37]MANUTENÇÃO PREV'!AM93</f>
        <v>0</v>
      </c>
      <c r="I14" s="43">
        <f t="shared" si="0"/>
        <v>3943.3</v>
      </c>
      <c r="J14" s="31">
        <f>F14/(7*9)</f>
        <v>23.642857142857142</v>
      </c>
      <c r="K14" s="31">
        <f>G14/(7*10)</f>
        <v>35.054285714285719</v>
      </c>
      <c r="L14" s="31">
        <f>H14/(7*11)</f>
        <v>0</v>
      </c>
      <c r="M14" s="30">
        <f>I14/(7*18)</f>
        <v>31.296031746031748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0" ht="52.2" hidden="1" x14ac:dyDescent="0.35">
      <c r="A15" s="20"/>
      <c r="B15" s="20"/>
      <c r="C15" s="26" t="s">
        <v>63</v>
      </c>
      <c r="D15" s="27" t="s">
        <v>64</v>
      </c>
      <c r="E15" s="28" t="s">
        <v>27</v>
      </c>
      <c r="F15" s="32">
        <f>'[37]MANUTENÇÃO PREV'!AM19</f>
        <v>0</v>
      </c>
      <c r="G15" s="32">
        <f>'[37]MANUTENÇÃO PREV'!AM57</f>
        <v>0</v>
      </c>
      <c r="H15" s="32">
        <f>'[37]MANUTENÇÃO PREV'!AM94</f>
        <v>0</v>
      </c>
      <c r="I15" s="30">
        <f t="shared" si="0"/>
        <v>0</v>
      </c>
      <c r="J15" s="31">
        <f>F15/(7*20)</f>
        <v>0</v>
      </c>
      <c r="K15" s="31">
        <f>G15/(7*20)</f>
        <v>0</v>
      </c>
      <c r="L15" s="31">
        <f>H15/(7*20)</f>
        <v>0</v>
      </c>
      <c r="M15" s="30">
        <f>I15/(7*22)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0" ht="77.400000000000006" customHeight="1" x14ac:dyDescent="0.35">
      <c r="A16" s="20"/>
      <c r="B16" s="20"/>
      <c r="C16" s="26" t="s">
        <v>9</v>
      </c>
      <c r="D16" s="62" t="s">
        <v>35</v>
      </c>
      <c r="E16" s="63" t="s">
        <v>30</v>
      </c>
      <c r="F16" s="29">
        <f>'[37]MANUTENÇÃO PREV'!AM20</f>
        <v>243.06</v>
      </c>
      <c r="G16" s="29">
        <f>'[37]MANUTENÇÃO PREV'!AM58</f>
        <v>0</v>
      </c>
      <c r="H16" s="29">
        <f>'[37]MANUTENÇÃO PREV'!AM95</f>
        <v>3</v>
      </c>
      <c r="I16" s="43">
        <f t="shared" si="0"/>
        <v>246.06</v>
      </c>
      <c r="J16" s="31">
        <f>F16/(7*9)</f>
        <v>3.8580952380952382</v>
      </c>
      <c r="K16" s="31">
        <f>G16/(7*10)</f>
        <v>0</v>
      </c>
      <c r="L16" s="31">
        <f>H16/(7*11)</f>
        <v>3.896103896103896E-2</v>
      </c>
      <c r="M16" s="30">
        <f>I16/(7*18)</f>
        <v>1.9528571428571428</v>
      </c>
      <c r="N16" s="3"/>
      <c r="O16" s="3"/>
      <c r="P16" s="4">
        <v>218265.2065</v>
      </c>
      <c r="Q16" s="4">
        <v>107801.71625</v>
      </c>
      <c r="R16" s="4">
        <v>83329.102500000008</v>
      </c>
      <c r="S16" s="3"/>
      <c r="T16" s="3"/>
      <c r="U16" s="3"/>
      <c r="V16" s="3"/>
      <c r="W16" s="3"/>
      <c r="X16" s="3"/>
      <c r="Y16" s="3"/>
      <c r="Z16" s="3"/>
      <c r="AA16" s="3"/>
    </row>
    <row r="17" spans="1:27" ht="52.2" x14ac:dyDescent="0.35">
      <c r="A17" s="20"/>
      <c r="B17" s="20"/>
      <c r="C17" s="44" t="s">
        <v>36</v>
      </c>
      <c r="D17" s="27" t="s">
        <v>37</v>
      </c>
      <c r="E17" s="28" t="s">
        <v>30</v>
      </c>
      <c r="F17" s="29">
        <f>'[37]MANUTENÇÃO PREV'!AM21</f>
        <v>0</v>
      </c>
      <c r="G17" s="29">
        <f>'[37]MANUTENÇÃO PREV'!AM59</f>
        <v>33.549999999999997</v>
      </c>
      <c r="H17" s="29">
        <f>'[37]MANUTENÇÃO PREV'!AM96</f>
        <v>4</v>
      </c>
      <c r="I17" s="30">
        <f t="shared" si="0"/>
        <v>37.549999999999997</v>
      </c>
      <c r="J17" s="31">
        <f>F17/(7*9)</f>
        <v>0</v>
      </c>
      <c r="K17" s="31">
        <f>G17/(7*10)</f>
        <v>0.47928571428571426</v>
      </c>
      <c r="L17" s="31">
        <f>H17/(7*11)</f>
        <v>5.1948051948051951E-2</v>
      </c>
      <c r="M17" s="30">
        <f>I17/(7*18)</f>
        <v>0.29801587301587301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" x14ac:dyDescent="0.35">
      <c r="A18" s="25"/>
      <c r="B18" s="25"/>
      <c r="C18" s="26" t="s">
        <v>10</v>
      </c>
      <c r="D18" s="62" t="s">
        <v>38</v>
      </c>
      <c r="E18" s="63" t="s">
        <v>39</v>
      </c>
      <c r="F18" s="29">
        <f>'[37]MANUTENÇÃO PREV'!AM22</f>
        <v>37487.129999999997</v>
      </c>
      <c r="G18" s="29">
        <f>'[37]MANUTENÇÃO PREV'!AM60</f>
        <v>64828.469999999994</v>
      </c>
      <c r="H18" s="29">
        <f>'[37]MANUTENÇÃO PREV'!AM97</f>
        <v>47100</v>
      </c>
      <c r="I18" s="43">
        <f t="shared" si="0"/>
        <v>149415.59999999998</v>
      </c>
      <c r="J18" s="31">
        <f>F18/(7*9)</f>
        <v>595.03380952380951</v>
      </c>
      <c r="K18" s="31">
        <f>G18/(7*10)</f>
        <v>926.12099999999987</v>
      </c>
      <c r="L18" s="31">
        <f>H18/(7*11)</f>
        <v>611.68831168831173</v>
      </c>
      <c r="M18" s="30">
        <f>I18/(7*18)</f>
        <v>1185.8380952380951</v>
      </c>
    </row>
    <row r="19" spans="1:27" ht="18" x14ac:dyDescent="0.35">
      <c r="A19" s="20"/>
      <c r="B19" s="20"/>
      <c r="C19" s="26" t="s">
        <v>65</v>
      </c>
      <c r="D19" s="27" t="s">
        <v>66</v>
      </c>
      <c r="E19" s="46" t="s">
        <v>39</v>
      </c>
      <c r="F19" s="29">
        <f>'[37]MANUTENÇÃO PREV'!AM23</f>
        <v>2792.9</v>
      </c>
      <c r="G19" s="29">
        <f>'[37]MANUTENÇÃO PREV'!AM61</f>
        <v>44.97</v>
      </c>
      <c r="H19" s="29">
        <f>'[37]MANUTENÇÃO PREV'!AM98</f>
        <v>2041</v>
      </c>
      <c r="I19" s="30">
        <f t="shared" si="0"/>
        <v>4878.87</v>
      </c>
      <c r="J19" s="31">
        <f>F19/(7*9)</f>
        <v>44.331746031746036</v>
      </c>
      <c r="K19" s="31">
        <f>G19/(7*10)</f>
        <v>0.64242857142857146</v>
      </c>
      <c r="L19" s="31">
        <f>H19/(7*11)</f>
        <v>26.506493506493506</v>
      </c>
      <c r="M19" s="30">
        <f>I19/(7*22)</f>
        <v>31.680974025974024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4.799999999999997" hidden="1" x14ac:dyDescent="0.35">
      <c r="A20" s="20"/>
      <c r="B20" s="20"/>
      <c r="C20" s="26" t="s">
        <v>67</v>
      </c>
      <c r="D20" s="27" t="s">
        <v>68</v>
      </c>
      <c r="E20" s="46" t="s">
        <v>39</v>
      </c>
      <c r="F20" s="32">
        <f>'[37]MANUTENÇÃO PREV'!AM24</f>
        <v>0</v>
      </c>
      <c r="G20" s="32">
        <f>'[37]MANUTENÇÃO PREV'!AM62</f>
        <v>0</v>
      </c>
      <c r="H20" s="32">
        <f>'[37]MANUTENÇÃO PREV'!AM99</f>
        <v>0</v>
      </c>
      <c r="I20" s="30">
        <f t="shared" si="0"/>
        <v>0</v>
      </c>
      <c r="J20" s="31">
        <f>F20/(7*20)</f>
        <v>0</v>
      </c>
      <c r="K20" s="31">
        <f>G20/(7*20)</f>
        <v>0</v>
      </c>
      <c r="L20" s="31">
        <f>H20/(7*20)</f>
        <v>0</v>
      </c>
      <c r="M20" s="30">
        <f>I20/(7*22)</f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" hidden="1" x14ac:dyDescent="0.35">
      <c r="A21" s="20"/>
      <c r="B21" s="20"/>
      <c r="C21" s="26" t="s">
        <v>69</v>
      </c>
      <c r="D21" s="27" t="s">
        <v>70</v>
      </c>
      <c r="E21" s="46" t="s">
        <v>39</v>
      </c>
      <c r="F21" s="32">
        <f>'[37]MANUTENÇÃO PREV'!AM25</f>
        <v>0</v>
      </c>
      <c r="G21" s="32">
        <f>'[37]MANUTENÇÃO PREV'!AM63</f>
        <v>0</v>
      </c>
      <c r="H21" s="32">
        <f>'[37]MANUTENÇÃO PREV'!AM100</f>
        <v>0</v>
      </c>
      <c r="I21" s="30">
        <f t="shared" si="0"/>
        <v>0</v>
      </c>
      <c r="J21" s="31">
        <f>F21/(7*20)</f>
        <v>0</v>
      </c>
      <c r="K21" s="31">
        <f>G21/(7*20)</f>
        <v>0</v>
      </c>
      <c r="L21" s="31">
        <f>H21/(7*20)</f>
        <v>0</v>
      </c>
      <c r="M21" s="30">
        <f>I21/(7*22)</f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" x14ac:dyDescent="0.35">
      <c r="A22" s="20"/>
      <c r="B22" s="20"/>
      <c r="C22" s="39" t="s">
        <v>40</v>
      </c>
      <c r="D22" s="27" t="s">
        <v>41</v>
      </c>
      <c r="E22" s="46" t="s">
        <v>27</v>
      </c>
      <c r="F22" s="29">
        <f>'[37]MANUTENÇÃO PREV'!AM26</f>
        <v>220.7</v>
      </c>
      <c r="G22" s="29">
        <f>'[37]MANUTENÇÃO PREV'!AM64</f>
        <v>0</v>
      </c>
      <c r="H22" s="29">
        <f>'[37]MANUTENÇÃO PREV'!AM101</f>
        <v>0</v>
      </c>
      <c r="I22" s="30">
        <f t="shared" si="0"/>
        <v>220.7</v>
      </c>
      <c r="J22" s="31">
        <f>F22/(7*9)</f>
        <v>3.5031746031746032</v>
      </c>
      <c r="K22" s="31">
        <f>G22/(7*10)</f>
        <v>0</v>
      </c>
      <c r="L22" s="31">
        <f>H22/(7*11)</f>
        <v>0</v>
      </c>
      <c r="M22" s="30">
        <f>I22/(7*22)</f>
        <v>1.433116883116883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87" hidden="1" x14ac:dyDescent="0.35">
      <c r="A23" s="20"/>
      <c r="B23" s="20"/>
      <c r="C23" s="58" t="s">
        <v>71</v>
      </c>
      <c r="D23" s="27" t="s">
        <v>72</v>
      </c>
      <c r="E23" s="46" t="s">
        <v>39</v>
      </c>
      <c r="F23" s="32">
        <f>'[37]MANUTENÇÃO PREV'!AM27</f>
        <v>0</v>
      </c>
      <c r="G23" s="32">
        <f>'[37]MANUTENÇÃO PREV'!AM65</f>
        <v>0</v>
      </c>
      <c r="H23" s="32">
        <f>'[37]MANUTENÇÃO PREV'!AM102</f>
        <v>0</v>
      </c>
      <c r="I23" s="30">
        <f t="shared" si="0"/>
        <v>0</v>
      </c>
      <c r="J23" s="31">
        <f>F23/(7*20)</f>
        <v>0</v>
      </c>
      <c r="K23" s="31">
        <f>G23/(7*20)</f>
        <v>0</v>
      </c>
      <c r="L23" s="31">
        <f>H23/(7*20)</f>
        <v>0</v>
      </c>
      <c r="M23" s="30">
        <f>I23/(7*22)</f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53.4" hidden="1" customHeight="1" x14ac:dyDescent="0.35">
      <c r="A24" s="20"/>
      <c r="B24" s="20"/>
      <c r="C24" s="26" t="s">
        <v>11</v>
      </c>
      <c r="D24" s="27" t="s">
        <v>73</v>
      </c>
      <c r="E24" s="28" t="s">
        <v>39</v>
      </c>
      <c r="F24" s="32">
        <f>'[37]MANUTENÇÃO PREV'!AM28</f>
        <v>0</v>
      </c>
      <c r="G24" s="32">
        <f>'[37]MANUTENÇÃO PREV'!AM66</f>
        <v>0</v>
      </c>
      <c r="H24" s="32">
        <f>'[37]MANUTENÇÃO PREV'!AM103</f>
        <v>0</v>
      </c>
      <c r="I24" s="30">
        <f t="shared" si="0"/>
        <v>0</v>
      </c>
      <c r="J24" s="31">
        <f>F24/(7*20)</f>
        <v>0</v>
      </c>
      <c r="K24" s="31">
        <f>G24/(7*20)</f>
        <v>0</v>
      </c>
      <c r="L24" s="31">
        <f>H24/(7*20)</f>
        <v>0</v>
      </c>
      <c r="M24" s="30">
        <f>I24/(7*18)</f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04.4" hidden="1" x14ac:dyDescent="0.35">
      <c r="A25" s="20"/>
      <c r="B25" s="20"/>
      <c r="C25" s="26" t="s">
        <v>74</v>
      </c>
      <c r="D25" s="59" t="s">
        <v>75</v>
      </c>
      <c r="E25" s="60" t="s">
        <v>44</v>
      </c>
      <c r="F25" s="32">
        <f>'[37]MANUTENÇÃO PREV'!AM29</f>
        <v>0</v>
      </c>
      <c r="G25" s="32">
        <f>'[37]MANUTENÇÃO PREV'!AM67</f>
        <v>0</v>
      </c>
      <c r="H25" s="32">
        <f>'[37]MANUTENÇÃO PREV'!AM104</f>
        <v>0</v>
      </c>
      <c r="I25" s="61">
        <f t="shared" si="0"/>
        <v>0</v>
      </c>
      <c r="J25" s="31">
        <f>F25/(7*20)</f>
        <v>0</v>
      </c>
      <c r="K25" s="31">
        <f>G25/(7*20)</f>
        <v>0</v>
      </c>
      <c r="L25" s="31">
        <f>H25/(7*20)</f>
        <v>0</v>
      </c>
      <c r="M25" s="30">
        <f>I25/(7*22)</f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9.599999999999994" hidden="1" x14ac:dyDescent="0.35">
      <c r="A26" s="20"/>
      <c r="B26" s="20"/>
      <c r="C26" s="26" t="s">
        <v>42</v>
      </c>
      <c r="D26" s="27" t="s">
        <v>43</v>
      </c>
      <c r="E26" s="46" t="s">
        <v>44</v>
      </c>
      <c r="F26" s="32">
        <f>'[37]MANUTENÇÃO PREV'!AM30</f>
        <v>0</v>
      </c>
      <c r="G26" s="32">
        <f>'[37]MANUTENÇÃO PREV'!AM68</f>
        <v>0</v>
      </c>
      <c r="H26" s="32">
        <f>'[37]MANUTENÇÃO PREV'!AM105</f>
        <v>0</v>
      </c>
      <c r="I26" s="30">
        <f t="shared" si="0"/>
        <v>0</v>
      </c>
      <c r="J26" s="31">
        <f>F26/(7*20)</f>
        <v>0</v>
      </c>
      <c r="K26" s="31">
        <f>G26/(7*20)</f>
        <v>0</v>
      </c>
      <c r="L26" s="31">
        <f>H26/(7*20)</f>
        <v>0</v>
      </c>
      <c r="M26" s="30">
        <f>I26/(7*22)</f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04.4" hidden="1" x14ac:dyDescent="0.35">
      <c r="A27" s="20"/>
      <c r="B27" s="20"/>
      <c r="C27" s="26" t="s">
        <v>76</v>
      </c>
      <c r="D27" s="27" t="s">
        <v>77</v>
      </c>
      <c r="E27" s="46" t="s">
        <v>44</v>
      </c>
      <c r="F27" s="32">
        <f>'[37]MANUTENÇÃO PREV'!AM31</f>
        <v>0</v>
      </c>
      <c r="G27" s="32">
        <f>'[37]MANUTENÇÃO PREV'!AM69</f>
        <v>0</v>
      </c>
      <c r="H27" s="32">
        <f>'[37]MANUTENÇÃO PREV'!AM106</f>
        <v>0</v>
      </c>
      <c r="I27" s="30">
        <f t="shared" si="0"/>
        <v>0</v>
      </c>
      <c r="J27" s="31">
        <f>F27/(7*20)</f>
        <v>0</v>
      </c>
      <c r="K27" s="31">
        <f>G27/(7*20)</f>
        <v>0</v>
      </c>
      <c r="L27" s="31">
        <f>H27/(7*20)</f>
        <v>0</v>
      </c>
      <c r="M27" s="30">
        <f>I27/(7*22)</f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69.599999999999994" hidden="1" x14ac:dyDescent="0.35">
      <c r="A28" s="20"/>
      <c r="B28" s="20"/>
      <c r="C28" s="26" t="s">
        <v>45</v>
      </c>
      <c r="D28" s="27" t="s">
        <v>46</v>
      </c>
      <c r="E28" s="46" t="s">
        <v>44</v>
      </c>
      <c r="F28" s="32">
        <f>'[37]MANUTENÇÃO PREV'!AM32</f>
        <v>0</v>
      </c>
      <c r="G28" s="32">
        <f>'[37]MANUTENÇÃO PREV'!AM70</f>
        <v>0</v>
      </c>
      <c r="H28" s="32">
        <f>'[37]MANUTENÇÃO PREV'!AM107</f>
        <v>0</v>
      </c>
      <c r="I28" s="30">
        <f t="shared" si="0"/>
        <v>0</v>
      </c>
      <c r="J28" s="31">
        <f>F28/(7*20)</f>
        <v>0</v>
      </c>
      <c r="K28" s="31">
        <f>G28/(7*20)</f>
        <v>0</v>
      </c>
      <c r="L28" s="31">
        <f>H28/(7*20)</f>
        <v>0</v>
      </c>
      <c r="M28" s="30">
        <f>I28/(7*22)</f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34.799999999999997" hidden="1" x14ac:dyDescent="0.35">
      <c r="A29" s="20"/>
      <c r="B29" s="20"/>
      <c r="C29" s="26" t="s">
        <v>78</v>
      </c>
      <c r="D29" s="27" t="s">
        <v>79</v>
      </c>
      <c r="E29" s="46" t="s">
        <v>80</v>
      </c>
      <c r="F29" s="32">
        <f>'[37]MANUTENÇÃO PREV'!AM33</f>
        <v>0</v>
      </c>
      <c r="G29" s="32">
        <f>'[37]MANUTENÇÃO PREV'!AM71</f>
        <v>0</v>
      </c>
      <c r="H29" s="32">
        <f>'[37]MANUTENÇÃO PREV'!AM108</f>
        <v>0</v>
      </c>
      <c r="I29" s="30">
        <f t="shared" si="0"/>
        <v>0</v>
      </c>
      <c r="J29" s="31">
        <f>F29/(7*20)</f>
        <v>0</v>
      </c>
      <c r="K29" s="31">
        <f>G29/(7*20)</f>
        <v>0</v>
      </c>
      <c r="L29" s="31">
        <f>H29/(7*20)</f>
        <v>0</v>
      </c>
      <c r="M29" s="30">
        <f>I29/(7*22)</f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52.2" x14ac:dyDescent="0.35">
      <c r="A30" s="20"/>
      <c r="B30" s="20"/>
      <c r="C30" s="26" t="s">
        <v>81</v>
      </c>
      <c r="D30" s="27" t="s">
        <v>82</v>
      </c>
      <c r="E30" s="46" t="s">
        <v>39</v>
      </c>
      <c r="F30" s="29">
        <f>'[37]MANUTENÇÃO PREV'!AM34</f>
        <v>0</v>
      </c>
      <c r="G30" s="29">
        <f>'[37]MANUTENÇÃO PREV'!AM72</f>
        <v>0.16000000000000003</v>
      </c>
      <c r="H30" s="29">
        <f>'[37]MANUTENÇÃO PREV'!AM109</f>
        <v>0</v>
      </c>
      <c r="I30" s="30">
        <f t="shared" si="0"/>
        <v>0.16000000000000003</v>
      </c>
      <c r="J30" s="31">
        <f>F30/(7*20)</f>
        <v>0</v>
      </c>
      <c r="K30" s="31">
        <f>G30/(7*20)</f>
        <v>1.1428571428571432E-3</v>
      </c>
      <c r="L30" s="31">
        <f>H30/(7*20)</f>
        <v>0</v>
      </c>
      <c r="M30" s="30">
        <f>I30/(7*18)</f>
        <v>1.2698412698412701E-3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52.2" hidden="1" x14ac:dyDescent="0.35">
      <c r="A31" s="20"/>
      <c r="B31" s="20"/>
      <c r="C31" s="26" t="s">
        <v>83</v>
      </c>
      <c r="D31" s="27" t="s">
        <v>84</v>
      </c>
      <c r="E31" s="46" t="s">
        <v>44</v>
      </c>
      <c r="F31" s="32">
        <f>'[37]MANUTENÇÃO PREV'!AM35</f>
        <v>0</v>
      </c>
      <c r="G31" s="32">
        <f>'[37]MANUTENÇÃO PREV'!AM73</f>
        <v>0</v>
      </c>
      <c r="H31" s="32">
        <f>'[37]MANUTENÇÃO PREV'!AM110</f>
        <v>0</v>
      </c>
      <c r="I31" s="30">
        <f t="shared" si="0"/>
        <v>0</v>
      </c>
      <c r="J31" s="31">
        <f>F31/(7*20)</f>
        <v>0</v>
      </c>
      <c r="K31" s="31">
        <f>G31/(7*20)</f>
        <v>0</v>
      </c>
      <c r="L31" s="31">
        <f>H31/(7*20)</f>
        <v>0</v>
      </c>
      <c r="M31" s="30">
        <f>I31/(7*22)</f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" x14ac:dyDescent="0.35">
      <c r="A32" s="20"/>
      <c r="B32" s="20"/>
      <c r="C32" s="47" t="s">
        <v>47</v>
      </c>
      <c r="D32" s="48" t="s">
        <v>48</v>
      </c>
      <c r="E32" s="46" t="s">
        <v>44</v>
      </c>
      <c r="F32" s="49">
        <f>SUM(F33:F38)</f>
        <v>189</v>
      </c>
      <c r="G32" s="49">
        <f t="shared" ref="G32:H32" si="1">SUM(G33:G38)</f>
        <v>182.54999999999998</v>
      </c>
      <c r="H32" s="49">
        <f t="shared" si="1"/>
        <v>152.59999999999994</v>
      </c>
      <c r="I32" s="30">
        <f t="shared" si="0"/>
        <v>524.14999999999986</v>
      </c>
      <c r="J32" s="31">
        <f>F32</f>
        <v>189</v>
      </c>
      <c r="K32" s="31">
        <f>G32</f>
        <v>182.54999999999998</v>
      </c>
      <c r="L32" s="31">
        <f>H32</f>
        <v>152.59999999999994</v>
      </c>
      <c r="M32" s="30">
        <f>I32/(7*18)</f>
        <v>4.1599206349206339</v>
      </c>
      <c r="N32" s="3"/>
      <c r="O32" s="3"/>
      <c r="P32" s="3"/>
      <c r="Q32" s="3"/>
      <c r="R32" s="3"/>
      <c r="S32" s="3"/>
      <c r="T32" s="3"/>
    </row>
    <row r="33" spans="1:21" ht="18" x14ac:dyDescent="0.35">
      <c r="A33" s="20"/>
      <c r="B33" s="20"/>
      <c r="C33" s="39" t="s">
        <v>49</v>
      </c>
      <c r="D33" s="27" t="s">
        <v>50</v>
      </c>
      <c r="E33" s="46" t="s">
        <v>51</v>
      </c>
      <c r="F33" s="32">
        <f>'[37]MANUTENÇÃO PREV'!AM36</f>
        <v>18</v>
      </c>
      <c r="G33" s="50">
        <f>'[37]MANUTENÇÃO PREV'!AM74</f>
        <v>12.17</v>
      </c>
      <c r="H33" s="50">
        <f>'[37]MANUTENÇÃO PREV'!AM111</f>
        <v>10.17333333333333</v>
      </c>
      <c r="I33" s="30">
        <f t="shared" si="0"/>
        <v>40.343333333333334</v>
      </c>
      <c r="J33" s="51">
        <f>SUM(J10:J30)</f>
        <v>713.93158730158711</v>
      </c>
      <c r="K33" s="51">
        <f t="shared" ref="K33:L33" si="2">SUM(K10:K30)</f>
        <v>1008.5153114285713</v>
      </c>
      <c r="L33" s="51">
        <f t="shared" si="2"/>
        <v>664.31168831168827</v>
      </c>
      <c r="M33" s="3"/>
      <c r="N33" s="3"/>
      <c r="O33" s="3"/>
      <c r="P33" s="3"/>
      <c r="Q33" s="3"/>
      <c r="R33" s="3"/>
      <c r="S33" s="3"/>
      <c r="T33" s="3"/>
    </row>
    <row r="34" spans="1:21" ht="23.4" customHeight="1" x14ac:dyDescent="0.35">
      <c r="A34" s="20"/>
      <c r="B34" s="20"/>
      <c r="C34" s="39" t="s">
        <v>52</v>
      </c>
      <c r="D34" s="27" t="s">
        <v>53</v>
      </c>
      <c r="E34" s="46" t="s">
        <v>51</v>
      </c>
      <c r="F34" s="32">
        <f>'[37]MANUTENÇÃO PREV'!AM37</f>
        <v>18</v>
      </c>
      <c r="G34" s="50">
        <f>'[37]MANUTENÇÃO PREV'!AM75</f>
        <v>12.17</v>
      </c>
      <c r="H34" s="50">
        <f>'[37]MANUTENÇÃO PREV'!AM112</f>
        <v>10.17333333333333</v>
      </c>
      <c r="I34" s="30">
        <f t="shared" si="0"/>
        <v>40.343333333333334</v>
      </c>
      <c r="L34" s="3"/>
      <c r="M34" s="3"/>
      <c r="N34" s="3"/>
      <c r="O34" s="3"/>
      <c r="P34" s="3"/>
      <c r="Q34" s="3"/>
      <c r="R34" s="3"/>
      <c r="S34" s="3"/>
      <c r="T34" s="3"/>
    </row>
    <row r="35" spans="1:21" ht="18" x14ac:dyDescent="0.35">
      <c r="A35" s="20"/>
      <c r="B35" s="20"/>
      <c r="C35" s="39" t="s">
        <v>54</v>
      </c>
      <c r="D35" s="27" t="s">
        <v>55</v>
      </c>
      <c r="E35" s="46" t="s">
        <v>51</v>
      </c>
      <c r="F35" s="32">
        <f>'[37]MANUTENÇÃO PREV'!AM38</f>
        <v>18</v>
      </c>
      <c r="G35" s="50">
        <f>'[37]MANUTENÇÃO PREV'!AM76</f>
        <v>12.17</v>
      </c>
      <c r="H35" s="50">
        <f>'[37]MANUTENÇÃO PREV'!AM113</f>
        <v>10.17333333333333</v>
      </c>
      <c r="I35" s="30">
        <f t="shared" si="0"/>
        <v>40.343333333333334</v>
      </c>
      <c r="L35" s="3"/>
      <c r="M35" s="3"/>
      <c r="N35" s="3"/>
      <c r="O35" s="3"/>
      <c r="P35" s="3"/>
      <c r="Q35" s="3"/>
      <c r="R35" s="3"/>
      <c r="S35" s="3"/>
      <c r="T35" s="3"/>
    </row>
    <row r="36" spans="1:21" ht="18" x14ac:dyDescent="0.35">
      <c r="A36" s="20"/>
      <c r="B36" s="20"/>
      <c r="C36" s="39" t="s">
        <v>56</v>
      </c>
      <c r="D36" s="27" t="s">
        <v>57</v>
      </c>
      <c r="E36" s="46" t="s">
        <v>51</v>
      </c>
      <c r="F36" s="32">
        <f>'[37]MANUTENÇÃO PREV'!AM39</f>
        <v>18</v>
      </c>
      <c r="G36" s="50">
        <f>'[37]MANUTENÇÃO PREV'!AM77</f>
        <v>12.17</v>
      </c>
      <c r="H36" s="50">
        <f>'[37]MANUTENÇÃO PREV'!AM114</f>
        <v>10.17333333333333</v>
      </c>
      <c r="I36" s="30">
        <f t="shared" si="0"/>
        <v>40.343333333333334</v>
      </c>
      <c r="L36" s="3"/>
      <c r="M36" s="3"/>
      <c r="N36" s="3"/>
      <c r="O36" s="3"/>
      <c r="P36" s="3"/>
      <c r="Q36" s="3"/>
      <c r="R36" s="3"/>
      <c r="S36" s="3"/>
      <c r="T36" s="3"/>
    </row>
    <row r="37" spans="1:21" ht="18" x14ac:dyDescent="0.35">
      <c r="A37" s="20"/>
      <c r="B37" s="20"/>
      <c r="C37" s="39" t="s">
        <v>58</v>
      </c>
      <c r="D37" s="27" t="s">
        <v>59</v>
      </c>
      <c r="E37" s="46" t="s">
        <v>51</v>
      </c>
      <c r="F37" s="32">
        <f>'[37]MANUTENÇÃO PREV'!AM40</f>
        <v>99</v>
      </c>
      <c r="G37" s="50">
        <f>'[37]MANUTENÇÃO PREV'!AM78</f>
        <v>121.7</v>
      </c>
      <c r="H37" s="50">
        <f>'[37]MANUTENÇÃO PREV'!AM115</f>
        <v>101.73333333333331</v>
      </c>
      <c r="I37" s="30">
        <f t="shared" si="0"/>
        <v>322.43333333333328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8" x14ac:dyDescent="0.35">
      <c r="A38" s="20"/>
      <c r="B38" s="20"/>
      <c r="C38" s="39" t="s">
        <v>60</v>
      </c>
      <c r="D38" s="27" t="s">
        <v>61</v>
      </c>
      <c r="E38" s="46" t="s">
        <v>51</v>
      </c>
      <c r="F38" s="32">
        <f>'[37]MANUTENÇÃO PREV'!AM41</f>
        <v>18</v>
      </c>
      <c r="G38" s="50">
        <f>'[37]MANUTENÇÃO PREV'!AM79</f>
        <v>12.17</v>
      </c>
      <c r="H38" s="50">
        <f>'[37]MANUTENÇÃO PREV'!AM116</f>
        <v>10.17333333333333</v>
      </c>
      <c r="I38" s="30">
        <f t="shared" si="0"/>
        <v>40.343333333333334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 customHeight="1" x14ac:dyDescent="0.3">
      <c r="A39" s="20"/>
      <c r="B39" s="20"/>
      <c r="C39" s="83" t="s">
        <v>24</v>
      </c>
      <c r="D39" s="84"/>
      <c r="E39" s="84"/>
      <c r="F39" s="84"/>
      <c r="G39" s="84"/>
      <c r="H39" s="84"/>
      <c r="I39" s="8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8" customHeight="1" thickBot="1" x14ac:dyDescent="0.35">
      <c r="A40" s="20"/>
      <c r="B40" s="20"/>
      <c r="C40" s="85" t="s">
        <v>62</v>
      </c>
      <c r="D40" s="86"/>
      <c r="E40" s="86"/>
      <c r="F40" s="86"/>
      <c r="G40" s="86"/>
      <c r="H40" s="86"/>
      <c r="I40" s="86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" customHeight="1" x14ac:dyDescent="0.3">
      <c r="A41" s="87"/>
      <c r="B41" s="87"/>
      <c r="C41" s="52"/>
      <c r="D41" s="3"/>
      <c r="E41" s="3"/>
      <c r="F41" s="3"/>
      <c r="G41" s="3"/>
      <c r="H41" s="3"/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4.4" customHeight="1" x14ac:dyDescent="0.3"/>
    <row r="43" spans="1:21" x14ac:dyDescent="0.3">
      <c r="C43" s="53"/>
    </row>
    <row r="44" spans="1:21" x14ac:dyDescent="0.3">
      <c r="C44" s="53"/>
      <c r="D44" s="53"/>
      <c r="E44" s="54"/>
      <c r="F44" s="55"/>
      <c r="G44" s="55"/>
      <c r="H44" s="55"/>
      <c r="I44" s="55"/>
    </row>
    <row r="45" spans="1:21" x14ac:dyDescent="0.3">
      <c r="C45" s="53"/>
      <c r="D45" s="53"/>
      <c r="E45" s="54"/>
      <c r="F45" s="56"/>
      <c r="G45" s="56"/>
      <c r="H45" s="56"/>
      <c r="I45" s="56"/>
    </row>
    <row r="46" spans="1:21" x14ac:dyDescent="0.3">
      <c r="C46" s="53"/>
      <c r="D46" s="53"/>
      <c r="E46" s="54"/>
      <c r="F46" s="56"/>
      <c r="G46" s="56"/>
      <c r="H46" s="56"/>
      <c r="I46" s="56"/>
    </row>
    <row r="47" spans="1:21" x14ac:dyDescent="0.3">
      <c r="C47" s="53"/>
      <c r="D47" s="53"/>
      <c r="E47" s="54"/>
      <c r="F47" s="56"/>
      <c r="G47" s="56"/>
      <c r="H47" s="56"/>
      <c r="I47" s="56"/>
    </row>
    <row r="48" spans="1:21" x14ac:dyDescent="0.3">
      <c r="C48" s="53"/>
      <c r="D48" s="53"/>
      <c r="E48" s="54"/>
      <c r="F48" s="56"/>
      <c r="G48" s="56"/>
      <c r="H48" s="56"/>
      <c r="I48" s="56"/>
    </row>
    <row r="49" spans="3:9" x14ac:dyDescent="0.3">
      <c r="C49" s="53"/>
      <c r="D49" s="53"/>
      <c r="E49" s="54"/>
      <c r="F49" s="56"/>
      <c r="G49" s="56"/>
      <c r="H49" s="56"/>
      <c r="I49" s="56"/>
    </row>
    <row r="50" spans="3:9" x14ac:dyDescent="0.3">
      <c r="F50" s="56"/>
      <c r="G50" s="56"/>
      <c r="H50" s="56"/>
      <c r="I50" s="56"/>
    </row>
    <row r="58" spans="3:9" x14ac:dyDescent="0.3">
      <c r="C58" s="53"/>
      <c r="D58" s="57"/>
      <c r="E58" s="54"/>
    </row>
    <row r="59" spans="3:9" x14ac:dyDescent="0.3">
      <c r="C59" s="53"/>
      <c r="D59" s="57"/>
      <c r="E59" s="54"/>
    </row>
  </sheetData>
  <autoFilter ref="C9:I40" xr:uid="{EC2798EB-1FE4-4B48-979C-561CE544CED1}">
    <filterColumn colId="6">
      <filters blank="1">
        <filter val="0,16"/>
        <filter val="1,70"/>
        <filter val="1.775,40"/>
        <filter val="149.415,60"/>
        <filter val="220,70"/>
        <filter val="246,06"/>
        <filter val="3.943,30"/>
        <filter val="322,43"/>
        <filter val="37,55"/>
        <filter val="4.878,87"/>
        <filter val="40,34"/>
        <filter val="524,15"/>
        <filter val="6.206,50"/>
      </filters>
    </filterColumn>
  </autoFilter>
  <mergeCells count="14">
    <mergeCell ref="C39:I39"/>
    <mergeCell ref="C40:I40"/>
    <mergeCell ref="A41:B41"/>
    <mergeCell ref="O6:Q6"/>
    <mergeCell ref="S6:T6"/>
    <mergeCell ref="V6:Y6"/>
    <mergeCell ref="C8:I8"/>
    <mergeCell ref="J8:M8"/>
    <mergeCell ref="O2:Q2"/>
    <mergeCell ref="S2:T2"/>
    <mergeCell ref="V2:Y2"/>
    <mergeCell ref="O3:Q3"/>
    <mergeCell ref="S3:T3"/>
    <mergeCell ref="V3:Y3"/>
  </mergeCells>
  <pageMargins left="0.51181102362204722" right="0.31496062992125984" top="0.39370078740157483" bottom="0.39370078740157483" header="0.31496062992125984" footer="0.31496062992125984"/>
  <pageSetup paperSize="9" scale="28" fitToHeight="0" orientation="landscape" horizontalDpi="300" verticalDpi="300" r:id="rId1"/>
  <headerFooter>
    <oddFooter>&amp;LBanco de Dados Civil - Equipes Corretivas e Preventivas&amp;RPágina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D47E-6176-4545-9DE7-579CCFF2C8EC}">
  <sheetPr filterMode="1">
    <tabColor theme="9"/>
    <pageSetUpPr fitToPage="1"/>
  </sheetPr>
  <dimension ref="A1:AD59"/>
  <sheetViews>
    <sheetView tabSelected="1" topLeftCell="D1" zoomScale="70" zoomScaleNormal="85" zoomScaleSheetLayoutView="80" workbookViewId="0">
      <selection activeCell="Q9" sqref="Q9"/>
    </sheetView>
  </sheetViews>
  <sheetFormatPr defaultRowHeight="14.4" x14ac:dyDescent="0.3"/>
  <cols>
    <col min="1" max="1" width="12.44140625" customWidth="1"/>
    <col min="2" max="2" width="17.109375" customWidth="1"/>
    <col min="3" max="3" width="8.77734375" bestFit="1" customWidth="1"/>
    <col min="4" max="4" width="52" customWidth="1"/>
    <col min="5" max="5" width="9.44140625" customWidth="1"/>
    <col min="6" max="6" width="13.6640625" customWidth="1"/>
    <col min="7" max="7" width="15" customWidth="1"/>
    <col min="8" max="8" width="14.77734375" bestFit="1" customWidth="1"/>
    <col min="9" max="9" width="14.5546875" bestFit="1" customWidth="1"/>
    <col min="10" max="11" width="12" bestFit="1" customWidth="1"/>
    <col min="12" max="12" width="12.44140625" bestFit="1" customWidth="1"/>
    <col min="13" max="13" width="12.5546875" bestFit="1" customWidth="1"/>
    <col min="14" max="14" width="14.109375" bestFit="1" customWidth="1"/>
    <col min="15" max="15" width="9.109375" customWidth="1"/>
    <col min="16" max="17" width="15.21875" bestFit="1" customWidth="1"/>
    <col min="18" max="18" width="14.33203125" bestFit="1" customWidth="1"/>
    <col min="19" max="19" width="39.21875" customWidth="1"/>
    <col min="20" max="20" width="18.6640625" customWidth="1"/>
    <col min="21" max="21" width="14.33203125" bestFit="1" customWidth="1"/>
    <col min="22" max="24" width="14.44140625" bestFit="1" customWidth="1"/>
    <col min="25" max="26" width="14.33203125" bestFit="1" customWidth="1"/>
    <col min="27" max="27" width="14.88671875" customWidth="1"/>
    <col min="29" max="29" width="9.5546875" bestFit="1" customWidth="1"/>
    <col min="30" max="30" width="14.33203125" bestFit="1" customWidth="1"/>
    <col min="31" max="31" width="9.5546875" bestFit="1" customWidth="1"/>
    <col min="39" max="39" width="12.21875" customWidth="1"/>
    <col min="40" max="40" width="13.44140625" customWidth="1"/>
    <col min="42" max="43" width="9.5546875" bestFit="1" customWidth="1"/>
    <col min="44" max="44" width="10.6640625" bestFit="1" customWidth="1"/>
    <col min="45" max="45" width="9.5546875" bestFit="1" customWidth="1"/>
  </cols>
  <sheetData>
    <row r="1" spans="1:30" ht="1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C1" s="3">
        <v>284.74038961038957</v>
      </c>
      <c r="AD1" s="4">
        <v>218265.2065</v>
      </c>
    </row>
    <row r="2" spans="1:30" ht="15" thickBot="1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3" t="s">
        <v>2</v>
      </c>
      <c r="P2" s="74"/>
      <c r="Q2" s="75"/>
      <c r="S2" s="76" t="s">
        <v>3</v>
      </c>
      <c r="T2" s="77"/>
      <c r="V2" s="73" t="s">
        <v>4</v>
      </c>
      <c r="W2" s="74"/>
      <c r="X2" s="74"/>
      <c r="Y2" s="75"/>
      <c r="Z2" s="6"/>
      <c r="AA2" s="6"/>
      <c r="AC2" s="3">
        <v>154.41802092352094</v>
      </c>
      <c r="AD2" s="4">
        <v>107801.71625</v>
      </c>
    </row>
    <row r="3" spans="1:30" ht="15" thickBot="1" x14ac:dyDescent="0.35">
      <c r="A3" s="7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8" t="s">
        <v>6</v>
      </c>
      <c r="P3" s="79"/>
      <c r="Q3" s="80"/>
      <c r="S3" s="81" t="s">
        <v>6</v>
      </c>
      <c r="T3" s="82"/>
      <c r="V3" s="78" t="s">
        <v>6</v>
      </c>
      <c r="W3" s="79"/>
      <c r="X3" s="79"/>
      <c r="Y3" s="80"/>
      <c r="Z3" s="6"/>
      <c r="AA3" s="6"/>
      <c r="AC3" s="3">
        <v>114.41688311688313</v>
      </c>
      <c r="AD3" s="4">
        <v>83329.102500000008</v>
      </c>
    </row>
    <row r="4" spans="1:30" ht="18" customHeight="1" thickBot="1" x14ac:dyDescent="0.35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 t="s">
        <v>8</v>
      </c>
      <c r="P4" s="10" t="s">
        <v>9</v>
      </c>
      <c r="Q4" s="10" t="s">
        <v>10</v>
      </c>
      <c r="S4" s="11" t="s">
        <v>8</v>
      </c>
      <c r="T4" s="12" t="s">
        <v>10</v>
      </c>
      <c r="V4" s="10" t="s">
        <v>8</v>
      </c>
      <c r="W4" s="10" t="s">
        <v>9</v>
      </c>
      <c r="X4" s="10" t="s">
        <v>10</v>
      </c>
      <c r="Y4" s="10" t="s">
        <v>11</v>
      </c>
      <c r="Z4" s="9"/>
      <c r="AA4" s="9"/>
    </row>
    <row r="5" spans="1:30" ht="38.4" customHeight="1" thickBot="1" x14ac:dyDescent="0.35">
      <c r="A5" s="7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3">
        <v>14.87</v>
      </c>
      <c r="P5" s="13">
        <v>0.22</v>
      </c>
      <c r="Q5" s="13">
        <v>59.87</v>
      </c>
      <c r="S5" s="14">
        <v>9.8148148148148167</v>
      </c>
      <c r="T5" s="15">
        <v>24.084027777777777</v>
      </c>
      <c r="V5" s="16">
        <v>1.6666666666666667</v>
      </c>
      <c r="W5" s="16">
        <v>8.8095238095238101E-2</v>
      </c>
      <c r="X5" s="16">
        <v>20.613425925925927</v>
      </c>
      <c r="Y5" s="16">
        <v>3.6111111111111112</v>
      </c>
      <c r="Z5" s="6"/>
      <c r="AA5" s="6"/>
    </row>
    <row r="6" spans="1:30" ht="15" customHeight="1" thickBot="1" x14ac:dyDescent="0.35">
      <c r="A6" s="1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4" t="s">
        <v>13</v>
      </c>
      <c r="P6" s="65"/>
      <c r="Q6" s="66"/>
      <c r="S6" s="88" t="s">
        <v>14</v>
      </c>
      <c r="T6" s="89"/>
      <c r="V6" s="64" t="s">
        <v>15</v>
      </c>
      <c r="W6" s="65"/>
      <c r="X6" s="65"/>
      <c r="Y6" s="66"/>
      <c r="Z6" s="3"/>
      <c r="AA6" s="3"/>
    </row>
    <row r="7" spans="1:30" ht="14.4" customHeight="1" thickBot="1" x14ac:dyDescent="0.7">
      <c r="A7" s="3"/>
      <c r="B7" s="3"/>
      <c r="D7" s="18"/>
      <c r="E7" s="18"/>
      <c r="F7" s="18"/>
      <c r="G7" s="18"/>
      <c r="H7" s="18"/>
      <c r="I7" s="18"/>
      <c r="J7" s="3"/>
      <c r="K7" s="3"/>
      <c r="L7" s="3"/>
      <c r="M7" s="3"/>
      <c r="N7" s="3"/>
      <c r="O7" s="3"/>
      <c r="P7" s="19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30" ht="39" customHeight="1" thickBot="1" x14ac:dyDescent="0.7">
      <c r="A8" s="20"/>
      <c r="B8" s="20"/>
      <c r="C8" s="67" t="s">
        <v>16</v>
      </c>
      <c r="D8" s="68"/>
      <c r="E8" s="68"/>
      <c r="F8" s="68"/>
      <c r="G8" s="68"/>
      <c r="H8" s="68"/>
      <c r="I8" s="69"/>
      <c r="J8" s="70" t="s">
        <v>17</v>
      </c>
      <c r="K8" s="71"/>
      <c r="L8" s="71"/>
      <c r="M8" s="7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0" ht="27" customHeight="1" x14ac:dyDescent="0.35">
      <c r="A9" s="20"/>
      <c r="B9" s="20"/>
      <c r="C9" s="21" t="s">
        <v>18</v>
      </c>
      <c r="D9" s="22" t="s">
        <v>19</v>
      </c>
      <c r="E9" s="23" t="s">
        <v>20</v>
      </c>
      <c r="F9" s="24" t="s">
        <v>21</v>
      </c>
      <c r="G9" s="24" t="s">
        <v>22</v>
      </c>
      <c r="H9" s="24" t="s">
        <v>23</v>
      </c>
      <c r="I9" s="23" t="s">
        <v>24</v>
      </c>
      <c r="J9" s="24" t="s">
        <v>21</v>
      </c>
      <c r="K9" s="24" t="s">
        <v>22</v>
      </c>
      <c r="L9" s="24" t="s">
        <v>23</v>
      </c>
      <c r="M9" s="23" t="s">
        <v>24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0" ht="18" x14ac:dyDescent="0.35">
      <c r="A10" s="25"/>
      <c r="B10" s="25"/>
      <c r="C10" s="26" t="s">
        <v>25</v>
      </c>
      <c r="D10" s="27" t="s">
        <v>26</v>
      </c>
      <c r="E10" s="28" t="s">
        <v>27</v>
      </c>
      <c r="F10" s="29">
        <f>'[38]MANUTENÇÃO PREV'!AM14</f>
        <v>0</v>
      </c>
      <c r="G10" s="29">
        <f>'[38]MANUTENÇÃO PREV'!AM52</f>
        <v>45.120000000000005</v>
      </c>
      <c r="H10" s="29">
        <f>'[38]MANUTENÇÃO PREV'!AM89</f>
        <v>10.91</v>
      </c>
      <c r="I10" s="30">
        <f>SUM(F10:H10)</f>
        <v>56.03</v>
      </c>
      <c r="J10" s="31">
        <f>F10/(7*11)</f>
        <v>0</v>
      </c>
      <c r="K10" s="31">
        <f>G10/(7*11)</f>
        <v>0.58597402597402604</v>
      </c>
      <c r="L10" s="31">
        <f>H10/(7*8)</f>
        <v>0.19482142857142856</v>
      </c>
      <c r="M10" s="30">
        <f>I10/(7*18)</f>
        <v>0.44468253968253968</v>
      </c>
    </row>
    <row r="11" spans="1:30" ht="19.8" customHeight="1" x14ac:dyDescent="0.35">
      <c r="A11" s="25"/>
      <c r="B11" s="25"/>
      <c r="C11" s="26" t="s">
        <v>9</v>
      </c>
      <c r="D11" s="27" t="s">
        <v>28</v>
      </c>
      <c r="E11" s="28" t="s">
        <v>27</v>
      </c>
      <c r="F11" s="32">
        <f>'[38]MANUTENÇÃO PREV'!AM15</f>
        <v>0</v>
      </c>
      <c r="G11" s="32">
        <f>'[38]MANUTENÇÃO PREV'!AM53</f>
        <v>0</v>
      </c>
      <c r="H11" s="32">
        <f>'[38]MANUTENÇÃO PREV'!AM90</f>
        <v>23.73</v>
      </c>
      <c r="I11" s="30">
        <f t="shared" ref="I11:I38" si="0">SUM(F11:H11)</f>
        <v>23.73</v>
      </c>
      <c r="J11" s="31">
        <f>F11/(7*11)</f>
        <v>0</v>
      </c>
      <c r="K11" s="31">
        <f>G11/(7*11)</f>
        <v>0</v>
      </c>
      <c r="L11" s="31">
        <f>H11/(7*8)</f>
        <v>0.42375000000000002</v>
      </c>
      <c r="M11" s="30">
        <f>I11/(9*2)</f>
        <v>1.3183333333333334</v>
      </c>
    </row>
    <row r="12" spans="1:30" ht="34.799999999999997" x14ac:dyDescent="0.35">
      <c r="A12" s="25"/>
      <c r="B12" s="25"/>
      <c r="C12" s="33" t="s">
        <v>8</v>
      </c>
      <c r="D12" s="34" t="s">
        <v>29</v>
      </c>
      <c r="E12" s="35" t="s">
        <v>30</v>
      </c>
      <c r="F12" s="36">
        <f>'[38]MANUTENÇÃO PREV'!AM16</f>
        <v>2136.4</v>
      </c>
      <c r="G12" s="36">
        <f>'[38]MANUTENÇÃO PREV'!AM54</f>
        <v>577.4</v>
      </c>
      <c r="H12" s="36">
        <f>'[38]MANUTENÇÃO PREV'!AM91</f>
        <v>3685</v>
      </c>
      <c r="I12" s="37">
        <f t="shared" si="0"/>
        <v>6398.8</v>
      </c>
      <c r="J12" s="38">
        <f>F12/(7*11)</f>
        <v>27.745454545454546</v>
      </c>
      <c r="K12" s="38">
        <f>G12/(7*11)</f>
        <v>7.498701298701298</v>
      </c>
      <c r="L12" s="38">
        <f>H12/(7*8)</f>
        <v>65.803571428571431</v>
      </c>
      <c r="M12" s="30">
        <f>I12/(7*18)</f>
        <v>50.784126984126985</v>
      </c>
    </row>
    <row r="13" spans="1:30" ht="34.799999999999997" x14ac:dyDescent="0.35">
      <c r="A13" s="20"/>
      <c r="B13" s="20"/>
      <c r="C13" s="33" t="s">
        <v>31</v>
      </c>
      <c r="D13" s="34" t="s">
        <v>32</v>
      </c>
      <c r="E13" s="35" t="s">
        <v>30</v>
      </c>
      <c r="F13" s="36">
        <f>'[38]MANUTENÇÃO PREV'!AM17</f>
        <v>88</v>
      </c>
      <c r="G13" s="36">
        <f>'[38]MANUTENÇÃO PREV'!AM55</f>
        <v>0</v>
      </c>
      <c r="H13" s="36">
        <f>'[38]MANUTENÇÃO PREV'!AM92</f>
        <v>324</v>
      </c>
      <c r="I13" s="37">
        <f t="shared" si="0"/>
        <v>412</v>
      </c>
      <c r="J13" s="38">
        <f>F13/(7*11)</f>
        <v>1.1428571428571428</v>
      </c>
      <c r="K13" s="38">
        <f>G13/(7*11)</f>
        <v>0</v>
      </c>
      <c r="L13" s="38">
        <f>H13/(7*8)</f>
        <v>5.7857142857142856</v>
      </c>
      <c r="M13" s="30">
        <f>I13/(7*18)</f>
        <v>3.2698412698412698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0" ht="34.799999999999997" x14ac:dyDescent="0.35">
      <c r="A14" s="20"/>
      <c r="B14" s="20"/>
      <c r="C14" s="39" t="s">
        <v>33</v>
      </c>
      <c r="D14" s="40" t="s">
        <v>34</v>
      </c>
      <c r="E14" s="41" t="s">
        <v>30</v>
      </c>
      <c r="F14" s="29">
        <f>'[38]MANUTENÇÃO PREV'!AM18</f>
        <v>2940.7999999999997</v>
      </c>
      <c r="G14" s="29">
        <f>'[38]MANUTENÇÃO PREV'!AM56</f>
        <v>2623.9</v>
      </c>
      <c r="H14" s="29">
        <f>'[38]MANUTENÇÃO PREV'!AM93</f>
        <v>441</v>
      </c>
      <c r="I14" s="42">
        <f t="shared" si="0"/>
        <v>6005.7</v>
      </c>
      <c r="J14" s="31">
        <f>F14/(7*11)</f>
        <v>38.192207792207789</v>
      </c>
      <c r="K14" s="31">
        <f>G14/(7*11)</f>
        <v>34.076623376623381</v>
      </c>
      <c r="L14" s="31">
        <f>H14/(7*8)</f>
        <v>7.875</v>
      </c>
      <c r="M14" s="30">
        <f>I14/(7*18)</f>
        <v>47.664285714285711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0" ht="52.2" hidden="1" x14ac:dyDescent="0.35">
      <c r="A15" s="20"/>
      <c r="B15" s="20"/>
      <c r="C15" s="26" t="s">
        <v>63</v>
      </c>
      <c r="D15" s="27" t="s">
        <v>64</v>
      </c>
      <c r="E15" s="28" t="s">
        <v>27</v>
      </c>
      <c r="F15" s="32">
        <f>'[38]MANUTENÇÃO PREV'!AM19</f>
        <v>0</v>
      </c>
      <c r="G15" s="32">
        <f>'[38]MANUTENÇÃO PREV'!AM57</f>
        <v>0</v>
      </c>
      <c r="H15" s="32">
        <f>'[38]MANUTENÇÃO PREV'!AM94</f>
        <v>0</v>
      </c>
      <c r="I15" s="30">
        <f t="shared" si="0"/>
        <v>0</v>
      </c>
      <c r="J15" s="31">
        <f>F15/(7*20)</f>
        <v>0</v>
      </c>
      <c r="K15" s="31">
        <f>G15/(7*20)</f>
        <v>0</v>
      </c>
      <c r="L15" s="31">
        <f>H15/(7*20)</f>
        <v>0</v>
      </c>
      <c r="M15" s="30">
        <f>I15/(7*22)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0" ht="77.400000000000006" customHeight="1" x14ac:dyDescent="0.35">
      <c r="A16" s="20"/>
      <c r="B16" s="20"/>
      <c r="C16" s="26" t="s">
        <v>9</v>
      </c>
      <c r="D16" s="34" t="s">
        <v>35</v>
      </c>
      <c r="E16" s="35" t="s">
        <v>30</v>
      </c>
      <c r="F16" s="36">
        <f>'[38]MANUTENÇÃO PREV'!AM20</f>
        <v>176.1</v>
      </c>
      <c r="G16" s="36">
        <f>'[38]MANUTENÇÃO PREV'!AM58</f>
        <v>0</v>
      </c>
      <c r="H16" s="36">
        <f>'[38]MANUTENÇÃO PREV'!AM95</f>
        <v>6.5</v>
      </c>
      <c r="I16" s="43">
        <f t="shared" si="0"/>
        <v>182.6</v>
      </c>
      <c r="J16" s="38">
        <f>F16/(7*11)</f>
        <v>2.2870129870129867</v>
      </c>
      <c r="K16" s="38">
        <f>G16/(7*11)</f>
        <v>0</v>
      </c>
      <c r="L16" s="38">
        <f>H16/(7*8)</f>
        <v>0.11607142857142858</v>
      </c>
      <c r="M16" s="30">
        <f>I16/(7*18)</f>
        <v>1.4492063492063492</v>
      </c>
      <c r="N16" s="3"/>
      <c r="O16" s="3"/>
      <c r="P16" s="4">
        <v>218265.2065</v>
      </c>
      <c r="Q16" s="4">
        <v>107801.71625</v>
      </c>
      <c r="R16" s="4">
        <v>83329.102500000008</v>
      </c>
      <c r="S16" s="3"/>
      <c r="T16" s="3"/>
      <c r="U16" s="3"/>
      <c r="V16" s="3"/>
      <c r="W16" s="3"/>
      <c r="X16" s="3"/>
      <c r="Y16" s="3"/>
      <c r="Z16" s="3"/>
      <c r="AA16" s="3"/>
    </row>
    <row r="17" spans="1:27" ht="52.2" x14ac:dyDescent="0.35">
      <c r="A17" s="20"/>
      <c r="B17" s="20"/>
      <c r="C17" s="44" t="s">
        <v>36</v>
      </c>
      <c r="D17" s="34" t="s">
        <v>37</v>
      </c>
      <c r="E17" s="35" t="s">
        <v>30</v>
      </c>
      <c r="F17" s="36">
        <f>'[38]MANUTENÇÃO PREV'!AM21</f>
        <v>687.1</v>
      </c>
      <c r="G17" s="36">
        <f>'[38]MANUTENÇÃO PREV'!AM59</f>
        <v>22.4</v>
      </c>
      <c r="H17" s="36">
        <f>'[38]MANUTENÇÃO PREV'!AM96</f>
        <v>0</v>
      </c>
      <c r="I17" s="30">
        <f t="shared" si="0"/>
        <v>709.5</v>
      </c>
      <c r="J17" s="38">
        <f>F17/(7*11)</f>
        <v>8.9233766233766243</v>
      </c>
      <c r="K17" s="38">
        <f>G17/(7*11)</f>
        <v>0.29090909090909089</v>
      </c>
      <c r="L17" s="38">
        <f>H17/(7*8)</f>
        <v>0</v>
      </c>
      <c r="M17" s="30">
        <f>I17/(7*18)</f>
        <v>5.6309523809523814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" x14ac:dyDescent="0.35">
      <c r="A18" s="25"/>
      <c r="B18" s="25"/>
      <c r="C18" s="26" t="s">
        <v>10</v>
      </c>
      <c r="D18" s="40" t="s">
        <v>38</v>
      </c>
      <c r="E18" s="41" t="s">
        <v>39</v>
      </c>
      <c r="F18" s="45">
        <f>'[38]MANUTENÇÃO PREV'!AM22</f>
        <v>29575.780000000002</v>
      </c>
      <c r="G18" s="45">
        <f>'[38]MANUTENÇÃO PREV'!AM60</f>
        <v>72847.090000000011</v>
      </c>
      <c r="H18" s="45">
        <f>'[38]MANUTENÇÃO PREV'!AM97</f>
        <v>40181.4</v>
      </c>
      <c r="I18" s="42">
        <f t="shared" si="0"/>
        <v>142604.27000000002</v>
      </c>
      <c r="J18" s="31">
        <f>F18/(7*11)</f>
        <v>384.10103896103897</v>
      </c>
      <c r="K18" s="31">
        <f>G18/(7*11)</f>
        <v>946.0661038961041</v>
      </c>
      <c r="L18" s="31">
        <f>H18/(7*8)</f>
        <v>717.52499999999998</v>
      </c>
      <c r="M18" s="30">
        <f>I18/(7*18)</f>
        <v>1131.7799206349207</v>
      </c>
    </row>
    <row r="19" spans="1:27" ht="18" hidden="1" x14ac:dyDescent="0.35">
      <c r="A19" s="20"/>
      <c r="B19" s="20"/>
      <c r="C19" s="26" t="s">
        <v>65</v>
      </c>
      <c r="D19" s="27" t="s">
        <v>66</v>
      </c>
      <c r="E19" s="46" t="s">
        <v>39</v>
      </c>
      <c r="F19" s="29">
        <f>'[38]MANUTENÇÃO PREV'!AM23</f>
        <v>0</v>
      </c>
      <c r="G19" s="29">
        <f>'[38]MANUTENÇÃO PREV'!AM61</f>
        <v>0</v>
      </c>
      <c r="H19" s="29">
        <f>'[38]MANUTENÇÃO PREV'!AM98</f>
        <v>0</v>
      </c>
      <c r="I19" s="30">
        <f t="shared" si="0"/>
        <v>0</v>
      </c>
      <c r="J19" s="31">
        <f>F19/(7*9)</f>
        <v>0</v>
      </c>
      <c r="K19" s="31">
        <f>G19/(7*10)</f>
        <v>0</v>
      </c>
      <c r="L19" s="31">
        <f>H19/(7*11)</f>
        <v>0</v>
      </c>
      <c r="M19" s="30">
        <f>I19/(7*22)</f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4.799999999999997" hidden="1" x14ac:dyDescent="0.35">
      <c r="A20" s="20"/>
      <c r="B20" s="20"/>
      <c r="C20" s="26" t="s">
        <v>67</v>
      </c>
      <c r="D20" s="27" t="s">
        <v>68</v>
      </c>
      <c r="E20" s="46" t="s">
        <v>39</v>
      </c>
      <c r="F20" s="32">
        <f>'[38]MANUTENÇÃO PREV'!AM24</f>
        <v>0</v>
      </c>
      <c r="G20" s="32">
        <f>'[38]MANUTENÇÃO PREV'!AM62</f>
        <v>0</v>
      </c>
      <c r="H20" s="32">
        <f>'[38]MANUTENÇÃO PREV'!AM99</f>
        <v>0</v>
      </c>
      <c r="I20" s="30">
        <f t="shared" si="0"/>
        <v>0</v>
      </c>
      <c r="J20" s="31">
        <f>F20/(7*20)</f>
        <v>0</v>
      </c>
      <c r="K20" s="31">
        <f>G20/(7*20)</f>
        <v>0</v>
      </c>
      <c r="L20" s="31">
        <f>H20/(7*20)</f>
        <v>0</v>
      </c>
      <c r="M20" s="30">
        <f>I20/(7*22)</f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" hidden="1" x14ac:dyDescent="0.35">
      <c r="A21" s="20"/>
      <c r="B21" s="20"/>
      <c r="C21" s="26" t="s">
        <v>69</v>
      </c>
      <c r="D21" s="27" t="s">
        <v>70</v>
      </c>
      <c r="E21" s="46" t="s">
        <v>39</v>
      </c>
      <c r="F21" s="32">
        <f>'[38]MANUTENÇÃO PREV'!AM25</f>
        <v>0</v>
      </c>
      <c r="G21" s="32">
        <f>'[38]MANUTENÇÃO PREV'!AM63</f>
        <v>0</v>
      </c>
      <c r="H21" s="32">
        <f>'[38]MANUTENÇÃO PREV'!AM100</f>
        <v>0</v>
      </c>
      <c r="I21" s="30">
        <f t="shared" si="0"/>
        <v>0</v>
      </c>
      <c r="J21" s="31">
        <f>F21/(7*20)</f>
        <v>0</v>
      </c>
      <c r="K21" s="31">
        <f>G21/(7*20)</f>
        <v>0</v>
      </c>
      <c r="L21" s="31">
        <f>H21/(7*20)</f>
        <v>0</v>
      </c>
      <c r="M21" s="30">
        <f>I21/(7*22)</f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" x14ac:dyDescent="0.35">
      <c r="A22" s="20"/>
      <c r="B22" s="20"/>
      <c r="C22" s="39" t="s">
        <v>40</v>
      </c>
      <c r="D22" s="27" t="s">
        <v>41</v>
      </c>
      <c r="E22" s="46" t="s">
        <v>27</v>
      </c>
      <c r="F22" s="29">
        <f>'[38]MANUTENÇÃO PREV'!AM26</f>
        <v>0</v>
      </c>
      <c r="G22" s="29">
        <f>'[38]MANUTENÇÃO PREV'!AM64</f>
        <v>0</v>
      </c>
      <c r="H22" s="29">
        <f>'[38]MANUTENÇÃO PREV'!AM101</f>
        <v>152.20000000000002</v>
      </c>
      <c r="I22" s="30">
        <f t="shared" si="0"/>
        <v>152.20000000000002</v>
      </c>
      <c r="J22" s="31">
        <f>F22/(7*9)</f>
        <v>0</v>
      </c>
      <c r="K22" s="31">
        <f>G22/(7*10)</f>
        <v>0</v>
      </c>
      <c r="L22" s="31">
        <f>H22/(7*8)</f>
        <v>2.717857142857143</v>
      </c>
      <c r="M22" s="30">
        <f>I22/(7*22)</f>
        <v>0.98831168831168847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87" hidden="1" x14ac:dyDescent="0.35">
      <c r="A23" s="20"/>
      <c r="B23" s="20"/>
      <c r="C23" s="58" t="s">
        <v>71</v>
      </c>
      <c r="D23" s="27" t="s">
        <v>72</v>
      </c>
      <c r="E23" s="46" t="s">
        <v>39</v>
      </c>
      <c r="F23" s="32">
        <f>'[38]MANUTENÇÃO PREV'!AM27</f>
        <v>0</v>
      </c>
      <c r="G23" s="32">
        <f>'[38]MANUTENÇÃO PREV'!AM65</f>
        <v>0</v>
      </c>
      <c r="H23" s="32">
        <f>'[38]MANUTENÇÃO PREV'!AM102</f>
        <v>0</v>
      </c>
      <c r="I23" s="30">
        <f t="shared" si="0"/>
        <v>0</v>
      </c>
      <c r="J23" s="31">
        <f>F23/(7*20)</f>
        <v>0</v>
      </c>
      <c r="K23" s="31">
        <f>G23/(7*20)</f>
        <v>0</v>
      </c>
      <c r="L23" s="31">
        <f>H23/(7*20)</f>
        <v>0</v>
      </c>
      <c r="M23" s="30">
        <f>I23/(7*22)</f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53.4" hidden="1" customHeight="1" x14ac:dyDescent="0.35">
      <c r="A24" s="20"/>
      <c r="B24" s="20"/>
      <c r="C24" s="26" t="s">
        <v>11</v>
      </c>
      <c r="D24" s="27" t="s">
        <v>73</v>
      </c>
      <c r="E24" s="28" t="s">
        <v>39</v>
      </c>
      <c r="F24" s="32">
        <f>'[38]MANUTENÇÃO PREV'!AM28</f>
        <v>0</v>
      </c>
      <c r="G24" s="32">
        <f>'[38]MANUTENÇÃO PREV'!AM66</f>
        <v>0</v>
      </c>
      <c r="H24" s="32">
        <f>'[38]MANUTENÇÃO PREV'!AM103</f>
        <v>0</v>
      </c>
      <c r="I24" s="30">
        <f t="shared" si="0"/>
        <v>0</v>
      </c>
      <c r="J24" s="31">
        <f>F24/(7*20)</f>
        <v>0</v>
      </c>
      <c r="K24" s="31">
        <f>G24/(7*20)</f>
        <v>0</v>
      </c>
      <c r="L24" s="31">
        <f>H24/(7*20)</f>
        <v>0</v>
      </c>
      <c r="M24" s="30">
        <f>I24/(7*18)</f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04.4" hidden="1" x14ac:dyDescent="0.35">
      <c r="A25" s="20"/>
      <c r="B25" s="20"/>
      <c r="C25" s="26" t="s">
        <v>74</v>
      </c>
      <c r="D25" s="59" t="s">
        <v>75</v>
      </c>
      <c r="E25" s="60" t="s">
        <v>44</v>
      </c>
      <c r="F25" s="32">
        <f>'[38]MANUTENÇÃO PREV'!AM29</f>
        <v>0</v>
      </c>
      <c r="G25" s="32">
        <f>'[38]MANUTENÇÃO PREV'!AM67</f>
        <v>0</v>
      </c>
      <c r="H25" s="32">
        <f>'[38]MANUTENÇÃO PREV'!AM104</f>
        <v>0</v>
      </c>
      <c r="I25" s="61">
        <f t="shared" si="0"/>
        <v>0</v>
      </c>
      <c r="J25" s="31">
        <f>F25/(7*20)</f>
        <v>0</v>
      </c>
      <c r="K25" s="31">
        <f>G25/(7*20)</f>
        <v>0</v>
      </c>
      <c r="L25" s="31">
        <f>H25/(7*20)</f>
        <v>0</v>
      </c>
      <c r="M25" s="30">
        <f>I25/(7*22)</f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9.599999999999994" x14ac:dyDescent="0.35">
      <c r="A26" s="20"/>
      <c r="B26" s="20"/>
      <c r="C26" s="26" t="s">
        <v>42</v>
      </c>
      <c r="D26" s="27" t="s">
        <v>43</v>
      </c>
      <c r="E26" s="46" t="s">
        <v>44</v>
      </c>
      <c r="F26" s="32">
        <f>'[38]MANUTENÇÃO PREV'!AM30</f>
        <v>0</v>
      </c>
      <c r="G26" s="32">
        <f>'[38]MANUTENÇÃO PREV'!AM68</f>
        <v>0</v>
      </c>
      <c r="H26" s="32">
        <f>'[38]MANUTENÇÃO PREV'!AM105</f>
        <v>10</v>
      </c>
      <c r="I26" s="30">
        <f t="shared" si="0"/>
        <v>10</v>
      </c>
      <c r="J26" s="31">
        <f>F26/(7*11)</f>
        <v>0</v>
      </c>
      <c r="K26" s="31">
        <f>G26/(7*11)</f>
        <v>0</v>
      </c>
      <c r="L26" s="31">
        <f>H26/(7*8)</f>
        <v>0.17857142857142858</v>
      </c>
      <c r="M26" s="30">
        <f>I26/(7*22)</f>
        <v>6.4935064935064929E-2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04.4" hidden="1" x14ac:dyDescent="0.35">
      <c r="A27" s="20"/>
      <c r="B27" s="20"/>
      <c r="C27" s="26" t="s">
        <v>76</v>
      </c>
      <c r="D27" s="27" t="s">
        <v>77</v>
      </c>
      <c r="E27" s="46" t="s">
        <v>44</v>
      </c>
      <c r="F27" s="32">
        <f>'[38]MANUTENÇÃO PREV'!AM31</f>
        <v>0</v>
      </c>
      <c r="G27" s="32">
        <f>'[38]MANUTENÇÃO PREV'!AM69</f>
        <v>0</v>
      </c>
      <c r="H27" s="32">
        <f>'[38]MANUTENÇÃO PREV'!AM106</f>
        <v>0</v>
      </c>
      <c r="I27" s="30">
        <f t="shared" si="0"/>
        <v>0</v>
      </c>
      <c r="J27" s="31">
        <f>F27/(7*20)</f>
        <v>0</v>
      </c>
      <c r="K27" s="31">
        <f>G27/(7*20)</f>
        <v>0</v>
      </c>
      <c r="L27" s="31">
        <f>H27/(7*20)</f>
        <v>0</v>
      </c>
      <c r="M27" s="30">
        <f>I27/(7*22)</f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69.599999999999994" x14ac:dyDescent="0.35">
      <c r="A28" s="20"/>
      <c r="B28" s="20"/>
      <c r="C28" s="26" t="s">
        <v>45</v>
      </c>
      <c r="D28" s="27" t="s">
        <v>46</v>
      </c>
      <c r="E28" s="46" t="s">
        <v>44</v>
      </c>
      <c r="F28" s="32">
        <f>'[38]MANUTENÇÃO PREV'!AM32</f>
        <v>0</v>
      </c>
      <c r="G28" s="32">
        <f>'[38]MANUTENÇÃO PREV'!AM70</f>
        <v>0</v>
      </c>
      <c r="H28" s="32">
        <f>'[38]MANUTENÇÃO PREV'!AM107</f>
        <v>7</v>
      </c>
      <c r="I28" s="30">
        <f t="shared" si="0"/>
        <v>7</v>
      </c>
      <c r="J28" s="31">
        <f>F28/(7*11)</f>
        <v>0</v>
      </c>
      <c r="K28" s="31">
        <f>G28/(7*11)</f>
        <v>0</v>
      </c>
      <c r="L28" s="31">
        <f>H28/(7*8)</f>
        <v>0.125</v>
      </c>
      <c r="M28" s="30">
        <f>I28/(7*22)</f>
        <v>4.5454545454545456E-2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34.799999999999997" hidden="1" x14ac:dyDescent="0.35">
      <c r="A29" s="20"/>
      <c r="B29" s="20"/>
      <c r="C29" s="26" t="s">
        <v>78</v>
      </c>
      <c r="D29" s="27" t="s">
        <v>79</v>
      </c>
      <c r="E29" s="46" t="s">
        <v>80</v>
      </c>
      <c r="F29" s="32">
        <f>'[38]MANUTENÇÃO PREV'!AM33</f>
        <v>0</v>
      </c>
      <c r="G29" s="32">
        <f>'[38]MANUTENÇÃO PREV'!AM71</f>
        <v>0</v>
      </c>
      <c r="H29" s="32">
        <f>'[38]MANUTENÇÃO PREV'!AM108</f>
        <v>0</v>
      </c>
      <c r="I29" s="30">
        <f t="shared" si="0"/>
        <v>0</v>
      </c>
      <c r="J29" s="31">
        <f>F29/(7*20)</f>
        <v>0</v>
      </c>
      <c r="K29" s="31">
        <f>G29/(7*20)</f>
        <v>0</v>
      </c>
      <c r="L29" s="31">
        <f>H29/(7*20)</f>
        <v>0</v>
      </c>
      <c r="M29" s="30">
        <f>I29/(7*22)</f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52.2" hidden="1" x14ac:dyDescent="0.35">
      <c r="A30" s="20"/>
      <c r="B30" s="20"/>
      <c r="C30" s="26" t="s">
        <v>81</v>
      </c>
      <c r="D30" s="27" t="s">
        <v>82</v>
      </c>
      <c r="E30" s="46" t="s">
        <v>39</v>
      </c>
      <c r="F30" s="29">
        <f>'[38]MANUTENÇÃO PREV'!AM34</f>
        <v>0</v>
      </c>
      <c r="G30" s="29">
        <f>'[38]MANUTENÇÃO PREV'!AM72</f>
        <v>0</v>
      </c>
      <c r="H30" s="29">
        <f>'[38]MANUTENÇÃO PREV'!AM109</f>
        <v>0</v>
      </c>
      <c r="I30" s="30">
        <f t="shared" si="0"/>
        <v>0</v>
      </c>
      <c r="J30" s="31">
        <f>F30/(7*20)</f>
        <v>0</v>
      </c>
      <c r="K30" s="31">
        <f>G30/(7*20)</f>
        <v>0</v>
      </c>
      <c r="L30" s="31">
        <f>H30/(7*20)</f>
        <v>0</v>
      </c>
      <c r="M30" s="30">
        <f>I30/(7*18)</f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52.2" hidden="1" x14ac:dyDescent="0.35">
      <c r="A31" s="20"/>
      <c r="B31" s="20"/>
      <c r="C31" s="26" t="s">
        <v>83</v>
      </c>
      <c r="D31" s="27" t="s">
        <v>84</v>
      </c>
      <c r="E31" s="46" t="s">
        <v>44</v>
      </c>
      <c r="F31" s="32">
        <f>'[38]MANUTENÇÃO PREV'!AM35</f>
        <v>0</v>
      </c>
      <c r="G31" s="32">
        <f>'[38]MANUTENÇÃO PREV'!AM73</f>
        <v>0</v>
      </c>
      <c r="H31" s="32">
        <f>'[38]MANUTENÇÃO PREV'!AM110</f>
        <v>0</v>
      </c>
      <c r="I31" s="30">
        <f t="shared" si="0"/>
        <v>0</v>
      </c>
      <c r="J31" s="31">
        <f>F31/(7*20)</f>
        <v>0</v>
      </c>
      <c r="K31" s="31">
        <f>G31/(7*20)</f>
        <v>0</v>
      </c>
      <c r="L31" s="31">
        <f>H31/(7*20)</f>
        <v>0</v>
      </c>
      <c r="M31" s="30">
        <f>I31/(7*22)</f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" x14ac:dyDescent="0.35">
      <c r="A32" s="20"/>
      <c r="B32" s="20"/>
      <c r="C32" s="47" t="s">
        <v>47</v>
      </c>
      <c r="D32" s="48" t="s">
        <v>48</v>
      </c>
      <c r="E32" s="46" t="s">
        <v>44</v>
      </c>
      <c r="F32" s="49">
        <f>SUM(F33:F38)</f>
        <v>0</v>
      </c>
      <c r="G32" s="49">
        <f t="shared" ref="G32:H32" si="1">SUM(G33:G38)</f>
        <v>165</v>
      </c>
      <c r="H32" s="49">
        <f t="shared" si="1"/>
        <v>0</v>
      </c>
      <c r="I32" s="30">
        <f t="shared" si="0"/>
        <v>165</v>
      </c>
      <c r="J32" s="31">
        <f>F32</f>
        <v>0</v>
      </c>
      <c r="K32" s="31">
        <f>G32</f>
        <v>165</v>
      </c>
      <c r="L32" s="31">
        <f>H32</f>
        <v>0</v>
      </c>
      <c r="M32" s="30">
        <f>I32/(7*18)</f>
        <v>1.3095238095238095</v>
      </c>
      <c r="N32" s="3"/>
      <c r="O32" s="3"/>
      <c r="P32" s="3"/>
      <c r="Q32" s="3"/>
      <c r="R32" s="3"/>
      <c r="S32" s="3"/>
      <c r="T32" s="3"/>
    </row>
    <row r="33" spans="1:21" ht="18" x14ac:dyDescent="0.35">
      <c r="A33" s="20"/>
      <c r="B33" s="20"/>
      <c r="C33" s="39" t="s">
        <v>49</v>
      </c>
      <c r="D33" s="27" t="s">
        <v>50</v>
      </c>
      <c r="E33" s="46" t="s">
        <v>51</v>
      </c>
      <c r="F33" s="32">
        <f>'[38]MANUTENÇÃO PREV'!AM36</f>
        <v>0</v>
      </c>
      <c r="G33" s="50">
        <f>'[38]MANUTENÇÃO PREV'!AM74</f>
        <v>11</v>
      </c>
      <c r="H33" s="50">
        <f>'[38]MANUTENÇÃO PREV'!AM111</f>
        <v>0</v>
      </c>
      <c r="I33" s="30">
        <f t="shared" si="0"/>
        <v>11</v>
      </c>
      <c r="J33" s="51">
        <f>SUM(J10:J30)</f>
        <v>462.39194805194808</v>
      </c>
      <c r="K33" s="51">
        <f t="shared" ref="K33:L33" si="2">SUM(K10:K30)</f>
        <v>988.51831168831188</v>
      </c>
      <c r="L33" s="51">
        <f t="shared" si="2"/>
        <v>800.74535714285719</v>
      </c>
      <c r="M33" s="3"/>
      <c r="N33" s="3"/>
      <c r="O33" s="3"/>
      <c r="P33" s="3"/>
      <c r="Q33" s="3"/>
      <c r="R33" s="3"/>
      <c r="S33" s="3"/>
      <c r="T33" s="3"/>
    </row>
    <row r="34" spans="1:21" ht="23.4" customHeight="1" x14ac:dyDescent="0.35">
      <c r="A34" s="20"/>
      <c r="B34" s="20"/>
      <c r="C34" s="39" t="s">
        <v>52</v>
      </c>
      <c r="D34" s="27" t="s">
        <v>53</v>
      </c>
      <c r="E34" s="46" t="s">
        <v>51</v>
      </c>
      <c r="F34" s="32">
        <f>'[38]MANUTENÇÃO PREV'!AM37</f>
        <v>0</v>
      </c>
      <c r="G34" s="50">
        <f>'[38]MANUTENÇÃO PREV'!AM75</f>
        <v>11</v>
      </c>
      <c r="H34" s="50">
        <f>'[38]MANUTENÇÃO PREV'!AM112</f>
        <v>0</v>
      </c>
      <c r="I34" s="30">
        <f t="shared" si="0"/>
        <v>11</v>
      </c>
      <c r="L34" s="3"/>
      <c r="M34" s="3"/>
      <c r="N34" s="3"/>
      <c r="O34" s="3"/>
      <c r="P34" s="3"/>
      <c r="Q34" s="3"/>
      <c r="R34" s="3"/>
      <c r="S34" s="3"/>
      <c r="T34" s="3"/>
    </row>
    <row r="35" spans="1:21" ht="18" x14ac:dyDescent="0.35">
      <c r="A35" s="20"/>
      <c r="B35" s="20"/>
      <c r="C35" s="39" t="s">
        <v>54</v>
      </c>
      <c r="D35" s="27" t="s">
        <v>55</v>
      </c>
      <c r="E35" s="46" t="s">
        <v>51</v>
      </c>
      <c r="F35" s="32">
        <f>'[38]MANUTENÇÃO PREV'!AM38</f>
        <v>0</v>
      </c>
      <c r="G35" s="50">
        <f>'[38]MANUTENÇÃO PREV'!AM76</f>
        <v>11</v>
      </c>
      <c r="H35" s="50">
        <f>'[38]MANUTENÇÃO PREV'!AM113</f>
        <v>0</v>
      </c>
      <c r="I35" s="30">
        <f t="shared" si="0"/>
        <v>11</v>
      </c>
      <c r="L35" s="3"/>
      <c r="M35" s="3"/>
      <c r="N35" s="3"/>
      <c r="O35" s="3"/>
      <c r="P35" s="3"/>
      <c r="Q35" s="3"/>
      <c r="R35" s="3"/>
      <c r="S35" s="3"/>
      <c r="T35" s="3"/>
    </row>
    <row r="36" spans="1:21" ht="18" x14ac:dyDescent="0.35">
      <c r="A36" s="20"/>
      <c r="B36" s="20"/>
      <c r="C36" s="39" t="s">
        <v>56</v>
      </c>
      <c r="D36" s="27" t="s">
        <v>57</v>
      </c>
      <c r="E36" s="46" t="s">
        <v>51</v>
      </c>
      <c r="F36" s="32">
        <f>'[38]MANUTENÇÃO PREV'!AM39</f>
        <v>0</v>
      </c>
      <c r="G36" s="50">
        <f>'[38]MANUTENÇÃO PREV'!AM77</f>
        <v>11</v>
      </c>
      <c r="H36" s="50">
        <f>'[38]MANUTENÇÃO PREV'!AM114</f>
        <v>0</v>
      </c>
      <c r="I36" s="30">
        <f t="shared" si="0"/>
        <v>11</v>
      </c>
      <c r="L36" s="3"/>
      <c r="M36" s="3"/>
      <c r="N36" s="3"/>
      <c r="O36" s="3"/>
      <c r="P36" s="3"/>
      <c r="Q36" s="3"/>
      <c r="R36" s="3"/>
      <c r="S36" s="3"/>
      <c r="T36" s="3"/>
    </row>
    <row r="37" spans="1:21" ht="18" x14ac:dyDescent="0.35">
      <c r="A37" s="20"/>
      <c r="B37" s="20"/>
      <c r="C37" s="39" t="s">
        <v>58</v>
      </c>
      <c r="D37" s="27" t="s">
        <v>59</v>
      </c>
      <c r="E37" s="46" t="s">
        <v>51</v>
      </c>
      <c r="F37" s="32">
        <f>'[38]MANUTENÇÃO PREV'!AM40</f>
        <v>0</v>
      </c>
      <c r="G37" s="50">
        <f>'[38]MANUTENÇÃO PREV'!AM78</f>
        <v>110</v>
      </c>
      <c r="H37" s="50">
        <f>'[38]MANUTENÇÃO PREV'!AM115</f>
        <v>0</v>
      </c>
      <c r="I37" s="30">
        <f t="shared" si="0"/>
        <v>110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8" x14ac:dyDescent="0.35">
      <c r="A38" s="20"/>
      <c r="B38" s="20"/>
      <c r="C38" s="39" t="s">
        <v>60</v>
      </c>
      <c r="D38" s="27" t="s">
        <v>61</v>
      </c>
      <c r="E38" s="46" t="s">
        <v>51</v>
      </c>
      <c r="F38" s="32">
        <f>'[38]MANUTENÇÃO PREV'!AM41</f>
        <v>0</v>
      </c>
      <c r="G38" s="50">
        <f>'[38]MANUTENÇÃO PREV'!AM79</f>
        <v>11</v>
      </c>
      <c r="H38" s="50">
        <f>'[38]MANUTENÇÃO PREV'!AM116</f>
        <v>0</v>
      </c>
      <c r="I38" s="30">
        <f t="shared" si="0"/>
        <v>11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 customHeight="1" x14ac:dyDescent="0.3">
      <c r="A39" s="20"/>
      <c r="B39" s="20"/>
      <c r="C39" s="83" t="s">
        <v>24</v>
      </c>
      <c r="D39" s="84"/>
      <c r="E39" s="84"/>
      <c r="F39" s="84"/>
      <c r="G39" s="84"/>
      <c r="H39" s="84"/>
      <c r="I39" s="8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8" customHeight="1" thickBot="1" x14ac:dyDescent="0.35">
      <c r="A40" s="20"/>
      <c r="B40" s="20"/>
      <c r="C40" s="85" t="s">
        <v>62</v>
      </c>
      <c r="D40" s="86"/>
      <c r="E40" s="86"/>
      <c r="F40" s="86"/>
      <c r="G40" s="86"/>
      <c r="H40" s="86"/>
      <c r="I40" s="86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" customHeight="1" x14ac:dyDescent="0.3">
      <c r="A41" s="87"/>
      <c r="B41" s="87"/>
      <c r="C41" s="52"/>
      <c r="D41" s="3"/>
      <c r="E41" s="3"/>
      <c r="F41" s="3"/>
      <c r="G41" s="3"/>
      <c r="H41" s="3"/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4.4" customHeight="1" x14ac:dyDescent="0.3"/>
    <row r="43" spans="1:21" x14ac:dyDescent="0.3">
      <c r="C43" s="53"/>
    </row>
    <row r="44" spans="1:21" x14ac:dyDescent="0.3">
      <c r="C44" s="53"/>
      <c r="D44" s="53"/>
      <c r="E44" s="54"/>
      <c r="F44" s="55"/>
      <c r="G44" s="55"/>
      <c r="H44" s="55"/>
      <c r="I44" s="55"/>
    </row>
    <row r="45" spans="1:21" x14ac:dyDescent="0.3">
      <c r="C45" s="53"/>
      <c r="D45" s="53"/>
      <c r="E45" s="54"/>
      <c r="F45" s="56"/>
      <c r="G45" s="56"/>
      <c r="H45" s="56"/>
      <c r="I45" s="56"/>
    </row>
    <row r="46" spans="1:21" x14ac:dyDescent="0.3">
      <c r="C46" s="53"/>
      <c r="D46" s="53"/>
      <c r="E46" s="54"/>
      <c r="F46" s="56"/>
      <c r="G46" s="56"/>
      <c r="H46" s="56"/>
      <c r="I46" s="56"/>
    </row>
    <row r="47" spans="1:21" x14ac:dyDescent="0.3">
      <c r="C47" s="53"/>
      <c r="D47" s="53"/>
      <c r="E47" s="54"/>
      <c r="F47" s="56"/>
      <c r="G47" s="56"/>
      <c r="H47" s="56"/>
      <c r="I47" s="56"/>
    </row>
    <row r="48" spans="1:21" x14ac:dyDescent="0.3">
      <c r="C48" s="53"/>
      <c r="D48" s="53"/>
      <c r="E48" s="54"/>
      <c r="F48" s="56"/>
      <c r="G48" s="56"/>
      <c r="H48" s="56"/>
      <c r="I48" s="56"/>
    </row>
    <row r="49" spans="3:9" x14ac:dyDescent="0.3">
      <c r="C49" s="53"/>
      <c r="D49" s="53"/>
      <c r="E49" s="54"/>
      <c r="F49" s="56"/>
      <c r="G49" s="56"/>
      <c r="H49" s="56"/>
      <c r="I49" s="56"/>
    </row>
    <row r="50" spans="3:9" x14ac:dyDescent="0.3">
      <c r="F50" s="56"/>
      <c r="G50" s="56"/>
      <c r="H50" s="56"/>
      <c r="I50" s="56"/>
    </row>
    <row r="58" spans="3:9" x14ac:dyDescent="0.3">
      <c r="C58" s="53"/>
      <c r="D58" s="57"/>
      <c r="E58" s="54"/>
    </row>
    <row r="59" spans="3:9" x14ac:dyDescent="0.3">
      <c r="C59" s="53"/>
      <c r="D59" s="57"/>
      <c r="E59" s="54"/>
    </row>
  </sheetData>
  <autoFilter ref="C9:I40" xr:uid="{EC2798EB-1FE4-4B48-979C-561CE544CED1}">
    <filterColumn colId="6">
      <filters blank="1">
        <filter val="10,00"/>
        <filter val="11,00"/>
        <filter val="110,00"/>
        <filter val="128.556,72"/>
        <filter val="152,20"/>
        <filter val="165,00"/>
        <filter val="175,90"/>
        <filter val="23,73"/>
        <filter val="4.336,70"/>
        <filter val="4.416,40"/>
        <filter val="412,00"/>
        <filter val="56,03"/>
        <filter val="609,50"/>
        <filter val="7,00"/>
      </filters>
    </filterColumn>
  </autoFilter>
  <mergeCells count="14">
    <mergeCell ref="C39:I39"/>
    <mergeCell ref="C40:I40"/>
    <mergeCell ref="A41:B41"/>
    <mergeCell ref="O6:Q6"/>
    <mergeCell ref="S6:T6"/>
    <mergeCell ref="V6:Y6"/>
    <mergeCell ref="C8:I8"/>
    <mergeCell ref="J8:M8"/>
    <mergeCell ref="O2:Q2"/>
    <mergeCell ref="S2:T2"/>
    <mergeCell ref="V2:Y2"/>
    <mergeCell ref="O3:Q3"/>
    <mergeCell ref="S3:T3"/>
    <mergeCell ref="V3:Y3"/>
  </mergeCells>
  <pageMargins left="0.51181102362204722" right="0.31496062992125984" top="0.39370078740157483" bottom="0.39370078740157483" header="0.31496062992125984" footer="0.31496062992125984"/>
  <pageSetup paperSize="9" scale="28" fitToHeight="0" orientation="landscape" horizontalDpi="300" verticalDpi="300" r:id="rId1"/>
  <headerFooter>
    <oddFooter>&amp;LBanco de Dados Civil - Equipes Corretivas e Preventivas&amp;RPágina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RESUM. MAN. PREV. ABRIL</vt:lpstr>
      <vt:lpstr>RESUM. MAN. PREV. MAIO</vt:lpstr>
      <vt:lpstr>RESUM. MAN. PREV. JUNHO</vt:lpstr>
      <vt:lpstr>'RESUM. MAN. PREV. ABRIL'!Area_de_impressao</vt:lpstr>
      <vt:lpstr>'RESUM. MAN. PREV. JUNHO'!Area_de_impressao</vt:lpstr>
      <vt:lpstr>'RESUM. MAN. PREV. MAIO'!Area_de_impressao</vt:lpstr>
      <vt:lpstr>'RESUM. MAN. PREV. ABRIL'!Titulos_de_impressao</vt:lpstr>
      <vt:lpstr>'RESUM. MAN. PREV. JUNHO'!Titulos_de_impressao</vt:lpstr>
      <vt:lpstr>'RESUM. MAN. PREV. MAIO'!Titulos_de_impressao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Silva</dc:creator>
  <cp:lastModifiedBy>Cristiane Silva</cp:lastModifiedBy>
  <dcterms:created xsi:type="dcterms:W3CDTF">2026-08-12T19:03:49Z</dcterms:created>
  <dcterms:modified xsi:type="dcterms:W3CDTF">2026-08-12T19:19:22Z</dcterms:modified>
</cp:coreProperties>
</file>